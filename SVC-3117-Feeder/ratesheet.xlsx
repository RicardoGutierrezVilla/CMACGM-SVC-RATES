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cmacgmgroup.sharepoint.com/sites/CMA-USServiceContracts/staged/"/>
    </mc:Choice>
  </mc:AlternateContent>
  <xr:revisionPtr revIDLastSave="0" documentId="13_ncr:1_{EFF56EA0-4E91-4299-BE12-7AE2DC8DB009}" xr6:coauthVersionLast="47" xr6:coauthVersionMax="47" xr10:uidLastSave="{00000000-0000-0000-0000-000000000000}"/>
  <bookViews>
    <workbookView xWindow="-28920" yWindow="-2730" windowWidth="29040" windowHeight="15720" tabRatio="877" activeTab="1" xr2:uid="{00000000-000D-0000-FFFF-FFFF00000000}"/>
  </bookViews>
  <sheets>
    <sheet name="Boiler Plate" sheetId="131" r:id="rId1"/>
    <sheet name="Cover" sheetId="4" r:id="rId2"/>
    <sheet name="MQC" sheetId="42" r:id="rId3"/>
    <sheet name="APPENDIX B-1  (FE - USWC)" sheetId="57" r:id="rId4"/>
    <sheet name="APPENDIX B-2  (FE - USEC&amp;GC)" sheetId="98" r:id="rId5"/>
    <sheet name="APPENDIX F-1 ISC-US" sheetId="142" r:id="rId6"/>
    <sheet name="APPENDIX F-2 ISC-USWC" sheetId="143" r:id="rId7"/>
    <sheet name="Affiliates" sheetId="47" r:id="rId8"/>
    <sheet name="Listes" sheetId="44" state="hidden" r:id="rId9"/>
    <sheet name="SOF BR" sheetId="141" state="hidden" r:id="rId10"/>
  </sheets>
  <definedNames>
    <definedName name="_xlnm._FilterDatabase" localSheetId="3" hidden="1">'APPENDIX B-1  (FE - USWC)'!$A$45:$AB$45</definedName>
    <definedName name="_xlnm._FilterDatabase" localSheetId="4" hidden="1">'APPENDIX B-2  (FE - USEC&amp;GC)'!$A$606:$BA$606</definedName>
    <definedName name="_xlnm._FilterDatabase" localSheetId="5" hidden="1">'APPENDIX F-1 ISC-US'!$A$30:$AB$30</definedName>
    <definedName name="_xlnm._FilterDatabase" localSheetId="6" hidden="1">'APPENDIX F-2 ISC-USWC'!$A$30:$AB$30</definedName>
    <definedName name="ArbMode">Listes!$B$359:$B$365</definedName>
    <definedName name="Autom">Listes!$B$410:$B$411</definedName>
    <definedName name="BULLET" localSheetId="4">'APPENDIX B-2  (FE - USEC&amp;GC)'!$N$13:$N$22</definedName>
    <definedName name="BULLET" localSheetId="5">'APPENDIX F-1 ISC-US'!$N$13:$N$18</definedName>
    <definedName name="BULLET" localSheetId="6">'APPENDIX F-2 ISC-USWC'!$N$13:$N$18</definedName>
    <definedName name="BULLET">'APPENDIX B-1  (FE - USWC)'!$N$13:$N$20</definedName>
    <definedName name="Charges">Listes!$A$3:$A$230</definedName>
    <definedName name="Container">Listes!$B$245:$B$254</definedName>
    <definedName name="CST">Listes!$B$434:$B$440</definedName>
    <definedName name="CURRENCY">Listes!$B$483:$B$618</definedName>
    <definedName name="DAYS">Listes!$B$449:$B$450</definedName>
    <definedName name="DDTARIFF">Listes!$B$454:$B$457</definedName>
    <definedName name="DDTARIFFUS">Listes!$B$461:$B$463</definedName>
    <definedName name="DDTARIFFUSE">Listes!$B$466:$B$467</definedName>
    <definedName name="DDTARIFFUSI">Listes!$B$461:$B$463</definedName>
    <definedName name="droppull">Listes!$B$292:$B$293</definedName>
    <definedName name="EQTYPE">Listes!$B$471:$B$474</definedName>
    <definedName name="Equip">Listes!$B$374:$B$397</definedName>
    <definedName name="Exceptions">Listes!$H$3:$H$231</definedName>
    <definedName name="EXPIMP">Listes!$B$444:$B$445</definedName>
    <definedName name="GRIPSS">Listes!$B$368:$B$371</definedName>
    <definedName name="GRIPSS_EQ">Listes!$B$415:$B$430</definedName>
    <definedName name="Mode">Listes!$B$296:$B$344</definedName>
    <definedName name="MQCType">Listes!$B$400:$B$402</definedName>
    <definedName name="OLE_LINK1" localSheetId="0">'Boiler Plate'!$A$377</definedName>
    <definedName name="OOG">Listes!$B$355:$B$356</definedName>
    <definedName name="OPREEFER">Listes!$B$478:$B$479</definedName>
    <definedName name="_xlnm.Print_Area" localSheetId="3">'APPENDIX B-1  (FE - USWC)'!$A$1:$AC$1306</definedName>
    <definedName name="_xlnm.Print_Area" localSheetId="4">'APPENDIX B-2  (FE - USEC&amp;GC)'!$A$1:$AC$1705</definedName>
    <definedName name="_xlnm.Print_Area" localSheetId="5">'APPENDIX F-1 ISC-US'!$A$1:$AC$239</definedName>
    <definedName name="_xlnm.Print_Area" localSheetId="6">'APPENDIX F-2 ISC-USWC'!$A$1:$AC$313</definedName>
    <definedName name="_xlnm.Print_Area" localSheetId="1">Cover!$A$1:$E$60</definedName>
    <definedName name="_xlnm.Print_Area" localSheetId="8">Listes!$A$2:$C$230</definedName>
    <definedName name="Reefer">Listes!$B$258:$B$264</definedName>
    <definedName name="SDD">Listes!$B$234:$B$237</definedName>
    <definedName name="shipper">Cover!$B$7</definedName>
    <definedName name="ShipperCert">Listes!$B$405:$B$406</definedName>
    <definedName name="ShipperOwn">Listes!$B$351:$B$352</definedName>
    <definedName name="Type_note2">Listes!$B$267:$B$289</definedName>
    <definedName name="YesNo">Listes!$B$347:$B$348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12" i="143" l="1"/>
  <c r="B213" i="143"/>
  <c r="B214" i="143"/>
  <c r="B215" i="143"/>
  <c r="B216" i="143"/>
  <c r="B217" i="143"/>
  <c r="B218" i="143"/>
  <c r="B219" i="143"/>
  <c r="B220" i="143"/>
  <c r="B221" i="143"/>
  <c r="B222" i="143"/>
  <c r="B223" i="143"/>
  <c r="B224" i="143"/>
  <c r="B225" i="143"/>
  <c r="B226" i="143"/>
  <c r="B227" i="143"/>
  <c r="B228" i="143"/>
  <c r="B229" i="143"/>
  <c r="B230" i="143"/>
  <c r="B231" i="143"/>
  <c r="B232" i="143"/>
  <c r="B233" i="143"/>
  <c r="B234" i="143"/>
  <c r="B235" i="143"/>
  <c r="B236" i="143"/>
  <c r="B211" i="143"/>
  <c r="B127" i="142"/>
  <c r="B128" i="142"/>
  <c r="B129" i="142"/>
  <c r="B130" i="142"/>
  <c r="B131" i="142"/>
  <c r="B132" i="142"/>
  <c r="B133" i="142"/>
  <c r="B134" i="142"/>
  <c r="B135" i="142"/>
  <c r="B136" i="142"/>
  <c r="B137" i="142"/>
  <c r="B138" i="142"/>
  <c r="B139" i="142"/>
  <c r="B140" i="142"/>
  <c r="B141" i="142"/>
  <c r="B142" i="142"/>
  <c r="B143" i="142"/>
  <c r="B144" i="142"/>
  <c r="B145" i="142"/>
  <c r="B146" i="142"/>
  <c r="B147" i="142"/>
  <c r="B148" i="142"/>
  <c r="B149" i="142"/>
  <c r="B150" i="142"/>
  <c r="B151" i="142"/>
  <c r="B152" i="142"/>
  <c r="B153" i="142"/>
  <c r="B154" i="142"/>
  <c r="B155" i="142"/>
  <c r="B156" i="142"/>
  <c r="B157" i="142"/>
  <c r="B158" i="142"/>
  <c r="B159" i="142"/>
  <c r="B160" i="142"/>
  <c r="B161" i="142"/>
  <c r="B162" i="142"/>
  <c r="B126" i="142"/>
  <c r="C4" i="143"/>
  <c r="C3" i="143"/>
  <c r="C1" i="143"/>
  <c r="C4" i="142"/>
  <c r="C3" i="142"/>
  <c r="C1" i="142"/>
  <c r="N18" i="143"/>
  <c r="N17" i="143"/>
  <c r="N16" i="143"/>
  <c r="N15" i="143"/>
  <c r="N14" i="143"/>
  <c r="N18" i="142"/>
  <c r="N17" i="142"/>
  <c r="N16" i="142"/>
  <c r="N15" i="142"/>
  <c r="N14" i="142"/>
  <c r="B1618" i="98" l="1"/>
  <c r="B1619" i="98"/>
  <c r="N17" i="98"/>
  <c r="N16" i="98"/>
  <c r="N15" i="98"/>
  <c r="N14" i="98"/>
  <c r="N16" i="57"/>
  <c r="N15" i="57"/>
  <c r="N14" i="57"/>
  <c r="E44" i="4"/>
  <c r="B1621" i="98"/>
  <c r="B1612" i="98"/>
  <c r="B1600" i="98" l="1"/>
  <c r="B1616" i="98"/>
  <c r="B1608" i="98"/>
  <c r="B1609" i="98"/>
  <c r="B1222" i="57"/>
  <c r="B1213" i="57"/>
  <c r="B1214" i="57"/>
  <c r="A50" i="131"/>
  <c r="A48" i="131" l="1"/>
  <c r="B1607" i="98" l="1"/>
  <c r="B1212" i="57"/>
  <c r="B1620" i="98" l="1"/>
  <c r="B332" i="131" l="1"/>
  <c r="A3" i="131" l="1"/>
  <c r="A52" i="131"/>
  <c r="B39" i="131" l="1"/>
  <c r="A54" i="131" l="1"/>
  <c r="B1228" i="57" l="1"/>
  <c r="B1614" i="98" l="1"/>
  <c r="B1603" i="98"/>
  <c r="B1599" i="98"/>
  <c r="B1220" i="57"/>
  <c r="B1205" i="57"/>
  <c r="B1208" i="57"/>
  <c r="B1613" i="98" l="1"/>
  <c r="B1219" i="57"/>
  <c r="B1624" i="98"/>
  <c r="B1226" i="57"/>
  <c r="B1216" i="57"/>
  <c r="B1217" i="57"/>
  <c r="B42" i="131"/>
  <c r="B70" i="131"/>
  <c r="B71" i="131"/>
  <c r="B76" i="131"/>
  <c r="B77" i="131"/>
  <c r="B78" i="131"/>
  <c r="B80" i="131"/>
  <c r="B81" i="131"/>
  <c r="B1623" i="98"/>
  <c r="B1625" i="98"/>
  <c r="B1225" i="57"/>
  <c r="B1227" i="57"/>
  <c r="B1605" i="98"/>
  <c r="B1606" i="98"/>
  <c r="B1215" i="57"/>
  <c r="B1604" i="98"/>
  <c r="B1210" i="57"/>
  <c r="B1211" i="57"/>
  <c r="B1206" i="57"/>
  <c r="B1597" i="98"/>
  <c r="B1602" i="98"/>
  <c r="B1209" i="57"/>
  <c r="B1622" i="98"/>
  <c r="B1224" i="57"/>
  <c r="B1601" i="98"/>
  <c r="B1221" i="57"/>
  <c r="B1610" i="98"/>
  <c r="A1" i="131"/>
  <c r="B36" i="131"/>
  <c r="B35" i="131"/>
  <c r="E8" i="42"/>
  <c r="C1" i="98"/>
  <c r="C3" i="98"/>
  <c r="C4" i="98"/>
  <c r="N19" i="98"/>
  <c r="N20" i="98"/>
  <c r="N21" i="98"/>
  <c r="N22" i="98"/>
  <c r="B1617" i="98"/>
  <c r="B1611" i="98"/>
  <c r="B1615" i="98"/>
  <c r="B1598" i="98"/>
  <c r="B1626" i="98"/>
  <c r="B1627" i="98"/>
  <c r="B1628" i="98"/>
  <c r="N20" i="57"/>
  <c r="N17" i="57"/>
  <c r="N18" i="57"/>
  <c r="N19" i="57"/>
  <c r="B4" i="47"/>
  <c r="B3" i="47"/>
  <c r="B1" i="47"/>
  <c r="C4" i="57"/>
  <c r="C3" i="57"/>
  <c r="C1" i="57"/>
  <c r="B5" i="47"/>
  <c r="E38" i="4"/>
  <c r="E57" i="4"/>
  <c r="E56" i="4"/>
  <c r="E55" i="4"/>
  <c r="E54" i="4"/>
  <c r="E53" i="4"/>
  <c r="E52" i="4"/>
  <c r="E51" i="4"/>
  <c r="E50" i="4"/>
  <c r="E49" i="4"/>
  <c r="E48" i="4"/>
  <c r="E47" i="4"/>
  <c r="E46" i="4"/>
  <c r="E43" i="4"/>
  <c r="E42" i="4"/>
  <c r="E41" i="4"/>
  <c r="E40" i="4"/>
  <c r="E39" i="4"/>
  <c r="E37" i="4"/>
  <c r="E36" i="4"/>
  <c r="B1223" i="57"/>
  <c r="B1204" i="57"/>
  <c r="B1218" i="57"/>
  <c r="B1207" i="57"/>
  <c r="B1203" i="57"/>
  <c r="B1229" i="57"/>
  <c r="E35" i="4"/>
  <c r="E34" i="4"/>
  <c r="B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ext.obouge</author>
    <author>William MALLOL</author>
    <author>usa.gewan</author>
    <author>GENDER Charlie - NOR</author>
  </authors>
  <commentList>
    <comment ref="B13" authorId="0" shapeId="0" xr:uid="{00000000-0006-0000-0500-000001000000}">
      <text>
        <r>
          <rPr>
            <b/>
            <sz val="12"/>
            <color indexed="81"/>
            <rFont val="Tahoma"/>
            <family val="2"/>
          </rPr>
          <t>Please use comma to separate commodities.</t>
        </r>
      </text>
    </comment>
    <comment ref="A22" authorId="1" shapeId="0" xr:uid="{00000000-0006-0000-0500-000002000000}">
      <text>
        <r>
          <rPr>
            <b/>
            <sz val="14"/>
            <color indexed="81"/>
            <rFont val="Tahoma"/>
            <family val="2"/>
          </rPr>
          <t>Port Group Codes can be used to group any two or more valid seaports that are common rated.
Port Group Codes cannot be used for inland locations.</t>
        </r>
      </text>
    </comment>
    <comment ref="B22" authorId="0" shapeId="0" xr:uid="{00000000-0006-0000-0500-000003000000}">
      <text>
        <r>
          <rPr>
            <b/>
            <sz val="14"/>
            <color indexed="81"/>
            <rFont val="Tahoma"/>
            <family val="2"/>
          </rPr>
          <t>Please use comma to separate ports.
Only valid sea ports may be included.</t>
        </r>
      </text>
    </comment>
    <comment ref="A45" authorId="1" shapeId="0" xr:uid="{00000000-0006-0000-0500-000004000000}">
      <text>
        <r>
          <rPr>
            <b/>
            <sz val="14"/>
            <color indexed="81"/>
            <rFont val="Tahoma"/>
            <family val="2"/>
          </rPr>
          <t>Please use FAK/ Bullets defined above.</t>
        </r>
      </text>
    </comment>
    <comment ref="B45" authorId="1" shapeId="0" xr:uid="{00000000-0006-0000-0500-000005000000}">
      <text>
        <r>
          <rPr>
            <b/>
            <sz val="14"/>
            <color indexed="81"/>
            <rFont val="Tahoma"/>
            <family val="2"/>
          </rPr>
          <t>City, State / ZIP Code</t>
        </r>
      </text>
    </comment>
    <comment ref="C45" authorId="1" shapeId="0" xr:uid="{00000000-0006-0000-0500-000006000000}">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D45" authorId="1" shapeId="0" xr:uid="{00000000-0006-0000-0500-000007000000}">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E45" authorId="1" shapeId="0" xr:uid="{00000000-0006-0000-0500-000008000000}">
      <text>
        <r>
          <rPr>
            <b/>
            <sz val="14"/>
            <color indexed="81"/>
            <rFont val="Tahoma"/>
            <family val="2"/>
          </rPr>
          <t>City, State / ZIP Code</t>
        </r>
      </text>
    </comment>
    <comment ref="F45" authorId="2" shapeId="0" xr:uid="{00000000-0006-0000-0500-000009000000}">
      <text>
        <r>
          <rPr>
            <b/>
            <sz val="14"/>
            <color indexed="81"/>
            <rFont val="Tahoma"/>
            <family val="2"/>
          </rPr>
          <t>Indicate the mode of transportation at origin and destination.
Mode cannot begin with CY if there is a location listed as place of receipt.
Mode cannot end with CY if there is a location is listed as place of delivery</t>
        </r>
      </text>
    </comment>
    <comment ref="G45" authorId="2" shapeId="0" xr:uid="{00000000-0006-0000-0500-00000A000000}">
      <text>
        <r>
          <rPr>
            <b/>
            <sz val="14"/>
            <color indexed="81"/>
            <rFont val="Tahoma"/>
            <family val="2"/>
          </rPr>
          <t>Indicate whether or not door service is included at origin and destination</t>
        </r>
      </text>
    </comment>
    <comment ref="M45" authorId="2" shapeId="0" xr:uid="{00000000-0006-0000-0500-00000B000000}">
      <text>
        <r>
          <rPr>
            <b/>
            <sz val="14"/>
            <color indexed="81"/>
            <rFont val="Tahoma"/>
            <family val="2"/>
          </rPr>
          <t>Use these columns for exceptions to surcharge applicability in note 2</t>
        </r>
      </text>
    </comment>
    <comment ref="AA45" authorId="2" shapeId="0" xr:uid="{00000000-0006-0000-0500-00000C000000}">
      <text>
        <r>
          <rPr>
            <b/>
            <sz val="14"/>
            <color indexed="81"/>
            <rFont val="Tahoma"/>
            <family val="2"/>
          </rPr>
          <t>This field controls construction using Arbitraries and Inland Tariffs
Y = allowed in US, N = not allowed in US, 
E = allowed at origin, I = allowed at destination,
B = allowed at both origin and destination
X = not allowed at either origin or destination</t>
        </r>
      </text>
    </comment>
    <comment ref="A514" authorId="1" shapeId="0" xr:uid="{00000000-0006-0000-0500-00000D000000}">
      <text>
        <r>
          <rPr>
            <b/>
            <sz val="14"/>
            <color indexed="81"/>
            <rFont val="Tahoma"/>
            <family val="2"/>
          </rPr>
          <t>Please use FAK/ Bullets defined above.</t>
        </r>
      </text>
    </comment>
    <comment ref="B514" authorId="1" shapeId="0" xr:uid="{00000000-0006-0000-0500-00000E000000}">
      <text>
        <r>
          <rPr>
            <b/>
            <sz val="14"/>
            <color indexed="81"/>
            <rFont val="Tahoma"/>
            <family val="2"/>
          </rPr>
          <t>City, State / ZIP Code</t>
        </r>
      </text>
    </comment>
    <comment ref="C514" authorId="1" shapeId="0" xr:uid="{00000000-0006-0000-0500-00000F000000}">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D514" authorId="1" shapeId="0" xr:uid="{00000000-0006-0000-0500-000010000000}">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E514" authorId="1" shapeId="0" xr:uid="{00000000-0006-0000-0500-000011000000}">
      <text>
        <r>
          <rPr>
            <b/>
            <sz val="14"/>
            <color indexed="81"/>
            <rFont val="Tahoma"/>
            <family val="2"/>
          </rPr>
          <t>City, State / ZIP Code</t>
        </r>
      </text>
    </comment>
    <comment ref="F514" authorId="2" shapeId="0" xr:uid="{00000000-0006-0000-0500-000012000000}">
      <text>
        <r>
          <rPr>
            <b/>
            <sz val="14"/>
            <color indexed="81"/>
            <rFont val="Tahoma"/>
            <family val="2"/>
          </rPr>
          <t>Indicate the mode of transportation at origin and destination.
Mode cannot begin with CY if there is a location listed as place of receipt.
Mode cannot end with CY if there is a location is listed as place of delivery</t>
        </r>
      </text>
    </comment>
    <comment ref="G514" authorId="2" shapeId="0" xr:uid="{00000000-0006-0000-0500-000013000000}">
      <text>
        <r>
          <rPr>
            <b/>
            <sz val="14"/>
            <color indexed="81"/>
            <rFont val="Tahoma"/>
            <family val="2"/>
          </rPr>
          <t>Indicate whether or not door service is included at origin and destination</t>
        </r>
      </text>
    </comment>
    <comment ref="O514" authorId="2" shapeId="0" xr:uid="{00000000-0006-0000-0500-000014000000}">
      <text>
        <r>
          <rPr>
            <b/>
            <sz val="14"/>
            <color indexed="81"/>
            <rFont val="Tahoma"/>
            <family val="2"/>
          </rPr>
          <t>Use these columns for exceptions to surcharge applicability in note 2</t>
        </r>
      </text>
    </comment>
    <comment ref="AA514" authorId="2" shapeId="0" xr:uid="{00000000-0006-0000-0500-000015000000}">
      <text>
        <r>
          <rPr>
            <b/>
            <sz val="14"/>
            <color indexed="81"/>
            <rFont val="Tahoma"/>
            <family val="2"/>
          </rPr>
          <t>This field controls construction using Arbitraries and Inland Tariffs
Y = allowed in US, N = not allowed in US, 
E = allowed at origin, I = allowed at destination,
B = allowed at both origin and destination
X = not allowed at either origin or destination</t>
        </r>
      </text>
    </comment>
    <comment ref="A615" authorId="1" shapeId="0" xr:uid="{00000000-0006-0000-0500-000016000000}">
      <text>
        <r>
          <rPr>
            <b/>
            <sz val="14"/>
            <color indexed="81"/>
            <rFont val="Tahoma"/>
            <family val="2"/>
          </rPr>
          <t>Please use FAK/ Bullets defined above.</t>
        </r>
      </text>
    </comment>
    <comment ref="B615" authorId="1" shapeId="0" xr:uid="{00000000-0006-0000-0500-000017000000}">
      <text>
        <r>
          <rPr>
            <b/>
            <sz val="14"/>
            <color indexed="81"/>
            <rFont val="Tahoma"/>
            <family val="2"/>
          </rPr>
          <t>City, State / ZIP Code</t>
        </r>
      </text>
    </comment>
    <comment ref="C615" authorId="1" shapeId="0" xr:uid="{00000000-0006-0000-0500-000018000000}">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D615" authorId="1" shapeId="0" xr:uid="{00000000-0006-0000-0500-000019000000}">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E615" authorId="1" shapeId="0" xr:uid="{00000000-0006-0000-0500-00001A000000}">
      <text>
        <r>
          <rPr>
            <b/>
            <sz val="14"/>
            <color indexed="81"/>
            <rFont val="Tahoma"/>
            <family val="2"/>
          </rPr>
          <t>City, State / ZIP Code</t>
        </r>
      </text>
    </comment>
    <comment ref="F615" authorId="2" shapeId="0" xr:uid="{00000000-0006-0000-0500-00001B000000}">
      <text>
        <r>
          <rPr>
            <b/>
            <sz val="14"/>
            <color indexed="81"/>
            <rFont val="Tahoma"/>
            <family val="2"/>
          </rPr>
          <t>Indicate the mode of transportation at origin and destination.
Mode cannot begin with CY if there is a location listed as place of receipt.
Mode cannot end with CY if there is a location is listed as place of delivery</t>
        </r>
      </text>
    </comment>
    <comment ref="G615" authorId="2" shapeId="0" xr:uid="{00000000-0006-0000-0500-00001C000000}">
      <text>
        <r>
          <rPr>
            <b/>
            <sz val="14"/>
            <color indexed="81"/>
            <rFont val="Tahoma"/>
            <family val="2"/>
          </rPr>
          <t>Indicate whether or not door service is included at origin and destination</t>
        </r>
      </text>
    </comment>
    <comment ref="Q615" authorId="2" shapeId="0" xr:uid="{00000000-0006-0000-0500-00001D000000}">
      <text>
        <r>
          <rPr>
            <b/>
            <sz val="14"/>
            <color indexed="81"/>
            <rFont val="Tahoma"/>
            <family val="2"/>
          </rPr>
          <t>Use these columns for exceptions to surcharge applicability in note 2</t>
        </r>
      </text>
    </comment>
    <comment ref="AC615" authorId="2" shapeId="0" xr:uid="{00000000-0006-0000-0500-00001E000000}">
      <text>
        <r>
          <rPr>
            <b/>
            <sz val="14"/>
            <color indexed="81"/>
            <rFont val="Tahoma"/>
            <family val="2"/>
          </rPr>
          <t>This field controls construction using Arbitraries and Inland Tariffs
Y = allowed in US, N = not allowed in US, 
E = allowed at origin, I = allowed at destination,
B = allowed at both origin and destination
X = not allowed at either origin or destination</t>
        </r>
      </text>
    </comment>
    <comment ref="B632" authorId="2" shapeId="0" xr:uid="{00000000-0006-0000-0500-00001F000000}">
      <text>
        <r>
          <rPr>
            <b/>
            <sz val="14"/>
            <color indexed="81"/>
            <rFont val="Tahoma"/>
            <family val="2"/>
          </rPr>
          <t>Place of Origin - may be an outport for feeder (CY) arbitraries or an inland origin
Format is:  City, State or ZIP Code</t>
        </r>
      </text>
    </comment>
    <comment ref="E632" authorId="2" shapeId="0" xr:uid="{00000000-0006-0000-0500-000020000000}">
      <text>
        <r>
          <rPr>
            <b/>
            <sz val="14"/>
            <color indexed="81"/>
            <rFont val="Tahoma"/>
            <family val="2"/>
          </rPr>
          <t xml:space="preserve">Please use only one port or a group of ports (Port groups must be defined in the Port Group Codes table).
Arbitrary construction can only occur with rate conditions which show these ports as the POL.
</t>
        </r>
        <r>
          <rPr>
            <b/>
            <i/>
            <sz val="14"/>
            <color indexed="81"/>
            <rFont val="Tahoma"/>
            <family val="2"/>
          </rPr>
          <t>All ports must be valid SEA ports.</t>
        </r>
      </text>
    </comment>
    <comment ref="F632" authorId="2" shapeId="0" xr:uid="{00000000-0006-0000-0500-000021000000}">
      <text>
        <r>
          <rPr>
            <b/>
            <sz val="14"/>
            <color indexed="81"/>
            <rFont val="Tahoma"/>
            <family val="2"/>
          </rPr>
          <t>Indicate the mode of transportation between the arbitrary place of receipt and arbitrary POL.
CY modes can only be used when the mode of transportation is by Feeder.
Use of CY mode requires both the locations to be valid SEA ports.</t>
        </r>
      </text>
    </comment>
    <comment ref="G632" authorId="2" shapeId="0" xr:uid="{00000000-0006-0000-0500-000022000000}">
      <text>
        <r>
          <rPr>
            <b/>
            <sz val="14"/>
            <color indexed="81"/>
            <rFont val="Tahoma"/>
            <family val="2"/>
          </rPr>
          <t>Indicate whether or not door service is included in the arbitrary rate</t>
        </r>
      </text>
    </comment>
    <comment ref="H632" authorId="2" shapeId="0" xr:uid="{00000000-0006-0000-0500-000023000000}">
      <text>
        <r>
          <rPr>
            <b/>
            <sz val="14"/>
            <color indexed="81"/>
            <rFont val="Tahoma"/>
            <family val="2"/>
          </rPr>
          <t>Input the rate in this field when the same amount applies for all container sizes</t>
        </r>
      </text>
    </comment>
    <comment ref="N632" authorId="2" shapeId="0" xr:uid="{00000000-0006-0000-0500-000024000000}">
      <text>
        <r>
          <rPr>
            <b/>
            <sz val="14"/>
            <color indexed="81"/>
            <rFont val="Tahoma"/>
            <family val="2"/>
          </rPr>
          <t>Each Arbitrary applies only to FAK / Bullets as specifically listed in this field.</t>
        </r>
      </text>
    </comment>
    <comment ref="B1189" authorId="2" shapeId="0" xr:uid="{00000000-0006-0000-0500-000025000000}">
      <text>
        <r>
          <rPr>
            <b/>
            <sz val="14"/>
            <color indexed="81"/>
            <rFont val="Tahoma"/>
            <family val="2"/>
          </rPr>
          <t>Place of Destination - may be an outport for feeder (CY) arbitraries or an inland destination
Format is:  City, State or ZIP Code</t>
        </r>
      </text>
    </comment>
    <comment ref="E1189" authorId="2" shapeId="0" xr:uid="{00000000-0006-0000-0500-000026000000}">
      <text>
        <r>
          <rPr>
            <b/>
            <sz val="14"/>
            <color indexed="81"/>
            <rFont val="Tahoma"/>
            <family val="2"/>
          </rPr>
          <t xml:space="preserve">Please use only one port or a group of ports (Port groups must be defined in the Port Group Codes table).
Arbitrary construction can only occur with rate conditions which show these ports as the POD.
</t>
        </r>
        <r>
          <rPr>
            <b/>
            <i/>
            <sz val="14"/>
            <color indexed="81"/>
            <rFont val="Tahoma"/>
            <family val="2"/>
          </rPr>
          <t>All ports must be valid SEA ports.</t>
        </r>
      </text>
    </comment>
    <comment ref="F1189" authorId="2" shapeId="0" xr:uid="{00000000-0006-0000-0500-000027000000}">
      <text>
        <r>
          <rPr>
            <b/>
            <sz val="14"/>
            <color indexed="81"/>
            <rFont val="Tahoma"/>
            <family val="2"/>
          </rPr>
          <t>Indicate the mode of transportation between the arbitrary POD and arbitrary place of delivery.
CY modes can only be used when the mode of transportation is by Feeder.
Use of CY mode requires both the locations to be valid SEA ports.</t>
        </r>
      </text>
    </comment>
    <comment ref="G1189" authorId="2" shapeId="0" xr:uid="{00000000-0006-0000-0500-000028000000}">
      <text>
        <r>
          <rPr>
            <b/>
            <sz val="14"/>
            <color indexed="81"/>
            <rFont val="Tahoma"/>
            <family val="2"/>
          </rPr>
          <t>Indicate whether or not door service is included in the arbitrary rate</t>
        </r>
      </text>
    </comment>
    <comment ref="H1189" authorId="2" shapeId="0" xr:uid="{00000000-0006-0000-0500-000029000000}">
      <text>
        <r>
          <rPr>
            <b/>
            <sz val="14"/>
            <color indexed="81"/>
            <rFont val="Tahoma"/>
            <family val="2"/>
          </rPr>
          <t>Input the rate in this field when the same amount applies for all container sizes</t>
        </r>
      </text>
    </comment>
    <comment ref="N1189" authorId="2" shapeId="0" xr:uid="{00000000-0006-0000-0500-00002A000000}">
      <text>
        <r>
          <rPr>
            <b/>
            <sz val="14"/>
            <color indexed="81"/>
            <rFont val="Tahoma"/>
            <family val="2"/>
          </rPr>
          <t>Each Arbitrary applies only to FAK / Bullets as specifically listed in this field.</t>
        </r>
      </text>
    </comment>
    <comment ref="L1200" authorId="2" shapeId="0" xr:uid="{00000000-0006-0000-0500-00002B000000}">
      <text>
        <r>
          <rPr>
            <b/>
            <sz val="14"/>
            <color indexed="81"/>
            <rFont val="Tahoma"/>
            <family val="2"/>
          </rPr>
          <t>Surcharge applicability mentioned on any row applies specifically to the individual port mentioned in this field.
If the Applicable Port field is blank, then the  surcharge applicability stated on that row applies to all ports.</t>
        </r>
      </text>
    </comment>
    <comment ref="A1283" authorId="2" shapeId="0" xr:uid="{00000000-0006-0000-0500-00002C000000}">
      <text>
        <r>
          <rPr>
            <sz val="12"/>
            <color indexed="81"/>
            <rFont val="Tahoma"/>
            <family val="2"/>
          </rPr>
          <t>Select the bullet for which the exception applies.
If exception applies to all bullets, select "ALL".</t>
        </r>
      </text>
    </comment>
    <comment ref="B1283" authorId="2" shapeId="0" xr:uid="{00000000-0006-0000-0500-00002D000000}">
      <text>
        <r>
          <rPr>
            <sz val="12"/>
            <color indexed="81"/>
            <rFont val="Tahoma"/>
            <family val="2"/>
          </rPr>
          <t xml:space="preserve">Specify if Free Time condition applies to Export or Import:
</t>
        </r>
        <r>
          <rPr>
            <b/>
            <sz val="12"/>
            <color indexed="81"/>
            <rFont val="Tahoma"/>
            <family val="2"/>
          </rPr>
          <t xml:space="preserve">E </t>
        </r>
        <r>
          <rPr>
            <sz val="12"/>
            <color indexed="81"/>
            <rFont val="Tahoma"/>
            <family val="2"/>
          </rPr>
          <t xml:space="preserve">(Export) = applies at origin
</t>
        </r>
        <r>
          <rPr>
            <b/>
            <sz val="12"/>
            <color indexed="81"/>
            <rFont val="Tahoma"/>
            <family val="2"/>
          </rPr>
          <t xml:space="preserve">I </t>
        </r>
        <r>
          <rPr>
            <sz val="12"/>
            <color indexed="81"/>
            <rFont val="Tahoma"/>
            <family val="2"/>
          </rPr>
          <t>(Import) = applies at destination</t>
        </r>
      </text>
    </comment>
    <comment ref="C1283" authorId="2" shapeId="0" xr:uid="{00000000-0006-0000-0500-00002E000000}">
      <text>
        <r>
          <rPr>
            <sz val="12"/>
            <color indexed="81"/>
            <rFont val="Tahoma"/>
            <family val="2"/>
          </rPr>
          <t>Enter Type of Free Time:</t>
        </r>
        <r>
          <rPr>
            <u/>
            <sz val="12"/>
            <color indexed="81"/>
            <rFont val="Tahoma"/>
            <family val="2"/>
          </rPr>
          <t xml:space="preserve">
</t>
        </r>
        <r>
          <rPr>
            <sz val="12"/>
            <color indexed="81"/>
            <rFont val="Tahoma"/>
            <family val="2"/>
          </rPr>
          <t xml:space="preserve">
</t>
        </r>
        <r>
          <rPr>
            <b/>
            <sz val="12"/>
            <color indexed="81"/>
            <rFont val="Tahoma"/>
            <family val="2"/>
          </rPr>
          <t>Detention
Demurrage
Merged</t>
        </r>
      </text>
    </comment>
    <comment ref="F1283" authorId="2" shapeId="0" xr:uid="{00000000-0006-0000-0500-00002F000000}">
      <text>
        <r>
          <rPr>
            <sz val="12"/>
            <color indexed="81"/>
            <rFont val="Tahoma"/>
            <family val="2"/>
          </rPr>
          <t xml:space="preserve">Specify Equipment Type (blank field indicates applicability to all Eq Types):
</t>
        </r>
        <r>
          <rPr>
            <b/>
            <sz val="12"/>
            <color indexed="81"/>
            <rFont val="Tahoma"/>
            <family val="2"/>
          </rPr>
          <t>D</t>
        </r>
        <r>
          <rPr>
            <sz val="12"/>
            <color indexed="81"/>
            <rFont val="Tahoma"/>
            <family val="2"/>
          </rPr>
          <t xml:space="preserve"> = Dry
</t>
        </r>
        <r>
          <rPr>
            <b/>
            <sz val="12"/>
            <color indexed="81"/>
            <rFont val="Tahoma"/>
            <family val="2"/>
          </rPr>
          <t>R</t>
        </r>
        <r>
          <rPr>
            <sz val="12"/>
            <color indexed="81"/>
            <rFont val="Tahoma"/>
            <family val="2"/>
          </rPr>
          <t xml:space="preserve"> = Reefer
</t>
        </r>
        <r>
          <rPr>
            <b/>
            <sz val="12"/>
            <color indexed="81"/>
            <rFont val="Tahoma"/>
            <family val="2"/>
          </rPr>
          <t>OT</t>
        </r>
        <r>
          <rPr>
            <sz val="12"/>
            <color indexed="81"/>
            <rFont val="Tahoma"/>
            <family val="2"/>
          </rPr>
          <t xml:space="preserve"> = Open Top
</t>
        </r>
        <r>
          <rPr>
            <b/>
            <sz val="12"/>
            <color indexed="81"/>
            <rFont val="Tahoma"/>
            <family val="2"/>
          </rPr>
          <t>FR</t>
        </r>
        <r>
          <rPr>
            <sz val="12"/>
            <color indexed="81"/>
            <rFont val="Tahoma"/>
            <family val="2"/>
          </rPr>
          <t xml:space="preserve"> = Flat Rack</t>
        </r>
      </text>
    </comment>
    <comment ref="G1283" authorId="2" shapeId="0" xr:uid="{00000000-0006-0000-0500-000030000000}">
      <text>
        <r>
          <rPr>
            <sz val="12"/>
            <color indexed="81"/>
            <rFont val="Tahoma"/>
            <family val="2"/>
          </rPr>
          <t>Select "OR" from the drop down list if condition applies to Operating Reefers</t>
        </r>
      </text>
    </comment>
    <comment ref="H1283" authorId="2" shapeId="0" xr:uid="{00000000-0006-0000-0500-000031000000}">
      <text>
        <r>
          <rPr>
            <sz val="12"/>
            <color indexed="81"/>
            <rFont val="Tahoma"/>
            <family val="2"/>
          </rPr>
          <t xml:space="preserve">Specify the Place of Receipt if necessary.  </t>
        </r>
        <r>
          <rPr>
            <u/>
            <sz val="12"/>
            <color indexed="81"/>
            <rFont val="Tahoma"/>
            <family val="2"/>
          </rPr>
          <t>Do not</t>
        </r>
        <r>
          <rPr>
            <sz val="12"/>
            <color indexed="81"/>
            <rFont val="Tahoma"/>
            <family val="2"/>
          </rPr>
          <t xml:space="preserve"> use "ALL".
Only 1 location may be entered per row.</t>
        </r>
      </text>
    </comment>
    <comment ref="I1283" authorId="2" shapeId="0" xr:uid="{00000000-0006-0000-0500-000032000000}">
      <text>
        <r>
          <rPr>
            <sz val="12"/>
            <color indexed="81"/>
            <rFont val="Tahoma"/>
            <family val="2"/>
          </rPr>
          <t xml:space="preserve">Enter the POL if necessary.  </t>
        </r>
        <r>
          <rPr>
            <u/>
            <sz val="12"/>
            <color indexed="81"/>
            <rFont val="Tahoma"/>
            <family val="2"/>
          </rPr>
          <t>Do not</t>
        </r>
        <r>
          <rPr>
            <sz val="12"/>
            <color indexed="81"/>
            <rFont val="Tahoma"/>
            <family val="2"/>
          </rPr>
          <t xml:space="preserve"> use "ALL".
Only 1 location is allowed per row and must be a valid seaport.</t>
        </r>
      </text>
    </comment>
    <comment ref="J1283" authorId="2" shapeId="0" xr:uid="{00000000-0006-0000-0500-000033000000}">
      <text>
        <r>
          <rPr>
            <sz val="12"/>
            <color indexed="81"/>
            <rFont val="Tahoma"/>
            <family val="2"/>
          </rPr>
          <t xml:space="preserve">Enter the POD if necessary.  </t>
        </r>
        <r>
          <rPr>
            <u/>
            <sz val="12"/>
            <color indexed="81"/>
            <rFont val="Tahoma"/>
            <family val="2"/>
          </rPr>
          <t>Do not</t>
        </r>
        <r>
          <rPr>
            <sz val="12"/>
            <color indexed="81"/>
            <rFont val="Tahoma"/>
            <family val="2"/>
          </rPr>
          <t xml:space="preserve"> use "ALL".
Only 1 location is allowed per row and must be a valid seaport.</t>
        </r>
      </text>
    </comment>
    <comment ref="K1283" authorId="2" shapeId="0" xr:uid="{00000000-0006-0000-0500-000034000000}">
      <text>
        <r>
          <rPr>
            <sz val="12"/>
            <color indexed="81"/>
            <rFont val="Tahoma"/>
            <family val="2"/>
          </rPr>
          <t xml:space="preserve">Specify the Place of Delivery if necessary.  </t>
        </r>
        <r>
          <rPr>
            <u/>
            <sz val="12"/>
            <color indexed="81"/>
            <rFont val="Tahoma"/>
            <family val="2"/>
          </rPr>
          <t>Do not</t>
        </r>
        <r>
          <rPr>
            <sz val="12"/>
            <color indexed="81"/>
            <rFont val="Tahoma"/>
            <family val="2"/>
          </rPr>
          <t xml:space="preserve"> use "ALL".
Only 1 location may be entered per row.</t>
        </r>
      </text>
    </comment>
    <comment ref="L1283" authorId="3" shapeId="0" xr:uid="{BAAE1D0A-B654-4947-A1F1-9B7BE64E609D}">
      <text>
        <r>
          <rPr>
            <sz val="12"/>
            <color indexed="81"/>
            <rFont val="Tahoma"/>
            <family val="2"/>
          </rPr>
          <t xml:space="preserve">Enter the Country Code ONLY.  </t>
        </r>
        <r>
          <rPr>
            <u/>
            <sz val="12"/>
            <color indexed="81"/>
            <rFont val="Tahoma"/>
            <family val="2"/>
          </rPr>
          <t>Cannot</t>
        </r>
        <r>
          <rPr>
            <sz val="12"/>
            <color indexed="81"/>
            <rFont val="Tahoma"/>
            <family val="2"/>
          </rPr>
          <t xml:space="preserve"> use "ALL" or country name</t>
        </r>
      </text>
    </comment>
    <comment ref="M1283" authorId="2" shapeId="0" xr:uid="{00000000-0006-0000-0500-000035000000}">
      <text>
        <r>
          <rPr>
            <sz val="12"/>
            <color indexed="81"/>
            <rFont val="Tahoma"/>
            <family val="2"/>
          </rPr>
          <t xml:space="preserve">Enter additional notes only when absolutely necessary.  
</t>
        </r>
        <r>
          <rPr>
            <u/>
            <sz val="12"/>
            <color indexed="81"/>
            <rFont val="Tahoma"/>
            <family val="2"/>
          </rPr>
          <t>IMPORTANT</t>
        </r>
        <r>
          <rPr>
            <sz val="12"/>
            <color indexed="81"/>
            <rFont val="Tahoma"/>
            <family val="2"/>
          </rPr>
          <t xml:space="preserve">:  Named accounts and specific commodities </t>
        </r>
        <r>
          <rPr>
            <b/>
            <u/>
            <sz val="12"/>
            <color indexed="81"/>
            <rFont val="Tahoma"/>
            <family val="2"/>
          </rPr>
          <t>may not</t>
        </r>
        <r>
          <rPr>
            <sz val="12"/>
            <color indexed="81"/>
            <rFont val="Tahoma"/>
            <family val="2"/>
          </rPr>
          <t xml:space="preserve"> be listed as Notes.</t>
        </r>
      </text>
    </comment>
    <comment ref="A1296" authorId="2" shapeId="0" xr:uid="{00000000-0006-0000-0500-000036000000}">
      <text>
        <r>
          <rPr>
            <sz val="12"/>
            <color indexed="81"/>
            <rFont val="Tahoma"/>
            <family val="2"/>
          </rPr>
          <t>Select the bullet for which the exception applies.
If exception applies to all bullets, select "ALL".</t>
        </r>
      </text>
    </comment>
    <comment ref="B1296" authorId="2" shapeId="0" xr:uid="{00000000-0006-0000-0500-000037000000}">
      <text>
        <r>
          <rPr>
            <sz val="12"/>
            <color indexed="81"/>
            <rFont val="Tahoma"/>
            <family val="2"/>
          </rPr>
          <t xml:space="preserve">Specify if Free Time condition applies to Export or Import:
</t>
        </r>
        <r>
          <rPr>
            <b/>
            <sz val="12"/>
            <color indexed="81"/>
            <rFont val="Tahoma"/>
            <family val="2"/>
          </rPr>
          <t xml:space="preserve">E </t>
        </r>
        <r>
          <rPr>
            <sz val="12"/>
            <color indexed="81"/>
            <rFont val="Tahoma"/>
            <family val="2"/>
          </rPr>
          <t xml:space="preserve">(Export) = applies at origin
</t>
        </r>
        <r>
          <rPr>
            <b/>
            <sz val="12"/>
            <color indexed="81"/>
            <rFont val="Tahoma"/>
            <family val="2"/>
          </rPr>
          <t xml:space="preserve">I </t>
        </r>
        <r>
          <rPr>
            <sz val="12"/>
            <color indexed="81"/>
            <rFont val="Tahoma"/>
            <family val="2"/>
          </rPr>
          <t>(Import) = applies at destination</t>
        </r>
      </text>
    </comment>
    <comment ref="C1296" authorId="2" shapeId="0" xr:uid="{00000000-0006-0000-0500-000038000000}">
      <text>
        <r>
          <rPr>
            <sz val="12"/>
            <color indexed="81"/>
            <rFont val="Tahoma"/>
            <family val="2"/>
          </rPr>
          <t>Enter Type of Free Time:</t>
        </r>
        <r>
          <rPr>
            <u/>
            <sz val="12"/>
            <color indexed="81"/>
            <rFont val="Tahoma"/>
            <family val="2"/>
          </rPr>
          <t xml:space="preserve">
</t>
        </r>
        <r>
          <rPr>
            <sz val="12"/>
            <color indexed="81"/>
            <rFont val="Tahoma"/>
            <family val="2"/>
          </rPr>
          <t xml:space="preserve">
</t>
        </r>
        <r>
          <rPr>
            <b/>
            <sz val="12"/>
            <color indexed="81"/>
            <rFont val="Tahoma"/>
            <family val="2"/>
          </rPr>
          <t>Detention
Demurrage
Merged</t>
        </r>
      </text>
    </comment>
    <comment ref="F1296" authorId="2" shapeId="0" xr:uid="{00000000-0006-0000-0500-000039000000}">
      <text>
        <r>
          <rPr>
            <sz val="12"/>
            <color indexed="81"/>
            <rFont val="Tahoma"/>
            <family val="2"/>
          </rPr>
          <t>If any exceptional charges are offered, then the currency is required to be shown.</t>
        </r>
      </text>
    </comment>
    <comment ref="O1296" authorId="2" shapeId="0" xr:uid="{00000000-0006-0000-0500-00003A000000}">
      <text>
        <r>
          <rPr>
            <sz val="12"/>
            <color indexed="81"/>
            <rFont val="Tahoma"/>
            <family val="2"/>
          </rPr>
          <t xml:space="preserve">Specify Equipment Type (blank field indicates applicability to all Eq Types):
</t>
        </r>
        <r>
          <rPr>
            <b/>
            <sz val="12"/>
            <color indexed="81"/>
            <rFont val="Tahoma"/>
            <family val="2"/>
          </rPr>
          <t>D</t>
        </r>
        <r>
          <rPr>
            <sz val="12"/>
            <color indexed="81"/>
            <rFont val="Tahoma"/>
            <family val="2"/>
          </rPr>
          <t xml:space="preserve"> = Dry
</t>
        </r>
        <r>
          <rPr>
            <b/>
            <sz val="12"/>
            <color indexed="81"/>
            <rFont val="Tahoma"/>
            <family val="2"/>
          </rPr>
          <t>R</t>
        </r>
        <r>
          <rPr>
            <sz val="12"/>
            <color indexed="81"/>
            <rFont val="Tahoma"/>
            <family val="2"/>
          </rPr>
          <t xml:space="preserve"> = Reefer
</t>
        </r>
        <r>
          <rPr>
            <b/>
            <sz val="12"/>
            <color indexed="81"/>
            <rFont val="Tahoma"/>
            <family val="2"/>
          </rPr>
          <t>OT</t>
        </r>
        <r>
          <rPr>
            <sz val="12"/>
            <color indexed="81"/>
            <rFont val="Tahoma"/>
            <family val="2"/>
          </rPr>
          <t xml:space="preserve"> = Open Top
</t>
        </r>
        <r>
          <rPr>
            <b/>
            <sz val="12"/>
            <color indexed="81"/>
            <rFont val="Tahoma"/>
            <family val="2"/>
          </rPr>
          <t>FR</t>
        </r>
        <r>
          <rPr>
            <sz val="12"/>
            <color indexed="81"/>
            <rFont val="Tahoma"/>
            <family val="2"/>
          </rPr>
          <t xml:space="preserve"> = Flat Rack</t>
        </r>
      </text>
    </comment>
    <comment ref="P1296" authorId="2" shapeId="0" xr:uid="{00000000-0006-0000-0500-00003B000000}">
      <text>
        <r>
          <rPr>
            <sz val="12"/>
            <color indexed="81"/>
            <rFont val="Tahoma"/>
            <family val="2"/>
          </rPr>
          <t>Select "OR" from the drop down list if condition applies to Operating Reefers</t>
        </r>
      </text>
    </comment>
    <comment ref="Q1296" authorId="2" shapeId="0" xr:uid="{00000000-0006-0000-0500-00003C000000}">
      <text>
        <r>
          <rPr>
            <sz val="12"/>
            <color indexed="81"/>
            <rFont val="Tahoma"/>
            <family val="2"/>
          </rPr>
          <t xml:space="preserve">Specify the Place of Receipt if necessary.  </t>
        </r>
        <r>
          <rPr>
            <u/>
            <sz val="12"/>
            <color indexed="81"/>
            <rFont val="Tahoma"/>
            <family val="2"/>
          </rPr>
          <t>Do not</t>
        </r>
        <r>
          <rPr>
            <sz val="12"/>
            <color indexed="81"/>
            <rFont val="Tahoma"/>
            <family val="2"/>
          </rPr>
          <t xml:space="preserve"> use "ALL".
Only 1 location may be entered per row.</t>
        </r>
      </text>
    </comment>
    <comment ref="R1296" authorId="2" shapeId="0" xr:uid="{00000000-0006-0000-0500-00003D000000}">
      <text>
        <r>
          <rPr>
            <sz val="12"/>
            <color indexed="81"/>
            <rFont val="Tahoma"/>
            <family val="2"/>
          </rPr>
          <t xml:space="preserve">Enter the POL if necessary.  </t>
        </r>
        <r>
          <rPr>
            <u/>
            <sz val="12"/>
            <color indexed="81"/>
            <rFont val="Tahoma"/>
            <family val="2"/>
          </rPr>
          <t>Do not</t>
        </r>
        <r>
          <rPr>
            <sz val="12"/>
            <color indexed="81"/>
            <rFont val="Tahoma"/>
            <family val="2"/>
          </rPr>
          <t xml:space="preserve"> use "ALL".
Only 1 location is allowed per row and must be a valid seaport.</t>
        </r>
      </text>
    </comment>
    <comment ref="S1296" authorId="2" shapeId="0" xr:uid="{00000000-0006-0000-0500-00003E000000}">
      <text>
        <r>
          <rPr>
            <sz val="12"/>
            <color indexed="81"/>
            <rFont val="Tahoma"/>
            <family val="2"/>
          </rPr>
          <t xml:space="preserve">Enter the POD if necessary.  </t>
        </r>
        <r>
          <rPr>
            <u/>
            <sz val="12"/>
            <color indexed="81"/>
            <rFont val="Tahoma"/>
            <family val="2"/>
          </rPr>
          <t>Do not</t>
        </r>
        <r>
          <rPr>
            <sz val="12"/>
            <color indexed="81"/>
            <rFont val="Tahoma"/>
            <family val="2"/>
          </rPr>
          <t xml:space="preserve"> use "ALL".
Only 1 location is allowed per row and must be a valid seaport.</t>
        </r>
      </text>
    </comment>
    <comment ref="T1296" authorId="2" shapeId="0" xr:uid="{00000000-0006-0000-0500-00003F000000}">
      <text>
        <r>
          <rPr>
            <sz val="12"/>
            <color indexed="81"/>
            <rFont val="Tahoma"/>
            <family val="2"/>
          </rPr>
          <t xml:space="preserve">Specify the Place of Delivery if necessary.  </t>
        </r>
        <r>
          <rPr>
            <u/>
            <sz val="12"/>
            <color indexed="81"/>
            <rFont val="Tahoma"/>
            <family val="2"/>
          </rPr>
          <t>Do not</t>
        </r>
        <r>
          <rPr>
            <sz val="12"/>
            <color indexed="81"/>
            <rFont val="Tahoma"/>
            <family val="2"/>
          </rPr>
          <t xml:space="preserve"> use "ALL".
Only 1 location may be entered per row.</t>
        </r>
      </text>
    </comment>
    <comment ref="U1296" authorId="3" shapeId="0" xr:uid="{90A1E43C-48C6-41FB-98C9-1C6BE94AA882}">
      <text>
        <r>
          <rPr>
            <sz val="12"/>
            <color indexed="81"/>
            <rFont val="Tahoma"/>
            <family val="2"/>
          </rPr>
          <t xml:space="preserve">Enter the Country Code ONLY.  </t>
        </r>
        <r>
          <rPr>
            <u/>
            <sz val="12"/>
            <color indexed="81"/>
            <rFont val="Tahoma"/>
            <family val="2"/>
          </rPr>
          <t>Cannot</t>
        </r>
        <r>
          <rPr>
            <sz val="12"/>
            <color indexed="81"/>
            <rFont val="Tahoma"/>
            <family val="2"/>
          </rPr>
          <t xml:space="preserve"> use "ALL" or country name</t>
        </r>
      </text>
    </comment>
    <comment ref="V1296" authorId="2" shapeId="0" xr:uid="{00000000-0006-0000-0500-000040000000}">
      <text>
        <r>
          <rPr>
            <sz val="12"/>
            <color indexed="81"/>
            <rFont val="Tahoma"/>
            <family val="2"/>
          </rPr>
          <t xml:space="preserve">Enter additional notes only when absolutely necessary.  
</t>
        </r>
        <r>
          <rPr>
            <u/>
            <sz val="12"/>
            <color indexed="81"/>
            <rFont val="Tahoma"/>
            <family val="2"/>
          </rPr>
          <t>IMPORTANT</t>
        </r>
        <r>
          <rPr>
            <sz val="12"/>
            <color indexed="81"/>
            <rFont val="Tahoma"/>
            <family val="2"/>
          </rPr>
          <t xml:space="preserve">:  Named accounts and specific commodities </t>
        </r>
        <r>
          <rPr>
            <b/>
            <u/>
            <sz val="12"/>
            <color indexed="81"/>
            <rFont val="Tahoma"/>
            <family val="2"/>
          </rPr>
          <t>may not</t>
        </r>
        <r>
          <rPr>
            <sz val="12"/>
            <color indexed="81"/>
            <rFont val="Tahoma"/>
            <family val="2"/>
          </rPr>
          <t xml:space="preserve"> be listed as Notes.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ext.obouge</author>
    <author>William MALLOL</author>
    <author>usa.gewan</author>
    <author>GENDER Charlie - NOR</author>
  </authors>
  <commentList>
    <comment ref="B13" authorId="0" shapeId="0" xr:uid="{00000000-0006-0000-0600-000001000000}">
      <text>
        <r>
          <rPr>
            <b/>
            <sz val="12"/>
            <color indexed="81"/>
            <rFont val="Tahoma"/>
            <family val="2"/>
          </rPr>
          <t>Please use comma to separate commodities.</t>
        </r>
      </text>
    </comment>
    <comment ref="A24" authorId="1" shapeId="0" xr:uid="{00000000-0006-0000-0600-000002000000}">
      <text>
        <r>
          <rPr>
            <b/>
            <sz val="14"/>
            <color indexed="81"/>
            <rFont val="Tahoma"/>
            <family val="2"/>
          </rPr>
          <t>Port Group Codes can be used to group any two or more valid seaports that are common rated.
Port Group Codes cannot be used for inland locations.</t>
        </r>
      </text>
    </comment>
    <comment ref="B24" authorId="0" shapeId="0" xr:uid="{00000000-0006-0000-0600-000003000000}">
      <text>
        <r>
          <rPr>
            <b/>
            <sz val="14"/>
            <color indexed="81"/>
            <rFont val="Tahoma"/>
            <family val="2"/>
          </rPr>
          <t>Please use comma to separate ports.
Only valid sea ports may be included.</t>
        </r>
      </text>
    </comment>
    <comment ref="A41" authorId="1" shapeId="0" xr:uid="{00000000-0006-0000-0600-000004000000}">
      <text>
        <r>
          <rPr>
            <b/>
            <sz val="14"/>
            <color indexed="81"/>
            <rFont val="Tahoma"/>
            <family val="2"/>
          </rPr>
          <t>Please use FAK/ Bullets defined above.</t>
        </r>
      </text>
    </comment>
    <comment ref="B41" authorId="1" shapeId="0" xr:uid="{00000000-0006-0000-0600-000005000000}">
      <text>
        <r>
          <rPr>
            <b/>
            <sz val="14"/>
            <color indexed="81"/>
            <rFont val="Tahoma"/>
            <family val="2"/>
          </rPr>
          <t>City, State / ZIP Code</t>
        </r>
      </text>
    </comment>
    <comment ref="C41" authorId="1" shapeId="0" xr:uid="{00000000-0006-0000-0600-000006000000}">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D41" authorId="1" shapeId="0" xr:uid="{00000000-0006-0000-0600-000007000000}">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E41" authorId="1" shapeId="0" xr:uid="{00000000-0006-0000-0600-000008000000}">
      <text>
        <r>
          <rPr>
            <b/>
            <sz val="14"/>
            <color indexed="81"/>
            <rFont val="Tahoma"/>
            <family val="2"/>
          </rPr>
          <t>City, State / ZIP Code</t>
        </r>
      </text>
    </comment>
    <comment ref="F41" authorId="2" shapeId="0" xr:uid="{00000000-0006-0000-0600-000009000000}">
      <text>
        <r>
          <rPr>
            <b/>
            <sz val="14"/>
            <color indexed="81"/>
            <rFont val="Tahoma"/>
            <family val="2"/>
          </rPr>
          <t>Indicate the mode of transportation at origin and destination.
Mode cannot begin with CY if there is a location listed as place of receipt.
Mode cannot end with CY if there is a location is listed as place of delivery</t>
        </r>
      </text>
    </comment>
    <comment ref="G41" authorId="2" shapeId="0" xr:uid="{00000000-0006-0000-0600-00000A000000}">
      <text>
        <r>
          <rPr>
            <b/>
            <sz val="14"/>
            <color indexed="81"/>
            <rFont val="Tahoma"/>
            <family val="2"/>
          </rPr>
          <t>Indicate whether or not door service is included at origin and destination</t>
        </r>
      </text>
    </comment>
    <comment ref="M41" authorId="2" shapeId="0" xr:uid="{00000000-0006-0000-0600-00000B000000}">
      <text>
        <r>
          <rPr>
            <b/>
            <sz val="14"/>
            <color indexed="81"/>
            <rFont val="Tahoma"/>
            <family val="2"/>
          </rPr>
          <t>Use these columns for exceptions to surcharge applicability in note 2</t>
        </r>
      </text>
    </comment>
    <comment ref="AA41" authorId="2" shapeId="0" xr:uid="{00000000-0006-0000-0600-00000C000000}">
      <text>
        <r>
          <rPr>
            <b/>
            <sz val="14"/>
            <color indexed="81"/>
            <rFont val="Tahoma"/>
            <family val="2"/>
          </rPr>
          <t>This field controls construction using Arbitraries and Inland Tariffs
Y = allowed in US, N = not allowed in US, 
E = allowed at origin, I = allowed at destination,
B = allowed at both origin and destination
X = not allowed at either origin or destination</t>
        </r>
      </text>
    </comment>
    <comment ref="A484" authorId="1" shapeId="0" xr:uid="{00000000-0006-0000-0600-00000D000000}">
      <text>
        <r>
          <rPr>
            <b/>
            <sz val="14"/>
            <color indexed="81"/>
            <rFont val="Tahoma"/>
            <family val="2"/>
          </rPr>
          <t>Please use FAK/ Bullets defined above.</t>
        </r>
      </text>
    </comment>
    <comment ref="B484" authorId="1" shapeId="0" xr:uid="{00000000-0006-0000-0600-00000E000000}">
      <text>
        <r>
          <rPr>
            <b/>
            <sz val="14"/>
            <color indexed="81"/>
            <rFont val="Tahoma"/>
            <family val="2"/>
          </rPr>
          <t>City, State / ZIP Code</t>
        </r>
      </text>
    </comment>
    <comment ref="C484" authorId="1" shapeId="0" xr:uid="{00000000-0006-0000-0600-00000F000000}">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D484" authorId="1" shapeId="0" xr:uid="{00000000-0006-0000-0600-000010000000}">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E484" authorId="1" shapeId="0" xr:uid="{00000000-0006-0000-0600-000011000000}">
      <text>
        <r>
          <rPr>
            <b/>
            <sz val="14"/>
            <color indexed="81"/>
            <rFont val="Tahoma"/>
            <family val="2"/>
          </rPr>
          <t>City, State / ZIP Code</t>
        </r>
      </text>
    </comment>
    <comment ref="F484" authorId="2" shapeId="0" xr:uid="{00000000-0006-0000-0600-000012000000}">
      <text>
        <r>
          <rPr>
            <b/>
            <sz val="14"/>
            <color indexed="81"/>
            <rFont val="Tahoma"/>
            <family val="2"/>
          </rPr>
          <t>Indicate the mode of transportation at origin and destination.
Mode cannot begin with CY if there is a location listed as place of receipt.
Mode cannot end with CY if there is a location is listed as place of delivery</t>
        </r>
      </text>
    </comment>
    <comment ref="G484" authorId="2" shapeId="0" xr:uid="{00000000-0006-0000-0600-000013000000}">
      <text>
        <r>
          <rPr>
            <b/>
            <sz val="14"/>
            <color indexed="81"/>
            <rFont val="Tahoma"/>
            <family val="2"/>
          </rPr>
          <t>Indicate whether or not door service is included at origin and destination</t>
        </r>
      </text>
    </comment>
    <comment ref="O484" authorId="2" shapeId="0" xr:uid="{00000000-0006-0000-0600-000014000000}">
      <text>
        <r>
          <rPr>
            <b/>
            <sz val="14"/>
            <color indexed="81"/>
            <rFont val="Tahoma"/>
            <family val="2"/>
          </rPr>
          <t>Use these columns for exceptions to surcharge applicability in note 2</t>
        </r>
      </text>
    </comment>
    <comment ref="AA484" authorId="2" shapeId="0" xr:uid="{00000000-0006-0000-0600-000015000000}">
      <text>
        <r>
          <rPr>
            <b/>
            <sz val="14"/>
            <color indexed="81"/>
            <rFont val="Tahoma"/>
            <family val="2"/>
          </rPr>
          <t>This field controls construction using Arbitraries and Inland Tariffs
Y = allowed in US, N = not allowed in US, 
E = allowed at origin, I = allowed at destination,
B = allowed at both origin and destination
X = not allowed at either origin or destination</t>
        </r>
      </text>
    </comment>
    <comment ref="A589" authorId="1" shapeId="0" xr:uid="{00000000-0006-0000-0600-000016000000}">
      <text>
        <r>
          <rPr>
            <b/>
            <sz val="14"/>
            <color indexed="81"/>
            <rFont val="Tahoma"/>
            <family val="2"/>
          </rPr>
          <t>Please use FAK/ Bullets defined above.</t>
        </r>
      </text>
    </comment>
    <comment ref="B589" authorId="1" shapeId="0" xr:uid="{00000000-0006-0000-0600-000017000000}">
      <text>
        <r>
          <rPr>
            <b/>
            <sz val="14"/>
            <color indexed="81"/>
            <rFont val="Tahoma"/>
            <family val="2"/>
          </rPr>
          <t>City, State / ZIP Code</t>
        </r>
      </text>
    </comment>
    <comment ref="C589" authorId="1" shapeId="0" xr:uid="{00000000-0006-0000-0600-000018000000}">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D589" authorId="1" shapeId="0" xr:uid="{00000000-0006-0000-0600-000019000000}">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E589" authorId="1" shapeId="0" xr:uid="{00000000-0006-0000-0600-00001A000000}">
      <text>
        <r>
          <rPr>
            <b/>
            <sz val="14"/>
            <color indexed="81"/>
            <rFont val="Tahoma"/>
            <family val="2"/>
          </rPr>
          <t>City, State / ZIP Code</t>
        </r>
      </text>
    </comment>
    <comment ref="F589" authorId="2" shapeId="0" xr:uid="{00000000-0006-0000-0600-00001B000000}">
      <text>
        <r>
          <rPr>
            <b/>
            <sz val="14"/>
            <color indexed="81"/>
            <rFont val="Tahoma"/>
            <family val="2"/>
          </rPr>
          <t>Indicate the mode of transportation at origin and destination.
Mode cannot begin with CY if there is a location listed as place of receipt.
Mode cannot end with CY if there is a location is listed as place of delivery</t>
        </r>
      </text>
    </comment>
    <comment ref="G589" authorId="2" shapeId="0" xr:uid="{00000000-0006-0000-0600-00001C000000}">
      <text>
        <r>
          <rPr>
            <b/>
            <sz val="14"/>
            <color indexed="81"/>
            <rFont val="Tahoma"/>
            <family val="2"/>
          </rPr>
          <t>Indicate whether or not door service is included at origin and destination</t>
        </r>
      </text>
    </comment>
    <comment ref="Q589" authorId="2" shapeId="0" xr:uid="{00000000-0006-0000-0600-00001D000000}">
      <text>
        <r>
          <rPr>
            <b/>
            <sz val="14"/>
            <color indexed="81"/>
            <rFont val="Tahoma"/>
            <family val="2"/>
          </rPr>
          <t>Use these columns for exceptions to surcharge applicability in note 2</t>
        </r>
      </text>
    </comment>
    <comment ref="AC589" authorId="2" shapeId="0" xr:uid="{00000000-0006-0000-0600-00001E000000}">
      <text>
        <r>
          <rPr>
            <b/>
            <sz val="14"/>
            <color indexed="81"/>
            <rFont val="Tahoma"/>
            <family val="2"/>
          </rPr>
          <t>This field controls construction using Arbitraries and Inland Tariffs
Y = allowed in US, N = not allowed in US, 
E = allowed at origin, I = allowed at destination,
B = allowed at both origin and destination
X = not allowed at either origin or destination</t>
        </r>
      </text>
    </comment>
    <comment ref="B606" authorId="2" shapeId="0" xr:uid="{00000000-0006-0000-0600-00001F000000}">
      <text>
        <r>
          <rPr>
            <b/>
            <sz val="14"/>
            <color indexed="81"/>
            <rFont val="Tahoma"/>
            <family val="2"/>
          </rPr>
          <t>Place of Origin - may be an outport for feeder (CY) arbitraries or an inland origin
Format is:  City, State or ZIP Code</t>
        </r>
      </text>
    </comment>
    <comment ref="E606" authorId="2" shapeId="0" xr:uid="{00000000-0006-0000-0600-000020000000}">
      <text>
        <r>
          <rPr>
            <b/>
            <sz val="14"/>
            <color indexed="81"/>
            <rFont val="Tahoma"/>
            <family val="2"/>
          </rPr>
          <t xml:space="preserve">Please use only one port or a group of ports (Port groups must be defined in the Port Group Codes table).
Arbitrary construction can only occur with rate conditions which show these ports as the POL.
</t>
        </r>
        <r>
          <rPr>
            <b/>
            <i/>
            <sz val="14"/>
            <color indexed="81"/>
            <rFont val="Tahoma"/>
            <family val="2"/>
          </rPr>
          <t>All ports must be valid SEA ports.</t>
        </r>
      </text>
    </comment>
    <comment ref="F606" authorId="2" shapeId="0" xr:uid="{00000000-0006-0000-0600-000021000000}">
      <text>
        <r>
          <rPr>
            <b/>
            <sz val="14"/>
            <color indexed="81"/>
            <rFont val="Tahoma"/>
            <family val="2"/>
          </rPr>
          <t>Indicate the mode of transportation between the arbitrary place of receipt and arbitrary POL.
CY modes can only be used when the mode of transportation is by Feeder.
Use of CY mode requires both the locations to be valid SEA ports.</t>
        </r>
      </text>
    </comment>
    <comment ref="G606" authorId="2" shapeId="0" xr:uid="{00000000-0006-0000-0600-000022000000}">
      <text>
        <r>
          <rPr>
            <b/>
            <sz val="14"/>
            <color indexed="81"/>
            <rFont val="Tahoma"/>
            <family val="2"/>
          </rPr>
          <t>Indicate whether or not door service is included in the arbitrary rate</t>
        </r>
      </text>
    </comment>
    <comment ref="H606" authorId="2" shapeId="0" xr:uid="{00000000-0006-0000-0600-000023000000}">
      <text>
        <r>
          <rPr>
            <b/>
            <sz val="14"/>
            <color indexed="81"/>
            <rFont val="Tahoma"/>
            <family val="2"/>
          </rPr>
          <t>Input the rate in this field when the same amount applies for all container sizes</t>
        </r>
      </text>
    </comment>
    <comment ref="N606" authorId="2" shapeId="0" xr:uid="{00000000-0006-0000-0600-000024000000}">
      <text>
        <r>
          <rPr>
            <b/>
            <sz val="14"/>
            <color indexed="81"/>
            <rFont val="Tahoma"/>
            <family val="2"/>
          </rPr>
          <t>Each Arbitrary applies only to FAK / Bullets as specifically listed in this field.</t>
        </r>
      </text>
    </comment>
    <comment ref="B1582" authorId="2" shapeId="0" xr:uid="{00000000-0006-0000-0600-000025000000}">
      <text>
        <r>
          <rPr>
            <b/>
            <sz val="14"/>
            <color indexed="81"/>
            <rFont val="Tahoma"/>
            <family val="2"/>
          </rPr>
          <t>Place of Destination - may be an outport for feeder (CY) arbitraries or an inland destination
Format is:  City, State or ZIP Code</t>
        </r>
      </text>
    </comment>
    <comment ref="E1582" authorId="2" shapeId="0" xr:uid="{00000000-0006-0000-0600-000026000000}">
      <text>
        <r>
          <rPr>
            <b/>
            <sz val="14"/>
            <color indexed="81"/>
            <rFont val="Tahoma"/>
            <family val="2"/>
          </rPr>
          <t xml:space="preserve">Please use only one port or a group of ports (Port groups must be defined in the Port Group Codes table).
Arbitrary construction can only occur with rate conditions which show these ports as the POD.
</t>
        </r>
        <r>
          <rPr>
            <b/>
            <i/>
            <sz val="14"/>
            <color indexed="81"/>
            <rFont val="Tahoma"/>
            <family val="2"/>
          </rPr>
          <t>All ports must be valid SEA ports.</t>
        </r>
      </text>
    </comment>
    <comment ref="F1582" authorId="2" shapeId="0" xr:uid="{00000000-0006-0000-0600-000027000000}">
      <text>
        <r>
          <rPr>
            <b/>
            <sz val="14"/>
            <color indexed="81"/>
            <rFont val="Tahoma"/>
            <family val="2"/>
          </rPr>
          <t>Indicate the mode of transportation between the arbitrary POD and arbitrary place of delivery.
CY modes can only be used when the mode of transportation is by Feeder.
Use of CY mode requires both the locations to be valid SEA ports.</t>
        </r>
      </text>
    </comment>
    <comment ref="G1582" authorId="2" shapeId="0" xr:uid="{00000000-0006-0000-0600-000028000000}">
      <text>
        <r>
          <rPr>
            <b/>
            <sz val="14"/>
            <color indexed="81"/>
            <rFont val="Tahoma"/>
            <family val="2"/>
          </rPr>
          <t>Indicate whether or not door service is included in the arbitrary rate</t>
        </r>
      </text>
    </comment>
    <comment ref="H1582" authorId="2" shapeId="0" xr:uid="{00000000-0006-0000-0600-000029000000}">
      <text>
        <r>
          <rPr>
            <b/>
            <sz val="14"/>
            <color indexed="81"/>
            <rFont val="Tahoma"/>
            <family val="2"/>
          </rPr>
          <t>Input the rate in this field when the same amount applies for all container sizes</t>
        </r>
      </text>
    </comment>
    <comment ref="N1582" authorId="2" shapeId="0" xr:uid="{00000000-0006-0000-0600-00002A000000}">
      <text>
        <r>
          <rPr>
            <b/>
            <sz val="14"/>
            <color indexed="81"/>
            <rFont val="Tahoma"/>
            <family val="2"/>
          </rPr>
          <t>Each Arbitrary applies only to FAK / Bullets as specifically listed in this field.</t>
        </r>
      </text>
    </comment>
    <comment ref="L1594" authorId="2" shapeId="0" xr:uid="{00000000-0006-0000-0600-00002B000000}">
      <text>
        <r>
          <rPr>
            <b/>
            <sz val="14"/>
            <color indexed="81"/>
            <rFont val="Tahoma"/>
            <family val="2"/>
          </rPr>
          <t>Surcharge applicability mentioned on any row applies specifically to the individual port mentioned in this field.
If the Applicable Port field is blank, then the  surcharge applicability stated on that row applies to all ports.</t>
        </r>
      </text>
    </comment>
    <comment ref="A1682" authorId="2" shapeId="0" xr:uid="{00000000-0006-0000-0600-00002C000000}">
      <text>
        <r>
          <rPr>
            <sz val="12"/>
            <color indexed="81"/>
            <rFont val="Tahoma"/>
            <family val="2"/>
          </rPr>
          <t>Select the bullet for which the exception applies.
If exception applies to all bullets, select "ALL".</t>
        </r>
      </text>
    </comment>
    <comment ref="B1682" authorId="2" shapeId="0" xr:uid="{00000000-0006-0000-0600-00002D000000}">
      <text>
        <r>
          <rPr>
            <sz val="12"/>
            <color indexed="81"/>
            <rFont val="Tahoma"/>
            <family val="2"/>
          </rPr>
          <t xml:space="preserve">Specify if Free Time condition applies to Export or Import:
</t>
        </r>
        <r>
          <rPr>
            <b/>
            <sz val="12"/>
            <color indexed="81"/>
            <rFont val="Tahoma"/>
            <family val="2"/>
          </rPr>
          <t xml:space="preserve">E </t>
        </r>
        <r>
          <rPr>
            <sz val="12"/>
            <color indexed="81"/>
            <rFont val="Tahoma"/>
            <family val="2"/>
          </rPr>
          <t xml:space="preserve">(Export) = applies at origin
</t>
        </r>
        <r>
          <rPr>
            <b/>
            <sz val="12"/>
            <color indexed="81"/>
            <rFont val="Tahoma"/>
            <family val="2"/>
          </rPr>
          <t xml:space="preserve">I </t>
        </r>
        <r>
          <rPr>
            <sz val="12"/>
            <color indexed="81"/>
            <rFont val="Tahoma"/>
            <family val="2"/>
          </rPr>
          <t>(Import) = applies at destination</t>
        </r>
      </text>
    </comment>
    <comment ref="C1682" authorId="2" shapeId="0" xr:uid="{00000000-0006-0000-0600-00002E000000}">
      <text>
        <r>
          <rPr>
            <sz val="12"/>
            <color indexed="81"/>
            <rFont val="Tahoma"/>
            <family val="2"/>
          </rPr>
          <t>Enter Type of Free Time:</t>
        </r>
        <r>
          <rPr>
            <u/>
            <sz val="12"/>
            <color indexed="81"/>
            <rFont val="Tahoma"/>
            <family val="2"/>
          </rPr>
          <t xml:space="preserve">
</t>
        </r>
        <r>
          <rPr>
            <sz val="12"/>
            <color indexed="81"/>
            <rFont val="Tahoma"/>
            <family val="2"/>
          </rPr>
          <t xml:space="preserve">
</t>
        </r>
        <r>
          <rPr>
            <b/>
            <sz val="12"/>
            <color indexed="81"/>
            <rFont val="Tahoma"/>
            <family val="2"/>
          </rPr>
          <t>Detention
Demurrage
Merged</t>
        </r>
      </text>
    </comment>
    <comment ref="F1682" authorId="2" shapeId="0" xr:uid="{00000000-0006-0000-0600-00002F000000}">
      <text>
        <r>
          <rPr>
            <sz val="12"/>
            <color indexed="81"/>
            <rFont val="Tahoma"/>
            <family val="2"/>
          </rPr>
          <t xml:space="preserve">Specify Equipment Type (blank field indicates applicability to all Eq Types):
</t>
        </r>
        <r>
          <rPr>
            <b/>
            <sz val="12"/>
            <color indexed="81"/>
            <rFont val="Tahoma"/>
            <family val="2"/>
          </rPr>
          <t>D</t>
        </r>
        <r>
          <rPr>
            <sz val="12"/>
            <color indexed="81"/>
            <rFont val="Tahoma"/>
            <family val="2"/>
          </rPr>
          <t xml:space="preserve"> = Dry
</t>
        </r>
        <r>
          <rPr>
            <b/>
            <sz val="12"/>
            <color indexed="81"/>
            <rFont val="Tahoma"/>
            <family val="2"/>
          </rPr>
          <t>R</t>
        </r>
        <r>
          <rPr>
            <sz val="12"/>
            <color indexed="81"/>
            <rFont val="Tahoma"/>
            <family val="2"/>
          </rPr>
          <t xml:space="preserve"> = Reefer
</t>
        </r>
        <r>
          <rPr>
            <b/>
            <sz val="12"/>
            <color indexed="81"/>
            <rFont val="Tahoma"/>
            <family val="2"/>
          </rPr>
          <t>OT</t>
        </r>
        <r>
          <rPr>
            <sz val="12"/>
            <color indexed="81"/>
            <rFont val="Tahoma"/>
            <family val="2"/>
          </rPr>
          <t xml:space="preserve"> = Open Top
</t>
        </r>
        <r>
          <rPr>
            <b/>
            <sz val="12"/>
            <color indexed="81"/>
            <rFont val="Tahoma"/>
            <family val="2"/>
          </rPr>
          <t>FR</t>
        </r>
        <r>
          <rPr>
            <sz val="12"/>
            <color indexed="81"/>
            <rFont val="Tahoma"/>
            <family val="2"/>
          </rPr>
          <t xml:space="preserve"> = Flat Rack</t>
        </r>
      </text>
    </comment>
    <comment ref="G1682" authorId="2" shapeId="0" xr:uid="{00000000-0006-0000-0600-000030000000}">
      <text>
        <r>
          <rPr>
            <sz val="12"/>
            <color indexed="81"/>
            <rFont val="Tahoma"/>
            <family val="2"/>
          </rPr>
          <t>Select "OR" from the drop down list if condition applies to Operating Reefers</t>
        </r>
      </text>
    </comment>
    <comment ref="H1682" authorId="2" shapeId="0" xr:uid="{00000000-0006-0000-0600-000031000000}">
      <text>
        <r>
          <rPr>
            <sz val="12"/>
            <color indexed="81"/>
            <rFont val="Tahoma"/>
            <family val="2"/>
          </rPr>
          <t xml:space="preserve">Specify the Place of Receipt if necessary.  </t>
        </r>
        <r>
          <rPr>
            <u/>
            <sz val="12"/>
            <color indexed="81"/>
            <rFont val="Tahoma"/>
            <family val="2"/>
          </rPr>
          <t>Do not</t>
        </r>
        <r>
          <rPr>
            <sz val="12"/>
            <color indexed="81"/>
            <rFont val="Tahoma"/>
            <family val="2"/>
          </rPr>
          <t xml:space="preserve"> use "ALL".
Only 1 location may be entered per row.</t>
        </r>
      </text>
    </comment>
    <comment ref="I1682" authorId="2" shapeId="0" xr:uid="{00000000-0006-0000-0600-000032000000}">
      <text>
        <r>
          <rPr>
            <sz val="12"/>
            <color indexed="81"/>
            <rFont val="Tahoma"/>
            <family val="2"/>
          </rPr>
          <t xml:space="preserve">Enter the POL if necessary.  </t>
        </r>
        <r>
          <rPr>
            <u/>
            <sz val="12"/>
            <color indexed="81"/>
            <rFont val="Tahoma"/>
            <family val="2"/>
          </rPr>
          <t>Do not</t>
        </r>
        <r>
          <rPr>
            <sz val="12"/>
            <color indexed="81"/>
            <rFont val="Tahoma"/>
            <family val="2"/>
          </rPr>
          <t xml:space="preserve"> use "ALL".
Only 1 location is allowed per row and must be a valid seaport.</t>
        </r>
      </text>
    </comment>
    <comment ref="J1682" authorId="2" shapeId="0" xr:uid="{00000000-0006-0000-0600-000033000000}">
      <text>
        <r>
          <rPr>
            <sz val="12"/>
            <color indexed="81"/>
            <rFont val="Tahoma"/>
            <family val="2"/>
          </rPr>
          <t xml:space="preserve">Enter the POD if necessary.  </t>
        </r>
        <r>
          <rPr>
            <u/>
            <sz val="12"/>
            <color indexed="81"/>
            <rFont val="Tahoma"/>
            <family val="2"/>
          </rPr>
          <t>Do not</t>
        </r>
        <r>
          <rPr>
            <sz val="12"/>
            <color indexed="81"/>
            <rFont val="Tahoma"/>
            <family val="2"/>
          </rPr>
          <t xml:space="preserve"> use "ALL".
Only 1 location is allowed per row and must be a valid seaport.</t>
        </r>
      </text>
    </comment>
    <comment ref="K1682" authorId="2" shapeId="0" xr:uid="{00000000-0006-0000-0600-000034000000}">
      <text>
        <r>
          <rPr>
            <sz val="12"/>
            <color indexed="81"/>
            <rFont val="Tahoma"/>
            <family val="2"/>
          </rPr>
          <t xml:space="preserve">Specify the Place of Delivery if necessary.  </t>
        </r>
        <r>
          <rPr>
            <u/>
            <sz val="12"/>
            <color indexed="81"/>
            <rFont val="Tahoma"/>
            <family val="2"/>
          </rPr>
          <t>Do not</t>
        </r>
        <r>
          <rPr>
            <sz val="12"/>
            <color indexed="81"/>
            <rFont val="Tahoma"/>
            <family val="2"/>
          </rPr>
          <t xml:space="preserve"> use "ALL".
Only 1 location may be entered per row.</t>
        </r>
      </text>
    </comment>
    <comment ref="L1682" authorId="3" shapeId="0" xr:uid="{64F68281-28A0-4CBB-9A8A-282768233B0C}">
      <text>
        <r>
          <rPr>
            <sz val="12"/>
            <color indexed="81"/>
            <rFont val="Tahoma"/>
            <family val="2"/>
          </rPr>
          <t xml:space="preserve">Enter the Country Code ONLY.  </t>
        </r>
        <r>
          <rPr>
            <u/>
            <sz val="12"/>
            <color indexed="81"/>
            <rFont val="Tahoma"/>
            <family val="2"/>
          </rPr>
          <t>Cannot</t>
        </r>
        <r>
          <rPr>
            <sz val="12"/>
            <color indexed="81"/>
            <rFont val="Tahoma"/>
            <family val="2"/>
          </rPr>
          <t xml:space="preserve"> use "ALL" or country name</t>
        </r>
      </text>
    </comment>
    <comment ref="M1682" authorId="2" shapeId="0" xr:uid="{00000000-0006-0000-0600-000035000000}">
      <text>
        <r>
          <rPr>
            <sz val="12"/>
            <color indexed="81"/>
            <rFont val="Tahoma"/>
            <family val="2"/>
          </rPr>
          <t xml:space="preserve">Enter additional notes only when absolutely necessary.  
</t>
        </r>
        <r>
          <rPr>
            <u/>
            <sz val="12"/>
            <color indexed="81"/>
            <rFont val="Tahoma"/>
            <family val="2"/>
          </rPr>
          <t>IMPORTANT</t>
        </r>
        <r>
          <rPr>
            <sz val="12"/>
            <color indexed="81"/>
            <rFont val="Tahoma"/>
            <family val="2"/>
          </rPr>
          <t xml:space="preserve">:  Named accounts and specific commodities </t>
        </r>
        <r>
          <rPr>
            <b/>
            <u/>
            <sz val="12"/>
            <color indexed="81"/>
            <rFont val="Tahoma"/>
            <family val="2"/>
          </rPr>
          <t>may not</t>
        </r>
        <r>
          <rPr>
            <sz val="12"/>
            <color indexed="81"/>
            <rFont val="Tahoma"/>
            <family val="2"/>
          </rPr>
          <t xml:space="preserve"> be listed as Notes.</t>
        </r>
      </text>
    </comment>
    <comment ref="A1695" authorId="2" shapeId="0" xr:uid="{00000000-0006-0000-0600-000036000000}">
      <text>
        <r>
          <rPr>
            <sz val="12"/>
            <color indexed="81"/>
            <rFont val="Tahoma"/>
            <family val="2"/>
          </rPr>
          <t>Select the bullet for which the exception applies.
If exception applies to all bullets, select "ALL".</t>
        </r>
      </text>
    </comment>
    <comment ref="B1695" authorId="2" shapeId="0" xr:uid="{00000000-0006-0000-0600-000037000000}">
      <text>
        <r>
          <rPr>
            <sz val="12"/>
            <color indexed="81"/>
            <rFont val="Tahoma"/>
            <family val="2"/>
          </rPr>
          <t xml:space="preserve">Specify if Free Time condition applies to Export or Import:
</t>
        </r>
        <r>
          <rPr>
            <b/>
            <sz val="12"/>
            <color indexed="81"/>
            <rFont val="Tahoma"/>
            <family val="2"/>
          </rPr>
          <t xml:space="preserve">E </t>
        </r>
        <r>
          <rPr>
            <sz val="12"/>
            <color indexed="81"/>
            <rFont val="Tahoma"/>
            <family val="2"/>
          </rPr>
          <t xml:space="preserve">(Export) = applies at origin
</t>
        </r>
        <r>
          <rPr>
            <b/>
            <sz val="12"/>
            <color indexed="81"/>
            <rFont val="Tahoma"/>
            <family val="2"/>
          </rPr>
          <t xml:space="preserve">I </t>
        </r>
        <r>
          <rPr>
            <sz val="12"/>
            <color indexed="81"/>
            <rFont val="Tahoma"/>
            <family val="2"/>
          </rPr>
          <t>(Import) = applies at destination</t>
        </r>
      </text>
    </comment>
    <comment ref="C1695" authorId="2" shapeId="0" xr:uid="{00000000-0006-0000-0600-000038000000}">
      <text>
        <r>
          <rPr>
            <sz val="12"/>
            <color indexed="81"/>
            <rFont val="Tahoma"/>
            <family val="2"/>
          </rPr>
          <t>Enter Type of Free Time:</t>
        </r>
        <r>
          <rPr>
            <u/>
            <sz val="12"/>
            <color indexed="81"/>
            <rFont val="Tahoma"/>
            <family val="2"/>
          </rPr>
          <t xml:space="preserve">
</t>
        </r>
        <r>
          <rPr>
            <sz val="12"/>
            <color indexed="81"/>
            <rFont val="Tahoma"/>
            <family val="2"/>
          </rPr>
          <t xml:space="preserve">
</t>
        </r>
        <r>
          <rPr>
            <b/>
            <sz val="12"/>
            <color indexed="81"/>
            <rFont val="Tahoma"/>
            <family val="2"/>
          </rPr>
          <t>Detention
Demurrage
Merged</t>
        </r>
      </text>
    </comment>
    <comment ref="F1695" authorId="2" shapeId="0" xr:uid="{00000000-0006-0000-0600-000039000000}">
      <text>
        <r>
          <rPr>
            <sz val="12"/>
            <color indexed="81"/>
            <rFont val="Tahoma"/>
            <family val="2"/>
          </rPr>
          <t>If any exceptional charges are offered, then the currency is required to be shown.</t>
        </r>
      </text>
    </comment>
    <comment ref="O1695" authorId="2" shapeId="0" xr:uid="{00000000-0006-0000-0600-00003A000000}">
      <text>
        <r>
          <rPr>
            <sz val="12"/>
            <color indexed="81"/>
            <rFont val="Tahoma"/>
            <family val="2"/>
          </rPr>
          <t xml:space="preserve">Specify Equipment Type (blank field indicates applicability to all Eq Types):
</t>
        </r>
        <r>
          <rPr>
            <b/>
            <sz val="12"/>
            <color indexed="81"/>
            <rFont val="Tahoma"/>
            <family val="2"/>
          </rPr>
          <t>D</t>
        </r>
        <r>
          <rPr>
            <sz val="12"/>
            <color indexed="81"/>
            <rFont val="Tahoma"/>
            <family val="2"/>
          </rPr>
          <t xml:space="preserve"> = Dry
</t>
        </r>
        <r>
          <rPr>
            <b/>
            <sz val="12"/>
            <color indexed="81"/>
            <rFont val="Tahoma"/>
            <family val="2"/>
          </rPr>
          <t>R</t>
        </r>
        <r>
          <rPr>
            <sz val="12"/>
            <color indexed="81"/>
            <rFont val="Tahoma"/>
            <family val="2"/>
          </rPr>
          <t xml:space="preserve"> = Reefer
</t>
        </r>
        <r>
          <rPr>
            <b/>
            <sz val="12"/>
            <color indexed="81"/>
            <rFont val="Tahoma"/>
            <family val="2"/>
          </rPr>
          <t>OT</t>
        </r>
        <r>
          <rPr>
            <sz val="12"/>
            <color indexed="81"/>
            <rFont val="Tahoma"/>
            <family val="2"/>
          </rPr>
          <t xml:space="preserve"> = Open Top
</t>
        </r>
        <r>
          <rPr>
            <b/>
            <sz val="12"/>
            <color indexed="81"/>
            <rFont val="Tahoma"/>
            <family val="2"/>
          </rPr>
          <t>FR</t>
        </r>
        <r>
          <rPr>
            <sz val="12"/>
            <color indexed="81"/>
            <rFont val="Tahoma"/>
            <family val="2"/>
          </rPr>
          <t xml:space="preserve"> = Flat Rack</t>
        </r>
      </text>
    </comment>
    <comment ref="P1695" authorId="2" shapeId="0" xr:uid="{00000000-0006-0000-0600-00003B000000}">
      <text>
        <r>
          <rPr>
            <sz val="12"/>
            <color indexed="81"/>
            <rFont val="Tahoma"/>
            <family val="2"/>
          </rPr>
          <t>Select "OR" from the drop down list if condition applies to Operating Reefers</t>
        </r>
      </text>
    </comment>
    <comment ref="Q1695" authorId="2" shapeId="0" xr:uid="{00000000-0006-0000-0600-00003C000000}">
      <text>
        <r>
          <rPr>
            <sz val="12"/>
            <color indexed="81"/>
            <rFont val="Tahoma"/>
            <family val="2"/>
          </rPr>
          <t xml:space="preserve">Specify the Place of Receipt if necessary.  </t>
        </r>
        <r>
          <rPr>
            <u/>
            <sz val="12"/>
            <color indexed="81"/>
            <rFont val="Tahoma"/>
            <family val="2"/>
          </rPr>
          <t>Do not</t>
        </r>
        <r>
          <rPr>
            <sz val="12"/>
            <color indexed="81"/>
            <rFont val="Tahoma"/>
            <family val="2"/>
          </rPr>
          <t xml:space="preserve"> use "ALL".
Only 1 location may be entered per row.</t>
        </r>
      </text>
    </comment>
    <comment ref="R1695" authorId="2" shapeId="0" xr:uid="{00000000-0006-0000-0600-00003D000000}">
      <text>
        <r>
          <rPr>
            <sz val="12"/>
            <color indexed="81"/>
            <rFont val="Tahoma"/>
            <family val="2"/>
          </rPr>
          <t xml:space="preserve">Enter the POL if necessary.  </t>
        </r>
        <r>
          <rPr>
            <u/>
            <sz val="12"/>
            <color indexed="81"/>
            <rFont val="Tahoma"/>
            <family val="2"/>
          </rPr>
          <t>Do not</t>
        </r>
        <r>
          <rPr>
            <sz val="12"/>
            <color indexed="81"/>
            <rFont val="Tahoma"/>
            <family val="2"/>
          </rPr>
          <t xml:space="preserve"> use "ALL".
Only 1 location is allowed per row and must be a valid seaport.</t>
        </r>
      </text>
    </comment>
    <comment ref="S1695" authorId="2" shapeId="0" xr:uid="{00000000-0006-0000-0600-00003E000000}">
      <text>
        <r>
          <rPr>
            <sz val="12"/>
            <color indexed="81"/>
            <rFont val="Tahoma"/>
            <family val="2"/>
          </rPr>
          <t xml:space="preserve">Enter the POD if necessary.  </t>
        </r>
        <r>
          <rPr>
            <u/>
            <sz val="12"/>
            <color indexed="81"/>
            <rFont val="Tahoma"/>
            <family val="2"/>
          </rPr>
          <t>Do not</t>
        </r>
        <r>
          <rPr>
            <sz val="12"/>
            <color indexed="81"/>
            <rFont val="Tahoma"/>
            <family val="2"/>
          </rPr>
          <t xml:space="preserve"> use "ALL".
Only 1 location is allowed per row and must be a valid seaport.</t>
        </r>
      </text>
    </comment>
    <comment ref="T1695" authorId="2" shapeId="0" xr:uid="{00000000-0006-0000-0600-00003F000000}">
      <text>
        <r>
          <rPr>
            <sz val="12"/>
            <color indexed="81"/>
            <rFont val="Tahoma"/>
            <family val="2"/>
          </rPr>
          <t xml:space="preserve">Specify the Place of Delivery if necessary.  </t>
        </r>
        <r>
          <rPr>
            <u/>
            <sz val="12"/>
            <color indexed="81"/>
            <rFont val="Tahoma"/>
            <family val="2"/>
          </rPr>
          <t>Do not</t>
        </r>
        <r>
          <rPr>
            <sz val="12"/>
            <color indexed="81"/>
            <rFont val="Tahoma"/>
            <family val="2"/>
          </rPr>
          <t xml:space="preserve"> use "ALL".
Only 1 location may be entered per row.</t>
        </r>
      </text>
    </comment>
    <comment ref="U1695" authorId="3" shapeId="0" xr:uid="{6C0E04AA-5536-401D-9847-A822F2CA3481}">
      <text>
        <r>
          <rPr>
            <sz val="12"/>
            <color indexed="81"/>
            <rFont val="Tahoma"/>
            <family val="2"/>
          </rPr>
          <t xml:space="preserve">Enter the Country Code ONLY.  </t>
        </r>
        <r>
          <rPr>
            <u/>
            <sz val="12"/>
            <color indexed="81"/>
            <rFont val="Tahoma"/>
            <family val="2"/>
          </rPr>
          <t>Cannot</t>
        </r>
        <r>
          <rPr>
            <sz val="12"/>
            <color indexed="81"/>
            <rFont val="Tahoma"/>
            <family val="2"/>
          </rPr>
          <t xml:space="preserve"> use "ALL" or country name</t>
        </r>
      </text>
    </comment>
    <comment ref="V1695" authorId="2" shapeId="0" xr:uid="{00000000-0006-0000-0600-000040000000}">
      <text>
        <r>
          <rPr>
            <sz val="12"/>
            <color indexed="81"/>
            <rFont val="Tahoma"/>
            <family val="2"/>
          </rPr>
          <t xml:space="preserve">Enter additional notes only when absolutely necessary.  
</t>
        </r>
        <r>
          <rPr>
            <u/>
            <sz val="12"/>
            <color indexed="81"/>
            <rFont val="Tahoma"/>
            <family val="2"/>
          </rPr>
          <t>IMPORTANT</t>
        </r>
        <r>
          <rPr>
            <sz val="12"/>
            <color indexed="81"/>
            <rFont val="Tahoma"/>
            <family val="2"/>
          </rPr>
          <t xml:space="preserve">:  Named accounts and specific commodities </t>
        </r>
        <r>
          <rPr>
            <b/>
            <u/>
            <sz val="12"/>
            <color indexed="81"/>
            <rFont val="Tahoma"/>
            <family val="2"/>
          </rPr>
          <t>may not</t>
        </r>
        <r>
          <rPr>
            <sz val="12"/>
            <color indexed="81"/>
            <rFont val="Tahoma"/>
            <family val="2"/>
          </rPr>
          <t xml:space="preserve"> be listed as Notes.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ext.obouge</author>
    <author>William MALLOL</author>
    <author>usa.gewan</author>
    <author>GENDER Charlie - NOR</author>
  </authors>
  <commentList>
    <comment ref="B13" authorId="0" shapeId="0" xr:uid="{2E596145-8198-4035-8D8F-40A96D58F3FA}">
      <text>
        <r>
          <rPr>
            <b/>
            <sz val="12"/>
            <color indexed="81"/>
            <rFont val="Tahoma"/>
            <family val="2"/>
          </rPr>
          <t>Please use comma to separate commodities.</t>
        </r>
      </text>
    </comment>
    <comment ref="A20" authorId="1" shapeId="0" xr:uid="{03AF062D-3616-4A62-BEA3-363BC2489A9D}">
      <text>
        <r>
          <rPr>
            <b/>
            <sz val="14"/>
            <color indexed="81"/>
            <rFont val="Tahoma"/>
            <family val="2"/>
          </rPr>
          <t>Port Group Codes can be used to group any two or more valid seaports that are common rated.
Port Group Codes cannot be used for inland locations.</t>
        </r>
      </text>
    </comment>
    <comment ref="B20" authorId="0" shapeId="0" xr:uid="{34403BD5-8783-4439-9139-1F1BD0A09D6F}">
      <text>
        <r>
          <rPr>
            <b/>
            <sz val="14"/>
            <color indexed="81"/>
            <rFont val="Tahoma"/>
            <family val="2"/>
          </rPr>
          <t>Please use comma to separate ports.
Only valid sea ports may be included.</t>
        </r>
      </text>
    </comment>
    <comment ref="A30" authorId="1" shapeId="0" xr:uid="{51140411-7144-45C4-83E8-722BDDE01D8B}">
      <text>
        <r>
          <rPr>
            <b/>
            <sz val="14"/>
            <color indexed="81"/>
            <rFont val="Tahoma"/>
            <family val="2"/>
          </rPr>
          <t>Please use FAK/ Bullets defined above.</t>
        </r>
      </text>
    </comment>
    <comment ref="B30" authorId="1" shapeId="0" xr:uid="{47771D0A-ED6E-4529-9887-143AD414BA9D}">
      <text>
        <r>
          <rPr>
            <b/>
            <sz val="14"/>
            <color indexed="81"/>
            <rFont val="Tahoma"/>
            <family val="2"/>
          </rPr>
          <t>City, State / ZIP Code</t>
        </r>
      </text>
    </comment>
    <comment ref="C30" authorId="1" shapeId="0" xr:uid="{47163C04-90FF-4A4B-8CAF-870AC72AA4D4}">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D30" authorId="1" shapeId="0" xr:uid="{0D9C4967-27E6-42AF-AE1D-C42757D398D1}">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E30" authorId="1" shapeId="0" xr:uid="{D7279EC9-5969-4AAE-9D28-7C781A998E41}">
      <text>
        <r>
          <rPr>
            <b/>
            <sz val="14"/>
            <color indexed="81"/>
            <rFont val="Tahoma"/>
            <family val="2"/>
          </rPr>
          <t>City, State / ZIP Code</t>
        </r>
      </text>
    </comment>
    <comment ref="F30" authorId="2" shapeId="0" xr:uid="{0B820CD6-4BBF-4B9B-A7CB-E743A144442B}">
      <text>
        <r>
          <rPr>
            <b/>
            <sz val="14"/>
            <color indexed="81"/>
            <rFont val="Tahoma"/>
            <family val="2"/>
          </rPr>
          <t>Indicate the mode of transportation at origin and destination.
Mode cannot begin with CY if there is a location listed as place of receipt.
Mode cannot end with CY if there is a location is listed as place of delivery</t>
        </r>
      </text>
    </comment>
    <comment ref="G30" authorId="2" shapeId="0" xr:uid="{FF5B94ED-661B-48F7-B771-40ED7D433A38}">
      <text>
        <r>
          <rPr>
            <b/>
            <sz val="14"/>
            <color indexed="81"/>
            <rFont val="Tahoma"/>
            <family val="2"/>
          </rPr>
          <t>Indicate whether or not door service is included at origin and destination</t>
        </r>
      </text>
    </comment>
    <comment ref="M30" authorId="2" shapeId="0" xr:uid="{4D422A77-BA3B-4B49-A05E-7338122394FE}">
      <text>
        <r>
          <rPr>
            <b/>
            <sz val="14"/>
            <color indexed="81"/>
            <rFont val="Tahoma"/>
            <family val="2"/>
          </rPr>
          <t>Use these columns for exceptions to surcharge applicability in note 2</t>
        </r>
      </text>
    </comment>
    <comment ref="AA30" authorId="2" shapeId="0" xr:uid="{6E79C087-5A1C-48C3-A9AA-100F9FF99951}">
      <text>
        <r>
          <rPr>
            <b/>
            <sz val="14"/>
            <color indexed="81"/>
            <rFont val="Tahoma"/>
            <family val="2"/>
          </rPr>
          <t>This field controls construction using Arbitraries and Inland Tariffs
Y = allowed in US, N = not allowed in US, 
E = allowed at origin, I = allowed at destination,
B = allowed at both origin and destination
X = not allowed at either origin or destination</t>
        </r>
      </text>
    </comment>
    <comment ref="A71" authorId="1" shapeId="0" xr:uid="{2E4922B8-EC7C-47DC-B8A9-AB40C37F47DB}">
      <text>
        <r>
          <rPr>
            <b/>
            <sz val="14"/>
            <color indexed="81"/>
            <rFont val="Tahoma"/>
            <family val="2"/>
          </rPr>
          <t>Please use FAK/ Bullets defined above.</t>
        </r>
      </text>
    </comment>
    <comment ref="B71" authorId="1" shapeId="0" xr:uid="{5786AD8E-689F-49E1-9152-38F9718F0362}">
      <text>
        <r>
          <rPr>
            <b/>
            <sz val="14"/>
            <color indexed="81"/>
            <rFont val="Tahoma"/>
            <family val="2"/>
          </rPr>
          <t>City, State / ZIP Code</t>
        </r>
      </text>
    </comment>
    <comment ref="C71" authorId="1" shapeId="0" xr:uid="{777ADAAB-24B7-4490-9E18-FE34166F075A}">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D71" authorId="1" shapeId="0" xr:uid="{6E0EB48E-6FB1-4FC4-A322-D5CB9B73DB04}">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E71" authorId="1" shapeId="0" xr:uid="{470927A7-D546-4466-9119-58237F5C4082}">
      <text>
        <r>
          <rPr>
            <b/>
            <sz val="14"/>
            <color indexed="81"/>
            <rFont val="Tahoma"/>
            <family val="2"/>
          </rPr>
          <t>City, State / ZIP Code</t>
        </r>
      </text>
    </comment>
    <comment ref="F71" authorId="2" shapeId="0" xr:uid="{49F29EE5-A686-4E6A-969A-6E1153340D19}">
      <text>
        <r>
          <rPr>
            <b/>
            <sz val="14"/>
            <color indexed="81"/>
            <rFont val="Tahoma"/>
            <family val="2"/>
          </rPr>
          <t>Indicate the mode of transportation at origin and destination.
Mode cannot begin with CY if there is a location listed as place of receipt.
Mode cannot end with CY if there is a location is listed as place of delivery</t>
        </r>
      </text>
    </comment>
    <comment ref="G71" authorId="2" shapeId="0" xr:uid="{15D94CE6-368E-4E8C-90C4-31FF04081850}">
      <text>
        <r>
          <rPr>
            <b/>
            <sz val="14"/>
            <color indexed="81"/>
            <rFont val="Tahoma"/>
            <family val="2"/>
          </rPr>
          <t>Indicate whether or not door service is included at origin and destination</t>
        </r>
      </text>
    </comment>
    <comment ref="O71" authorId="2" shapeId="0" xr:uid="{3BCE3F9D-B8B3-4F61-9096-DABFF82C66E0}">
      <text>
        <r>
          <rPr>
            <b/>
            <sz val="14"/>
            <color indexed="81"/>
            <rFont val="Tahoma"/>
            <family val="2"/>
          </rPr>
          <t>Use these columns for exceptions to surcharge applicability in note 2</t>
        </r>
      </text>
    </comment>
    <comment ref="AA71" authorId="2" shapeId="0" xr:uid="{92EE203B-432E-4253-A66D-4E75A462C820}">
      <text>
        <r>
          <rPr>
            <b/>
            <sz val="14"/>
            <color indexed="81"/>
            <rFont val="Tahoma"/>
            <family val="2"/>
          </rPr>
          <t>This field controls construction using Arbitraries and Inland Tariffs
Y = allowed in US, N = not allowed in US, 
E = allowed at origin, I = allowed at destination,
B = allowed at both origin and destination
X = not allowed at either origin or destination</t>
        </r>
      </text>
    </comment>
    <comment ref="A80" authorId="1" shapeId="0" xr:uid="{E2404EC9-0CC2-42D8-B875-246A84D17303}">
      <text>
        <r>
          <rPr>
            <b/>
            <sz val="14"/>
            <color indexed="81"/>
            <rFont val="Tahoma"/>
            <family val="2"/>
          </rPr>
          <t>Please use FAK/ Bullets defined above.</t>
        </r>
      </text>
    </comment>
    <comment ref="B80" authorId="1" shapeId="0" xr:uid="{99A06252-B0A1-4B13-8BE1-79EFE48AA9FA}">
      <text>
        <r>
          <rPr>
            <b/>
            <sz val="14"/>
            <color indexed="81"/>
            <rFont val="Tahoma"/>
            <family val="2"/>
          </rPr>
          <t>City, State / ZIP Code</t>
        </r>
      </text>
    </comment>
    <comment ref="C80" authorId="1" shapeId="0" xr:uid="{D061E7E0-8EA8-4BD7-9468-E1DD415EAE21}">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D80" authorId="1" shapeId="0" xr:uid="{8DE28497-B579-4FD5-B4A7-7C01ADB97BD6}">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E80" authorId="1" shapeId="0" xr:uid="{E9B83907-B5EC-4243-B7F3-D790D694A8B7}">
      <text>
        <r>
          <rPr>
            <b/>
            <sz val="14"/>
            <color indexed="81"/>
            <rFont val="Tahoma"/>
            <family val="2"/>
          </rPr>
          <t>City, State / ZIP Code</t>
        </r>
      </text>
    </comment>
    <comment ref="F80" authorId="2" shapeId="0" xr:uid="{0125888C-90FA-4474-A0E9-902FBC27DCCB}">
      <text>
        <r>
          <rPr>
            <b/>
            <sz val="14"/>
            <color indexed="81"/>
            <rFont val="Tahoma"/>
            <family val="2"/>
          </rPr>
          <t>Indicate the mode of transportation at origin and destination.
Mode cannot begin with CY if there is a location listed as place of receipt.
Mode cannot end with CY if there is a location is listed as place of delivery</t>
        </r>
      </text>
    </comment>
    <comment ref="G80" authorId="2" shapeId="0" xr:uid="{CBF0B3BD-FA6D-46D0-9898-79E02518CEA7}">
      <text>
        <r>
          <rPr>
            <b/>
            <sz val="14"/>
            <color indexed="81"/>
            <rFont val="Tahoma"/>
            <family val="2"/>
          </rPr>
          <t>Indicate whether or not door service is included at origin and destination</t>
        </r>
      </text>
    </comment>
    <comment ref="Q80" authorId="2" shapeId="0" xr:uid="{D9A9673B-BF9C-42A3-BC44-9FC7C3917240}">
      <text>
        <r>
          <rPr>
            <b/>
            <sz val="14"/>
            <color indexed="81"/>
            <rFont val="Tahoma"/>
            <family val="2"/>
          </rPr>
          <t>Use these columns for exceptions to surcharge applicability in note 2</t>
        </r>
      </text>
    </comment>
    <comment ref="AC80" authorId="2" shapeId="0" xr:uid="{CD2F7955-0B1C-4D9F-A112-D75C9444A08B}">
      <text>
        <r>
          <rPr>
            <b/>
            <sz val="14"/>
            <color indexed="81"/>
            <rFont val="Tahoma"/>
            <family val="2"/>
          </rPr>
          <t>This field controls construction using Arbitraries and Inland Tariffs
Y = allowed in US, N = not allowed in US, 
E = allowed at origin, I = allowed at destination,
B = allowed at both origin and destination
X = not allowed at either origin or destination</t>
        </r>
      </text>
    </comment>
    <comment ref="B97" authorId="2" shapeId="0" xr:uid="{715ACC59-E35C-468C-B315-33CFBED92356}">
      <text>
        <r>
          <rPr>
            <b/>
            <sz val="14"/>
            <color indexed="81"/>
            <rFont val="Tahoma"/>
            <family val="2"/>
          </rPr>
          <t>Place of Origin - may be an outport for feeder (CY) arbitraries or an inland origin
Format is:  City, State or ZIP Code</t>
        </r>
      </text>
    </comment>
    <comment ref="E97" authorId="2" shapeId="0" xr:uid="{0ADC6BBC-0D83-48B7-AC8D-4CA70D8D8966}">
      <text>
        <r>
          <rPr>
            <b/>
            <sz val="14"/>
            <color indexed="81"/>
            <rFont val="Tahoma"/>
            <family val="2"/>
          </rPr>
          <t xml:space="preserve">Please use only one port or a group of ports (Port groups must be defined in the Port Group Codes table).
Arbitrary construction can only occur with rate conditions which show these ports as the POL.
</t>
        </r>
        <r>
          <rPr>
            <b/>
            <i/>
            <sz val="14"/>
            <color indexed="81"/>
            <rFont val="Tahoma"/>
            <family val="2"/>
          </rPr>
          <t>All ports must be valid SEA ports.</t>
        </r>
      </text>
    </comment>
    <comment ref="F97" authorId="2" shapeId="0" xr:uid="{0242878C-1AA0-474C-8413-DB4D1E23E566}">
      <text>
        <r>
          <rPr>
            <b/>
            <sz val="14"/>
            <color indexed="81"/>
            <rFont val="Tahoma"/>
            <family val="2"/>
          </rPr>
          <t>Indicate the mode of transportation between the arbitrary place of receipt and arbitrary POL.
CY modes can only be used when the mode of transportation is by Feeder.
Use of CY mode requires both the locations to be valid SEA ports.</t>
        </r>
      </text>
    </comment>
    <comment ref="G97" authorId="2" shapeId="0" xr:uid="{852065D4-ADFC-4580-BB75-0993EEF958A0}">
      <text>
        <r>
          <rPr>
            <b/>
            <sz val="14"/>
            <color indexed="81"/>
            <rFont val="Tahoma"/>
            <family val="2"/>
          </rPr>
          <t>Indicate whether or not door service is included in the arbitrary rate</t>
        </r>
      </text>
    </comment>
    <comment ref="H97" authorId="2" shapeId="0" xr:uid="{03AFD729-CC87-4374-852B-E0B03DE50FB7}">
      <text>
        <r>
          <rPr>
            <b/>
            <sz val="14"/>
            <color indexed="81"/>
            <rFont val="Tahoma"/>
            <family val="2"/>
          </rPr>
          <t>Input the rate in this field when the same amount applies for all container sizes</t>
        </r>
      </text>
    </comment>
    <comment ref="N97" authorId="2" shapeId="0" xr:uid="{15C4126C-3065-472E-92F9-2C70F9821E42}">
      <text>
        <r>
          <rPr>
            <b/>
            <sz val="14"/>
            <color indexed="81"/>
            <rFont val="Tahoma"/>
            <family val="2"/>
          </rPr>
          <t>Each Arbitrary applies only to FAK / Bullets as specifically listed in this field.</t>
        </r>
      </text>
    </comment>
    <comment ref="B112" authorId="2" shapeId="0" xr:uid="{FA67D180-5204-4B9E-99BC-248FD4219F7C}">
      <text>
        <r>
          <rPr>
            <b/>
            <sz val="14"/>
            <color indexed="81"/>
            <rFont val="Tahoma"/>
            <family val="2"/>
          </rPr>
          <t>Place of Destination - may be an outport for feeder (CY) arbitraries or an inland destination
Format is:  City, State or ZIP Code</t>
        </r>
      </text>
    </comment>
    <comment ref="E112" authorId="2" shapeId="0" xr:uid="{35F305BB-7D8C-4BE5-9DD7-7957A77D2C58}">
      <text>
        <r>
          <rPr>
            <b/>
            <sz val="14"/>
            <color indexed="81"/>
            <rFont val="Tahoma"/>
            <family val="2"/>
          </rPr>
          <t xml:space="preserve">Please use only one port or a group of ports (Port groups must be defined in the Port Group Codes table).
Arbitrary construction can only occur with rate conditions which show these ports as the POD.
</t>
        </r>
        <r>
          <rPr>
            <b/>
            <i/>
            <sz val="14"/>
            <color indexed="81"/>
            <rFont val="Tahoma"/>
            <family val="2"/>
          </rPr>
          <t>All ports must be valid SEA ports.</t>
        </r>
      </text>
    </comment>
    <comment ref="F112" authorId="2" shapeId="0" xr:uid="{867B6BBE-31D8-4057-BCAA-9B5CEF8CEE57}">
      <text>
        <r>
          <rPr>
            <b/>
            <sz val="14"/>
            <color indexed="81"/>
            <rFont val="Tahoma"/>
            <family val="2"/>
          </rPr>
          <t>Indicate the mode of transportation between the arbitrary POD and arbitrary place of delivery.
CY modes can only be used when the mode of transportation is by Feeder.
Use of CY mode requires both the locations to be valid SEA ports.</t>
        </r>
      </text>
    </comment>
    <comment ref="G112" authorId="2" shapeId="0" xr:uid="{2AADE6B4-B8B6-42C0-B097-115F56632E65}">
      <text>
        <r>
          <rPr>
            <b/>
            <sz val="14"/>
            <color indexed="81"/>
            <rFont val="Tahoma"/>
            <family val="2"/>
          </rPr>
          <t>Indicate whether or not door service is included in the arbitrary rate</t>
        </r>
      </text>
    </comment>
    <comment ref="H112" authorId="2" shapeId="0" xr:uid="{B53606A2-882D-4671-A191-ECEA4F8E0EAB}">
      <text>
        <r>
          <rPr>
            <b/>
            <sz val="14"/>
            <color indexed="81"/>
            <rFont val="Tahoma"/>
            <family val="2"/>
          </rPr>
          <t>Input the rate in this field when the same amount applies for all container sizes</t>
        </r>
      </text>
    </comment>
    <comment ref="N112" authorId="2" shapeId="0" xr:uid="{C7F69F9E-3877-45FB-8471-4635AA07C10B}">
      <text>
        <r>
          <rPr>
            <b/>
            <sz val="14"/>
            <color indexed="81"/>
            <rFont val="Tahoma"/>
            <family val="2"/>
          </rPr>
          <t>Each Arbitrary applies only to FAK / Bullets as specifically listed in this field.</t>
        </r>
      </text>
    </comment>
    <comment ref="L123" authorId="2" shapeId="0" xr:uid="{AA8C6D21-03D3-4CBF-A21D-A7AE8059BB6F}">
      <text>
        <r>
          <rPr>
            <b/>
            <sz val="14"/>
            <color indexed="81"/>
            <rFont val="Tahoma"/>
            <family val="2"/>
          </rPr>
          <t>Surcharge applicability mentioned on any row applies specifically to the individual port mentioned in this field.
If the Applicable Port field is blank, then the  surcharge applicability stated on that row applies to all ports.</t>
        </r>
      </text>
    </comment>
    <comment ref="A216" authorId="2" shapeId="0" xr:uid="{6EF582A7-B722-4EB4-8CDC-76AB20AE7A14}">
      <text>
        <r>
          <rPr>
            <sz val="12"/>
            <color indexed="81"/>
            <rFont val="Tahoma"/>
            <family val="2"/>
          </rPr>
          <t>Select the bullet for which the exception applies.
If exception applies to all bullets, select "ALL".</t>
        </r>
      </text>
    </comment>
    <comment ref="B216" authorId="2" shapeId="0" xr:uid="{078E71D4-AC2E-4849-B19E-90BA7FA150E6}">
      <text>
        <r>
          <rPr>
            <sz val="12"/>
            <color indexed="81"/>
            <rFont val="Tahoma"/>
            <family val="2"/>
          </rPr>
          <t xml:space="preserve">Specify if Free Time condition applies to Export or Import:
</t>
        </r>
        <r>
          <rPr>
            <b/>
            <sz val="12"/>
            <color indexed="81"/>
            <rFont val="Tahoma"/>
            <family val="2"/>
          </rPr>
          <t xml:space="preserve">E </t>
        </r>
        <r>
          <rPr>
            <sz val="12"/>
            <color indexed="81"/>
            <rFont val="Tahoma"/>
            <family val="2"/>
          </rPr>
          <t xml:space="preserve">(Export) = applies at origin
</t>
        </r>
        <r>
          <rPr>
            <b/>
            <sz val="12"/>
            <color indexed="81"/>
            <rFont val="Tahoma"/>
            <family val="2"/>
          </rPr>
          <t xml:space="preserve">I </t>
        </r>
        <r>
          <rPr>
            <sz val="12"/>
            <color indexed="81"/>
            <rFont val="Tahoma"/>
            <family val="2"/>
          </rPr>
          <t>(Import) = applies at destination</t>
        </r>
      </text>
    </comment>
    <comment ref="C216" authorId="2" shapeId="0" xr:uid="{46264B23-D0AB-4A74-8B6F-0BB324C2B3B3}">
      <text>
        <r>
          <rPr>
            <sz val="12"/>
            <color indexed="81"/>
            <rFont val="Tahoma"/>
            <family val="2"/>
          </rPr>
          <t>Enter Type of Free Time:</t>
        </r>
        <r>
          <rPr>
            <u/>
            <sz val="12"/>
            <color indexed="81"/>
            <rFont val="Tahoma"/>
            <family val="2"/>
          </rPr>
          <t xml:space="preserve">
</t>
        </r>
        <r>
          <rPr>
            <sz val="12"/>
            <color indexed="81"/>
            <rFont val="Tahoma"/>
            <family val="2"/>
          </rPr>
          <t xml:space="preserve">
</t>
        </r>
        <r>
          <rPr>
            <b/>
            <sz val="12"/>
            <color indexed="81"/>
            <rFont val="Tahoma"/>
            <family val="2"/>
          </rPr>
          <t>Detention
Demurrage
Merged</t>
        </r>
      </text>
    </comment>
    <comment ref="F216" authorId="2" shapeId="0" xr:uid="{0DBE06D6-F358-435D-AEA3-E30BD34C7E7D}">
      <text>
        <r>
          <rPr>
            <sz val="12"/>
            <color indexed="81"/>
            <rFont val="Tahoma"/>
            <family val="2"/>
          </rPr>
          <t xml:space="preserve">Specify Equipment Type (blank field indicates applicability to all Eq Types):
</t>
        </r>
        <r>
          <rPr>
            <b/>
            <sz val="12"/>
            <color indexed="81"/>
            <rFont val="Tahoma"/>
            <family val="2"/>
          </rPr>
          <t>D</t>
        </r>
        <r>
          <rPr>
            <sz val="12"/>
            <color indexed="81"/>
            <rFont val="Tahoma"/>
            <family val="2"/>
          </rPr>
          <t xml:space="preserve"> = Dry
</t>
        </r>
        <r>
          <rPr>
            <b/>
            <sz val="12"/>
            <color indexed="81"/>
            <rFont val="Tahoma"/>
            <family val="2"/>
          </rPr>
          <t>R</t>
        </r>
        <r>
          <rPr>
            <sz val="12"/>
            <color indexed="81"/>
            <rFont val="Tahoma"/>
            <family val="2"/>
          </rPr>
          <t xml:space="preserve"> = Reefer
</t>
        </r>
        <r>
          <rPr>
            <b/>
            <sz val="12"/>
            <color indexed="81"/>
            <rFont val="Tahoma"/>
            <family val="2"/>
          </rPr>
          <t>OT</t>
        </r>
        <r>
          <rPr>
            <sz val="12"/>
            <color indexed="81"/>
            <rFont val="Tahoma"/>
            <family val="2"/>
          </rPr>
          <t xml:space="preserve"> = Open Top
</t>
        </r>
        <r>
          <rPr>
            <b/>
            <sz val="12"/>
            <color indexed="81"/>
            <rFont val="Tahoma"/>
            <family val="2"/>
          </rPr>
          <t>FR</t>
        </r>
        <r>
          <rPr>
            <sz val="12"/>
            <color indexed="81"/>
            <rFont val="Tahoma"/>
            <family val="2"/>
          </rPr>
          <t xml:space="preserve"> = Flat Rack</t>
        </r>
      </text>
    </comment>
    <comment ref="G216" authorId="2" shapeId="0" xr:uid="{BBD97ADB-89A1-44BE-A219-7AE4885482D4}">
      <text>
        <r>
          <rPr>
            <sz val="12"/>
            <color indexed="81"/>
            <rFont val="Tahoma"/>
            <family val="2"/>
          </rPr>
          <t>Select "OR" from the drop down list if condition applies to Operating Reefers</t>
        </r>
      </text>
    </comment>
    <comment ref="H216" authorId="2" shapeId="0" xr:uid="{86992BCD-6094-45D3-9ECE-06A9C21875F3}">
      <text>
        <r>
          <rPr>
            <sz val="12"/>
            <color indexed="81"/>
            <rFont val="Tahoma"/>
            <family val="2"/>
          </rPr>
          <t xml:space="preserve">Specify the Place of Receipt if necessary.  </t>
        </r>
        <r>
          <rPr>
            <u/>
            <sz val="12"/>
            <color indexed="81"/>
            <rFont val="Tahoma"/>
            <family val="2"/>
          </rPr>
          <t>Do not</t>
        </r>
        <r>
          <rPr>
            <sz val="12"/>
            <color indexed="81"/>
            <rFont val="Tahoma"/>
            <family val="2"/>
          </rPr>
          <t xml:space="preserve"> use "ALL".
Only 1 location may be entered per row.</t>
        </r>
      </text>
    </comment>
    <comment ref="I216" authorId="2" shapeId="0" xr:uid="{F8F1365A-E12A-4804-8D4F-7B1841DA304E}">
      <text>
        <r>
          <rPr>
            <sz val="12"/>
            <color indexed="81"/>
            <rFont val="Tahoma"/>
            <family val="2"/>
          </rPr>
          <t xml:space="preserve">Enter the POL if necessary.  </t>
        </r>
        <r>
          <rPr>
            <u/>
            <sz val="12"/>
            <color indexed="81"/>
            <rFont val="Tahoma"/>
            <family val="2"/>
          </rPr>
          <t>Do not</t>
        </r>
        <r>
          <rPr>
            <sz val="12"/>
            <color indexed="81"/>
            <rFont val="Tahoma"/>
            <family val="2"/>
          </rPr>
          <t xml:space="preserve"> use "ALL".
Only 1 location is allowed per row and must be a valid seaport.</t>
        </r>
      </text>
    </comment>
    <comment ref="J216" authorId="2" shapeId="0" xr:uid="{3E1E48F0-04CD-430F-9277-064749A421EC}">
      <text>
        <r>
          <rPr>
            <sz val="12"/>
            <color indexed="81"/>
            <rFont val="Tahoma"/>
            <family val="2"/>
          </rPr>
          <t xml:space="preserve">Enter the POD if necessary.  </t>
        </r>
        <r>
          <rPr>
            <u/>
            <sz val="12"/>
            <color indexed="81"/>
            <rFont val="Tahoma"/>
            <family val="2"/>
          </rPr>
          <t>Do not</t>
        </r>
        <r>
          <rPr>
            <sz val="12"/>
            <color indexed="81"/>
            <rFont val="Tahoma"/>
            <family val="2"/>
          </rPr>
          <t xml:space="preserve"> use "ALL".
Only 1 location is allowed per row and must be a valid seaport.</t>
        </r>
      </text>
    </comment>
    <comment ref="K216" authorId="2" shapeId="0" xr:uid="{DB634E6E-8C53-4871-8044-FCDBF86F667F}">
      <text>
        <r>
          <rPr>
            <sz val="12"/>
            <color indexed="81"/>
            <rFont val="Tahoma"/>
            <family val="2"/>
          </rPr>
          <t xml:space="preserve">Specify the Place of Delivery if necessary.  </t>
        </r>
        <r>
          <rPr>
            <u/>
            <sz val="12"/>
            <color indexed="81"/>
            <rFont val="Tahoma"/>
            <family val="2"/>
          </rPr>
          <t>Do not</t>
        </r>
        <r>
          <rPr>
            <sz val="12"/>
            <color indexed="81"/>
            <rFont val="Tahoma"/>
            <family val="2"/>
          </rPr>
          <t xml:space="preserve"> use "ALL".
Only 1 location may be entered per row.</t>
        </r>
      </text>
    </comment>
    <comment ref="L216" authorId="3" shapeId="0" xr:uid="{C67A09AE-994F-419D-A191-DF55C087BC3F}">
      <text>
        <r>
          <rPr>
            <sz val="12"/>
            <color indexed="81"/>
            <rFont val="Tahoma"/>
            <family val="2"/>
          </rPr>
          <t xml:space="preserve">Enter the Country Code ONLY.  </t>
        </r>
        <r>
          <rPr>
            <u/>
            <sz val="12"/>
            <color indexed="81"/>
            <rFont val="Tahoma"/>
            <family val="2"/>
          </rPr>
          <t>Cannot</t>
        </r>
        <r>
          <rPr>
            <sz val="12"/>
            <color indexed="81"/>
            <rFont val="Tahoma"/>
            <family val="2"/>
          </rPr>
          <t xml:space="preserve"> use "ALL" or country name</t>
        </r>
      </text>
    </comment>
    <comment ref="M216" authorId="2" shapeId="0" xr:uid="{7C65FC9F-1F39-4B7B-9B31-3B7CBD1F38F0}">
      <text>
        <r>
          <rPr>
            <sz val="12"/>
            <color indexed="81"/>
            <rFont val="Tahoma"/>
            <family val="2"/>
          </rPr>
          <t xml:space="preserve">Enter additional notes only when absolutely necessary.  
</t>
        </r>
        <r>
          <rPr>
            <u/>
            <sz val="12"/>
            <color indexed="81"/>
            <rFont val="Tahoma"/>
            <family val="2"/>
          </rPr>
          <t>IMPORTANT</t>
        </r>
        <r>
          <rPr>
            <sz val="12"/>
            <color indexed="81"/>
            <rFont val="Tahoma"/>
            <family val="2"/>
          </rPr>
          <t xml:space="preserve">:  Named accounts and specific commodities </t>
        </r>
        <r>
          <rPr>
            <b/>
            <u/>
            <sz val="12"/>
            <color indexed="81"/>
            <rFont val="Tahoma"/>
            <family val="2"/>
          </rPr>
          <t>may not</t>
        </r>
        <r>
          <rPr>
            <sz val="12"/>
            <color indexed="81"/>
            <rFont val="Tahoma"/>
            <family val="2"/>
          </rPr>
          <t xml:space="preserve"> be listed as Notes.</t>
        </r>
      </text>
    </comment>
    <comment ref="A229" authorId="2" shapeId="0" xr:uid="{2FF276A1-87B2-439F-B3DC-CB58937EE1D3}">
      <text>
        <r>
          <rPr>
            <sz val="12"/>
            <color indexed="81"/>
            <rFont val="Tahoma"/>
            <family val="2"/>
          </rPr>
          <t>Select the bullet for which the exception applies.
If exception applies to all bullets, select "ALL".</t>
        </r>
      </text>
    </comment>
    <comment ref="B229" authorId="2" shapeId="0" xr:uid="{625CB44C-0892-425C-BAAE-536A4A8D1B81}">
      <text>
        <r>
          <rPr>
            <sz val="12"/>
            <color indexed="81"/>
            <rFont val="Tahoma"/>
            <family val="2"/>
          </rPr>
          <t xml:space="preserve">Specify if Free Time condition applies to Export or Import:
</t>
        </r>
        <r>
          <rPr>
            <b/>
            <sz val="12"/>
            <color indexed="81"/>
            <rFont val="Tahoma"/>
            <family val="2"/>
          </rPr>
          <t xml:space="preserve">E </t>
        </r>
        <r>
          <rPr>
            <sz val="12"/>
            <color indexed="81"/>
            <rFont val="Tahoma"/>
            <family val="2"/>
          </rPr>
          <t xml:space="preserve">(Export) = applies at origin
</t>
        </r>
        <r>
          <rPr>
            <b/>
            <sz val="12"/>
            <color indexed="81"/>
            <rFont val="Tahoma"/>
            <family val="2"/>
          </rPr>
          <t xml:space="preserve">I </t>
        </r>
        <r>
          <rPr>
            <sz val="12"/>
            <color indexed="81"/>
            <rFont val="Tahoma"/>
            <family val="2"/>
          </rPr>
          <t>(Import) = applies at destination</t>
        </r>
      </text>
    </comment>
    <comment ref="C229" authorId="2" shapeId="0" xr:uid="{826C4C31-D2FC-40F5-8D75-8A83ABBCB49C}">
      <text>
        <r>
          <rPr>
            <sz val="12"/>
            <color indexed="81"/>
            <rFont val="Tahoma"/>
            <family val="2"/>
          </rPr>
          <t>Enter Type of Free Time:</t>
        </r>
        <r>
          <rPr>
            <u/>
            <sz val="12"/>
            <color indexed="81"/>
            <rFont val="Tahoma"/>
            <family val="2"/>
          </rPr>
          <t xml:space="preserve">
</t>
        </r>
        <r>
          <rPr>
            <sz val="12"/>
            <color indexed="81"/>
            <rFont val="Tahoma"/>
            <family val="2"/>
          </rPr>
          <t xml:space="preserve">
</t>
        </r>
        <r>
          <rPr>
            <b/>
            <sz val="12"/>
            <color indexed="81"/>
            <rFont val="Tahoma"/>
            <family val="2"/>
          </rPr>
          <t>Detention
Demurrage
Merged</t>
        </r>
      </text>
    </comment>
    <comment ref="F229" authorId="2" shapeId="0" xr:uid="{A18A4F25-9CDE-425E-8AF6-28B260B5F3A1}">
      <text>
        <r>
          <rPr>
            <sz val="12"/>
            <color indexed="81"/>
            <rFont val="Tahoma"/>
            <family val="2"/>
          </rPr>
          <t>If any exceptional charges are offered, then the currency is required to be shown.</t>
        </r>
      </text>
    </comment>
    <comment ref="O229" authorId="2" shapeId="0" xr:uid="{AFB9624E-5BF3-4FC4-9D32-96990D91602D}">
      <text>
        <r>
          <rPr>
            <sz val="12"/>
            <color indexed="81"/>
            <rFont val="Tahoma"/>
            <family val="2"/>
          </rPr>
          <t xml:space="preserve">Specify Equipment Type (blank field indicates applicability to all Eq Types):
</t>
        </r>
        <r>
          <rPr>
            <b/>
            <sz val="12"/>
            <color indexed="81"/>
            <rFont val="Tahoma"/>
            <family val="2"/>
          </rPr>
          <t>D</t>
        </r>
        <r>
          <rPr>
            <sz val="12"/>
            <color indexed="81"/>
            <rFont val="Tahoma"/>
            <family val="2"/>
          </rPr>
          <t xml:space="preserve"> = Dry
</t>
        </r>
        <r>
          <rPr>
            <b/>
            <sz val="12"/>
            <color indexed="81"/>
            <rFont val="Tahoma"/>
            <family val="2"/>
          </rPr>
          <t>R</t>
        </r>
        <r>
          <rPr>
            <sz val="12"/>
            <color indexed="81"/>
            <rFont val="Tahoma"/>
            <family val="2"/>
          </rPr>
          <t xml:space="preserve"> = Reefer
</t>
        </r>
        <r>
          <rPr>
            <b/>
            <sz val="12"/>
            <color indexed="81"/>
            <rFont val="Tahoma"/>
            <family val="2"/>
          </rPr>
          <t>OT</t>
        </r>
        <r>
          <rPr>
            <sz val="12"/>
            <color indexed="81"/>
            <rFont val="Tahoma"/>
            <family val="2"/>
          </rPr>
          <t xml:space="preserve"> = Open Top
</t>
        </r>
        <r>
          <rPr>
            <b/>
            <sz val="12"/>
            <color indexed="81"/>
            <rFont val="Tahoma"/>
            <family val="2"/>
          </rPr>
          <t>FR</t>
        </r>
        <r>
          <rPr>
            <sz val="12"/>
            <color indexed="81"/>
            <rFont val="Tahoma"/>
            <family val="2"/>
          </rPr>
          <t xml:space="preserve"> = Flat Rack</t>
        </r>
      </text>
    </comment>
    <comment ref="P229" authorId="2" shapeId="0" xr:uid="{0A73AB63-A387-4E62-9D79-1AA061A75023}">
      <text>
        <r>
          <rPr>
            <sz val="12"/>
            <color indexed="81"/>
            <rFont val="Tahoma"/>
            <family val="2"/>
          </rPr>
          <t>Select "OR" from the drop down list if condition applies to Operating Reefers</t>
        </r>
      </text>
    </comment>
    <comment ref="Q229" authorId="2" shapeId="0" xr:uid="{17070607-D589-426D-A037-782BD031BB09}">
      <text>
        <r>
          <rPr>
            <sz val="12"/>
            <color indexed="81"/>
            <rFont val="Tahoma"/>
            <family val="2"/>
          </rPr>
          <t xml:space="preserve">Specify the Place of Receipt if necessary.  </t>
        </r>
        <r>
          <rPr>
            <u/>
            <sz val="12"/>
            <color indexed="81"/>
            <rFont val="Tahoma"/>
            <family val="2"/>
          </rPr>
          <t>Do not</t>
        </r>
        <r>
          <rPr>
            <sz val="12"/>
            <color indexed="81"/>
            <rFont val="Tahoma"/>
            <family val="2"/>
          </rPr>
          <t xml:space="preserve"> use "ALL".
Only 1 location may be entered per row.</t>
        </r>
      </text>
    </comment>
    <comment ref="R229" authorId="2" shapeId="0" xr:uid="{9F25CC86-0F58-4453-9D75-F17D6DBC5C99}">
      <text>
        <r>
          <rPr>
            <sz val="12"/>
            <color indexed="81"/>
            <rFont val="Tahoma"/>
            <family val="2"/>
          </rPr>
          <t xml:space="preserve">Enter the POL if necessary.  </t>
        </r>
        <r>
          <rPr>
            <u/>
            <sz val="12"/>
            <color indexed="81"/>
            <rFont val="Tahoma"/>
            <family val="2"/>
          </rPr>
          <t>Do not</t>
        </r>
        <r>
          <rPr>
            <sz val="12"/>
            <color indexed="81"/>
            <rFont val="Tahoma"/>
            <family val="2"/>
          </rPr>
          <t xml:space="preserve"> use "ALL".
Only 1 location is allowed per row and must be a valid seaport.</t>
        </r>
      </text>
    </comment>
    <comment ref="S229" authorId="2" shapeId="0" xr:uid="{00B94E18-E1F7-42BD-A879-38086ED2E7D4}">
      <text>
        <r>
          <rPr>
            <sz val="12"/>
            <color indexed="81"/>
            <rFont val="Tahoma"/>
            <family val="2"/>
          </rPr>
          <t xml:space="preserve">Enter the POD if necessary.  </t>
        </r>
        <r>
          <rPr>
            <u/>
            <sz val="12"/>
            <color indexed="81"/>
            <rFont val="Tahoma"/>
            <family val="2"/>
          </rPr>
          <t>Do not</t>
        </r>
        <r>
          <rPr>
            <sz val="12"/>
            <color indexed="81"/>
            <rFont val="Tahoma"/>
            <family val="2"/>
          </rPr>
          <t xml:space="preserve"> use "ALL".
Only 1 location is allowed per row and must be a valid seaport.</t>
        </r>
      </text>
    </comment>
    <comment ref="T229" authorId="2" shapeId="0" xr:uid="{6C0D39BC-0963-4B89-A089-6C9CCDB9BB79}">
      <text>
        <r>
          <rPr>
            <sz val="12"/>
            <color indexed="81"/>
            <rFont val="Tahoma"/>
            <family val="2"/>
          </rPr>
          <t xml:space="preserve">Specify the Place of Delivery if necessary.  </t>
        </r>
        <r>
          <rPr>
            <u/>
            <sz val="12"/>
            <color indexed="81"/>
            <rFont val="Tahoma"/>
            <family val="2"/>
          </rPr>
          <t>Do not</t>
        </r>
        <r>
          <rPr>
            <sz val="12"/>
            <color indexed="81"/>
            <rFont val="Tahoma"/>
            <family val="2"/>
          </rPr>
          <t xml:space="preserve"> use "ALL".
Only 1 location may be entered per row.</t>
        </r>
      </text>
    </comment>
    <comment ref="U229" authorId="3" shapeId="0" xr:uid="{B13C8501-6333-436F-B92F-652C28A98B13}">
      <text>
        <r>
          <rPr>
            <sz val="12"/>
            <color indexed="81"/>
            <rFont val="Tahoma"/>
            <family val="2"/>
          </rPr>
          <t xml:space="preserve">Enter the Country Code ONLY.  </t>
        </r>
        <r>
          <rPr>
            <u/>
            <sz val="12"/>
            <color indexed="81"/>
            <rFont val="Tahoma"/>
            <family val="2"/>
          </rPr>
          <t>Cannot</t>
        </r>
        <r>
          <rPr>
            <sz val="12"/>
            <color indexed="81"/>
            <rFont val="Tahoma"/>
            <family val="2"/>
          </rPr>
          <t xml:space="preserve"> use "ALL" or country name</t>
        </r>
      </text>
    </comment>
    <comment ref="V229" authorId="2" shapeId="0" xr:uid="{576C9228-4D9E-4D6B-B22D-821C97C458D4}">
      <text>
        <r>
          <rPr>
            <sz val="12"/>
            <color indexed="81"/>
            <rFont val="Tahoma"/>
            <family val="2"/>
          </rPr>
          <t xml:space="preserve">Enter additional notes only when absolutely necessary.  
</t>
        </r>
        <r>
          <rPr>
            <u/>
            <sz val="12"/>
            <color indexed="81"/>
            <rFont val="Tahoma"/>
            <family val="2"/>
          </rPr>
          <t>IMPORTANT</t>
        </r>
        <r>
          <rPr>
            <sz val="12"/>
            <color indexed="81"/>
            <rFont val="Tahoma"/>
            <family val="2"/>
          </rPr>
          <t xml:space="preserve">:  Named accounts and specific commodities </t>
        </r>
        <r>
          <rPr>
            <b/>
            <u/>
            <sz val="12"/>
            <color indexed="81"/>
            <rFont val="Tahoma"/>
            <family val="2"/>
          </rPr>
          <t>may not</t>
        </r>
        <r>
          <rPr>
            <sz val="12"/>
            <color indexed="81"/>
            <rFont val="Tahoma"/>
            <family val="2"/>
          </rPr>
          <t xml:space="preserve"> be listed as Notes.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ext.obouge</author>
    <author>William MALLOL</author>
    <author>usa.gewan</author>
    <author>GENDER Charlie - NOR</author>
  </authors>
  <commentList>
    <comment ref="B13" authorId="0" shapeId="0" xr:uid="{A1308B15-847B-40EE-85A6-87392C4F3B5C}">
      <text>
        <r>
          <rPr>
            <b/>
            <sz val="12"/>
            <color indexed="81"/>
            <rFont val="Tahoma"/>
            <family val="2"/>
          </rPr>
          <t>Please use comma to separate commodities.</t>
        </r>
      </text>
    </comment>
    <comment ref="A20" authorId="1" shapeId="0" xr:uid="{7E16AA7F-1E27-4661-AB31-7EC8D43D4C1E}">
      <text>
        <r>
          <rPr>
            <b/>
            <sz val="14"/>
            <color indexed="81"/>
            <rFont val="Tahoma"/>
            <family val="2"/>
          </rPr>
          <t>Port Group Codes can be used to group any two or more valid seaports that are common rated.
Port Group Codes cannot be used for inland locations.</t>
        </r>
      </text>
    </comment>
    <comment ref="B20" authorId="0" shapeId="0" xr:uid="{3EF471F9-2D9E-4B37-A0F0-261AD5E17F9C}">
      <text>
        <r>
          <rPr>
            <b/>
            <sz val="14"/>
            <color indexed="81"/>
            <rFont val="Tahoma"/>
            <family val="2"/>
          </rPr>
          <t>Please use comma to separate ports.
Only valid sea ports may be included.</t>
        </r>
      </text>
    </comment>
    <comment ref="A30" authorId="1" shapeId="0" xr:uid="{0A0ABF27-9C8D-46C5-95F1-A83DA8200BFA}">
      <text>
        <r>
          <rPr>
            <b/>
            <sz val="14"/>
            <color indexed="81"/>
            <rFont val="Tahoma"/>
            <family val="2"/>
          </rPr>
          <t>Please use FAK/ Bullets defined above.</t>
        </r>
      </text>
    </comment>
    <comment ref="B30" authorId="1" shapeId="0" xr:uid="{A5337063-29E5-487B-928E-022EEE9B68C4}">
      <text>
        <r>
          <rPr>
            <b/>
            <sz val="14"/>
            <color indexed="81"/>
            <rFont val="Tahoma"/>
            <family val="2"/>
          </rPr>
          <t>City, State / ZIP Code</t>
        </r>
      </text>
    </comment>
    <comment ref="C30" authorId="1" shapeId="0" xr:uid="{F1F4542F-7993-414C-B030-32C416889996}">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D30" authorId="1" shapeId="0" xr:uid="{0113729F-4A08-4C14-BD53-867ECED1E313}">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E30" authorId="1" shapeId="0" xr:uid="{62934A28-808A-42FF-8CF0-34F0F6FA3060}">
      <text>
        <r>
          <rPr>
            <b/>
            <sz val="14"/>
            <color indexed="81"/>
            <rFont val="Tahoma"/>
            <family val="2"/>
          </rPr>
          <t>City, State / ZIP Code</t>
        </r>
      </text>
    </comment>
    <comment ref="F30" authorId="2" shapeId="0" xr:uid="{F22D36FF-7615-48F3-89CF-704BE73EDFE8}">
      <text>
        <r>
          <rPr>
            <b/>
            <sz val="14"/>
            <color indexed="81"/>
            <rFont val="Tahoma"/>
            <family val="2"/>
          </rPr>
          <t>Indicate the mode of transportation at origin and destination.
Mode cannot begin with CY if there is a location listed as place of receipt.
Mode cannot end with CY if there is a location is listed as place of delivery</t>
        </r>
      </text>
    </comment>
    <comment ref="G30" authorId="2" shapeId="0" xr:uid="{C3A809EB-27E9-4B87-8284-ACDAA4EAE6C3}">
      <text>
        <r>
          <rPr>
            <b/>
            <sz val="14"/>
            <color indexed="81"/>
            <rFont val="Tahoma"/>
            <family val="2"/>
          </rPr>
          <t>Indicate whether or not door service is included at origin and destination</t>
        </r>
      </text>
    </comment>
    <comment ref="M30" authorId="2" shapeId="0" xr:uid="{400590AB-3EAD-4452-A94E-7F4E2E51A5E3}">
      <text>
        <r>
          <rPr>
            <b/>
            <sz val="14"/>
            <color indexed="81"/>
            <rFont val="Tahoma"/>
            <family val="2"/>
          </rPr>
          <t>Use these columns for exceptions to surcharge applicability in note 2</t>
        </r>
      </text>
    </comment>
    <comment ref="AA30" authorId="2" shapeId="0" xr:uid="{23D020A4-24D6-4229-80B5-CE788DE09332}">
      <text>
        <r>
          <rPr>
            <b/>
            <sz val="14"/>
            <color indexed="81"/>
            <rFont val="Tahoma"/>
            <family val="2"/>
          </rPr>
          <t>This field controls construction using Arbitraries and Inland Tariffs
Y = allowed in US, N = not allowed in US, 
E = allowed at origin, I = allowed at destination,
B = allowed at both origin and destination
X = not allowed at either origin or destination</t>
        </r>
      </text>
    </comment>
    <comment ref="A155" authorId="1" shapeId="0" xr:uid="{2AE142BA-2B2F-441C-9B1B-903EC7CA1EFF}">
      <text>
        <r>
          <rPr>
            <b/>
            <sz val="14"/>
            <color indexed="81"/>
            <rFont val="Tahoma"/>
            <family val="2"/>
          </rPr>
          <t>Please use FAK/ Bullets defined above.</t>
        </r>
      </text>
    </comment>
    <comment ref="B155" authorId="1" shapeId="0" xr:uid="{0AC1EB89-1A14-4D18-8501-5249927A1D50}">
      <text>
        <r>
          <rPr>
            <b/>
            <sz val="14"/>
            <color indexed="81"/>
            <rFont val="Tahoma"/>
            <family val="2"/>
          </rPr>
          <t>City, State / ZIP Code</t>
        </r>
      </text>
    </comment>
    <comment ref="C155" authorId="1" shapeId="0" xr:uid="{A0EC18A0-B623-4770-BF64-C37C5E2C544F}">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D155" authorId="1" shapeId="0" xr:uid="{DA64DF21-6468-42CD-8083-6ADD81C0A466}">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E155" authorId="1" shapeId="0" xr:uid="{1528A428-9D7A-45C3-9F72-8D8986C23243}">
      <text>
        <r>
          <rPr>
            <b/>
            <sz val="14"/>
            <color indexed="81"/>
            <rFont val="Tahoma"/>
            <family val="2"/>
          </rPr>
          <t>City, State / ZIP Code</t>
        </r>
      </text>
    </comment>
    <comment ref="F155" authorId="2" shapeId="0" xr:uid="{90A0F144-4F1D-4B7A-95A1-1CF41ED89051}">
      <text>
        <r>
          <rPr>
            <b/>
            <sz val="14"/>
            <color indexed="81"/>
            <rFont val="Tahoma"/>
            <family val="2"/>
          </rPr>
          <t>Indicate the mode of transportation at origin and destination.
Mode cannot begin with CY if there is a location listed as place of receipt.
Mode cannot end with CY if there is a location is listed as place of delivery</t>
        </r>
      </text>
    </comment>
    <comment ref="G155" authorId="2" shapeId="0" xr:uid="{E1B3E2D2-3C94-489B-A0E7-7D31787E0A97}">
      <text>
        <r>
          <rPr>
            <b/>
            <sz val="14"/>
            <color indexed="81"/>
            <rFont val="Tahoma"/>
            <family val="2"/>
          </rPr>
          <t>Indicate whether or not door service is included at origin and destination</t>
        </r>
      </text>
    </comment>
    <comment ref="O155" authorId="2" shapeId="0" xr:uid="{10EA02F0-86BD-43B1-81BE-43E606A2914F}">
      <text>
        <r>
          <rPr>
            <b/>
            <sz val="14"/>
            <color indexed="81"/>
            <rFont val="Tahoma"/>
            <family val="2"/>
          </rPr>
          <t>Use these columns for exceptions to surcharge applicability in note 2</t>
        </r>
      </text>
    </comment>
    <comment ref="AA155" authorId="2" shapeId="0" xr:uid="{67A49CFC-39FB-4117-858E-4BA94D4267FA}">
      <text>
        <r>
          <rPr>
            <b/>
            <sz val="14"/>
            <color indexed="81"/>
            <rFont val="Tahoma"/>
            <family val="2"/>
          </rPr>
          <t>This field controls construction using Arbitraries and Inland Tariffs
Y = allowed in US, N = not allowed in US, 
E = allowed at origin, I = allowed at destination,
B = allowed at both origin and destination
X = not allowed at either origin or destination</t>
        </r>
      </text>
    </comment>
    <comment ref="A165" authorId="1" shapeId="0" xr:uid="{DEC448AB-9A24-4021-A597-B92F50648941}">
      <text>
        <r>
          <rPr>
            <b/>
            <sz val="14"/>
            <color indexed="81"/>
            <rFont val="Tahoma"/>
            <family val="2"/>
          </rPr>
          <t>Please use FAK/ Bullets defined above.</t>
        </r>
      </text>
    </comment>
    <comment ref="B165" authorId="1" shapeId="0" xr:uid="{ADDC4670-BCAC-44D3-8024-A3562010BD83}">
      <text>
        <r>
          <rPr>
            <b/>
            <sz val="14"/>
            <color indexed="81"/>
            <rFont val="Tahoma"/>
            <family val="2"/>
          </rPr>
          <t>City, State / ZIP Code</t>
        </r>
      </text>
    </comment>
    <comment ref="C165" authorId="1" shapeId="0" xr:uid="{7A77E178-1145-49B4-9EF8-BE6B4136068A}">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D165" authorId="1" shapeId="0" xr:uid="{F6332AB7-BC0D-4810-9F1F-C9A1266C2954}">
      <text>
        <r>
          <rPr>
            <b/>
            <sz val="14"/>
            <color indexed="81"/>
            <rFont val="Tahoma"/>
            <family val="2"/>
          </rPr>
          <t xml:space="preserve">Please use only one, port name or port group code defined in the table above.  
Ex: Los Angeles or USWC
</t>
        </r>
        <r>
          <rPr>
            <b/>
            <i/>
            <sz val="14"/>
            <color indexed="81"/>
            <rFont val="Tahoma"/>
            <family val="2"/>
          </rPr>
          <t>All ports must be valid SEA ports</t>
        </r>
      </text>
    </comment>
    <comment ref="E165" authorId="1" shapeId="0" xr:uid="{9EEF934A-4EC9-46B0-92ED-27FD33098B7A}">
      <text>
        <r>
          <rPr>
            <b/>
            <sz val="14"/>
            <color indexed="81"/>
            <rFont val="Tahoma"/>
            <family val="2"/>
          </rPr>
          <t>City, State / ZIP Code</t>
        </r>
      </text>
    </comment>
    <comment ref="F165" authorId="2" shapeId="0" xr:uid="{79E5F0EC-4E3A-4659-BE09-97A0ABFE7130}">
      <text>
        <r>
          <rPr>
            <b/>
            <sz val="14"/>
            <color indexed="81"/>
            <rFont val="Tahoma"/>
            <family val="2"/>
          </rPr>
          <t>Indicate the mode of transportation at origin and destination.
Mode cannot begin with CY if there is a location listed as place of receipt.
Mode cannot end with CY if there is a location is listed as place of delivery</t>
        </r>
      </text>
    </comment>
    <comment ref="G165" authorId="2" shapeId="0" xr:uid="{8A88ACEB-3482-4CCD-A8EF-2B4C5690C56A}">
      <text>
        <r>
          <rPr>
            <b/>
            <sz val="14"/>
            <color indexed="81"/>
            <rFont val="Tahoma"/>
            <family val="2"/>
          </rPr>
          <t>Indicate whether or not door service is included at origin and destination</t>
        </r>
      </text>
    </comment>
    <comment ref="Q165" authorId="2" shapeId="0" xr:uid="{17A4BADE-9216-4E4E-A3E3-496C01D56CD4}">
      <text>
        <r>
          <rPr>
            <b/>
            <sz val="14"/>
            <color indexed="81"/>
            <rFont val="Tahoma"/>
            <family val="2"/>
          </rPr>
          <t>Use these columns for exceptions to surcharge applicability in note 2</t>
        </r>
      </text>
    </comment>
    <comment ref="AC165" authorId="2" shapeId="0" xr:uid="{1B63AFAB-1C4A-495F-8214-A8A67872A24C}">
      <text>
        <r>
          <rPr>
            <b/>
            <sz val="14"/>
            <color indexed="81"/>
            <rFont val="Tahoma"/>
            <family val="2"/>
          </rPr>
          <t>This field controls construction using Arbitraries and Inland Tariffs
Y = allowed in US, N = not allowed in US, 
E = allowed at origin, I = allowed at destination,
B = allowed at both origin and destination
X = not allowed at either origin or destination</t>
        </r>
      </text>
    </comment>
    <comment ref="B182" authorId="2" shapeId="0" xr:uid="{3F835FE0-293E-4C70-B1FB-473817D1B7C9}">
      <text>
        <r>
          <rPr>
            <b/>
            <sz val="14"/>
            <color indexed="81"/>
            <rFont val="Tahoma"/>
            <family val="2"/>
          </rPr>
          <t>Place of Origin - may be an outport for feeder (CY) arbitraries or an inland origin
Format is:  City, State or ZIP Code</t>
        </r>
      </text>
    </comment>
    <comment ref="E182" authorId="2" shapeId="0" xr:uid="{C76A7695-13B8-44A2-AA4F-E5001D8D1137}">
      <text>
        <r>
          <rPr>
            <b/>
            <sz val="14"/>
            <color indexed="81"/>
            <rFont val="Tahoma"/>
            <family val="2"/>
          </rPr>
          <t xml:space="preserve">Please use only one port or a group of ports (Port groups must be defined in the Port Group Codes table).
Arbitrary construction can only occur with rate conditions which show these ports as the POL.
</t>
        </r>
        <r>
          <rPr>
            <b/>
            <i/>
            <sz val="14"/>
            <color indexed="81"/>
            <rFont val="Tahoma"/>
            <family val="2"/>
          </rPr>
          <t>All ports must be valid SEA ports.</t>
        </r>
      </text>
    </comment>
    <comment ref="F182" authorId="2" shapeId="0" xr:uid="{C72DDA5B-0E39-4490-A8F5-910212F7E239}">
      <text>
        <r>
          <rPr>
            <b/>
            <sz val="14"/>
            <color indexed="81"/>
            <rFont val="Tahoma"/>
            <family val="2"/>
          </rPr>
          <t>Indicate the mode of transportation between the arbitrary place of receipt and arbitrary POL.
CY modes can only be used when the mode of transportation is by Feeder.
Use of CY mode requires both the locations to be valid SEA ports.</t>
        </r>
      </text>
    </comment>
    <comment ref="G182" authorId="2" shapeId="0" xr:uid="{CC250303-CCEA-401A-8F46-30B0F8296315}">
      <text>
        <r>
          <rPr>
            <b/>
            <sz val="14"/>
            <color indexed="81"/>
            <rFont val="Tahoma"/>
            <family val="2"/>
          </rPr>
          <t>Indicate whether or not door service is included in the arbitrary rate</t>
        </r>
      </text>
    </comment>
    <comment ref="H182" authorId="2" shapeId="0" xr:uid="{9DFE3145-E7E2-43E1-9737-B92A17EB21A3}">
      <text>
        <r>
          <rPr>
            <b/>
            <sz val="14"/>
            <color indexed="81"/>
            <rFont val="Tahoma"/>
            <family val="2"/>
          </rPr>
          <t>Input the rate in this field when the same amount applies for all container sizes</t>
        </r>
      </text>
    </comment>
    <comment ref="N182" authorId="2" shapeId="0" xr:uid="{657AC902-5DFF-47B2-8080-39715FF252F7}">
      <text>
        <r>
          <rPr>
            <b/>
            <sz val="14"/>
            <color indexed="81"/>
            <rFont val="Tahoma"/>
            <family val="2"/>
          </rPr>
          <t>Each Arbitrary applies only to FAK / Bullets as specifically listed in this field.</t>
        </r>
      </text>
    </comment>
    <comment ref="B197" authorId="2" shapeId="0" xr:uid="{727E7004-D185-469B-8886-DF7BFC0E71A6}">
      <text>
        <r>
          <rPr>
            <b/>
            <sz val="14"/>
            <color indexed="81"/>
            <rFont val="Tahoma"/>
            <family val="2"/>
          </rPr>
          <t>Place of Destination - may be an outport for feeder (CY) arbitraries or an inland destination
Format is:  City, State or ZIP Code</t>
        </r>
      </text>
    </comment>
    <comment ref="E197" authorId="2" shapeId="0" xr:uid="{487F5726-A344-4AEF-B007-9459C4820FC9}">
      <text>
        <r>
          <rPr>
            <b/>
            <sz val="14"/>
            <color indexed="81"/>
            <rFont val="Tahoma"/>
            <family val="2"/>
          </rPr>
          <t xml:space="preserve">Please use only one port or a group of ports (Port groups must be defined in the Port Group Codes table).
Arbitrary construction can only occur with rate conditions which show these ports as the POD.
</t>
        </r>
        <r>
          <rPr>
            <b/>
            <i/>
            <sz val="14"/>
            <color indexed="81"/>
            <rFont val="Tahoma"/>
            <family val="2"/>
          </rPr>
          <t>All ports must be valid SEA ports.</t>
        </r>
      </text>
    </comment>
    <comment ref="F197" authorId="2" shapeId="0" xr:uid="{60C69E2B-A2CB-4BDA-B5A9-8D29564A13AA}">
      <text>
        <r>
          <rPr>
            <b/>
            <sz val="14"/>
            <color indexed="81"/>
            <rFont val="Tahoma"/>
            <family val="2"/>
          </rPr>
          <t>Indicate the mode of transportation between the arbitrary POD and arbitrary place of delivery.
CY modes can only be used when the mode of transportation is by Feeder.
Use of CY mode requires both the locations to be valid SEA ports.</t>
        </r>
      </text>
    </comment>
    <comment ref="G197" authorId="2" shapeId="0" xr:uid="{8E93D272-6828-45AD-AA88-BAE5DBD95368}">
      <text>
        <r>
          <rPr>
            <b/>
            <sz val="14"/>
            <color indexed="81"/>
            <rFont val="Tahoma"/>
            <family val="2"/>
          </rPr>
          <t>Indicate whether or not door service is included in the arbitrary rate</t>
        </r>
      </text>
    </comment>
    <comment ref="H197" authorId="2" shapeId="0" xr:uid="{AA943D82-9C14-4C44-A82F-DAA39F813F88}">
      <text>
        <r>
          <rPr>
            <b/>
            <sz val="14"/>
            <color indexed="81"/>
            <rFont val="Tahoma"/>
            <family val="2"/>
          </rPr>
          <t>Input the rate in this field when the same amount applies for all container sizes</t>
        </r>
      </text>
    </comment>
    <comment ref="N197" authorId="2" shapeId="0" xr:uid="{2581D6E1-F922-41EE-9E46-076A9EE40D4C}">
      <text>
        <r>
          <rPr>
            <b/>
            <sz val="14"/>
            <color indexed="81"/>
            <rFont val="Tahoma"/>
            <family val="2"/>
          </rPr>
          <t>Each Arbitrary applies only to FAK / Bullets as specifically listed in this field.</t>
        </r>
      </text>
    </comment>
    <comment ref="L208" authorId="2" shapeId="0" xr:uid="{8996EEDF-0854-4943-9AEB-CBF8117C8B56}">
      <text>
        <r>
          <rPr>
            <b/>
            <sz val="14"/>
            <color indexed="81"/>
            <rFont val="Tahoma"/>
            <family val="2"/>
          </rPr>
          <t>Surcharge applicability mentioned on any row applies specifically to the individual port mentioned in this field.
If the Applicable Port field is blank, then the  surcharge applicability stated on that row applies to all ports.</t>
        </r>
      </text>
    </comment>
    <comment ref="A290" authorId="2" shapeId="0" xr:uid="{051719E6-3395-4355-8607-1683DDD756BA}">
      <text>
        <r>
          <rPr>
            <sz val="12"/>
            <color indexed="81"/>
            <rFont val="Tahoma"/>
            <family val="2"/>
          </rPr>
          <t>Select the bullet for which the exception applies.
If exception applies to all bullets, select "ALL".</t>
        </r>
      </text>
    </comment>
    <comment ref="B290" authorId="2" shapeId="0" xr:uid="{20255453-7F39-4780-99CE-71FEE99CD4AF}">
      <text>
        <r>
          <rPr>
            <sz val="12"/>
            <color indexed="81"/>
            <rFont val="Tahoma"/>
            <family val="2"/>
          </rPr>
          <t xml:space="preserve">Specify if Free Time condition applies to Export or Import:
</t>
        </r>
        <r>
          <rPr>
            <b/>
            <sz val="12"/>
            <color indexed="81"/>
            <rFont val="Tahoma"/>
            <family val="2"/>
          </rPr>
          <t xml:space="preserve">E </t>
        </r>
        <r>
          <rPr>
            <sz val="12"/>
            <color indexed="81"/>
            <rFont val="Tahoma"/>
            <family val="2"/>
          </rPr>
          <t xml:space="preserve">(Export) = applies at origin
</t>
        </r>
        <r>
          <rPr>
            <b/>
            <sz val="12"/>
            <color indexed="81"/>
            <rFont val="Tahoma"/>
            <family val="2"/>
          </rPr>
          <t xml:space="preserve">I </t>
        </r>
        <r>
          <rPr>
            <sz val="12"/>
            <color indexed="81"/>
            <rFont val="Tahoma"/>
            <family val="2"/>
          </rPr>
          <t>(Import) = applies at destination</t>
        </r>
      </text>
    </comment>
    <comment ref="C290" authorId="2" shapeId="0" xr:uid="{BBD76644-0B39-42D9-9E7F-5A5E19F4247D}">
      <text>
        <r>
          <rPr>
            <sz val="12"/>
            <color indexed="81"/>
            <rFont val="Tahoma"/>
            <family val="2"/>
          </rPr>
          <t>Enter Type of Free Time:</t>
        </r>
        <r>
          <rPr>
            <u/>
            <sz val="12"/>
            <color indexed="81"/>
            <rFont val="Tahoma"/>
            <family val="2"/>
          </rPr>
          <t xml:space="preserve">
</t>
        </r>
        <r>
          <rPr>
            <sz val="12"/>
            <color indexed="81"/>
            <rFont val="Tahoma"/>
            <family val="2"/>
          </rPr>
          <t xml:space="preserve">
</t>
        </r>
        <r>
          <rPr>
            <b/>
            <sz val="12"/>
            <color indexed="81"/>
            <rFont val="Tahoma"/>
            <family val="2"/>
          </rPr>
          <t>Detention
Demurrage
Merged</t>
        </r>
      </text>
    </comment>
    <comment ref="F290" authorId="2" shapeId="0" xr:uid="{F8470B6C-A519-45D9-80C4-CE5C2FBE66C5}">
      <text>
        <r>
          <rPr>
            <sz val="12"/>
            <color indexed="81"/>
            <rFont val="Tahoma"/>
            <family val="2"/>
          </rPr>
          <t xml:space="preserve">Specify Equipment Type (blank field indicates applicability to all Eq Types):
</t>
        </r>
        <r>
          <rPr>
            <b/>
            <sz val="12"/>
            <color indexed="81"/>
            <rFont val="Tahoma"/>
            <family val="2"/>
          </rPr>
          <t>D</t>
        </r>
        <r>
          <rPr>
            <sz val="12"/>
            <color indexed="81"/>
            <rFont val="Tahoma"/>
            <family val="2"/>
          </rPr>
          <t xml:space="preserve"> = Dry
</t>
        </r>
        <r>
          <rPr>
            <b/>
            <sz val="12"/>
            <color indexed="81"/>
            <rFont val="Tahoma"/>
            <family val="2"/>
          </rPr>
          <t>R</t>
        </r>
        <r>
          <rPr>
            <sz val="12"/>
            <color indexed="81"/>
            <rFont val="Tahoma"/>
            <family val="2"/>
          </rPr>
          <t xml:space="preserve"> = Reefer
</t>
        </r>
        <r>
          <rPr>
            <b/>
            <sz val="12"/>
            <color indexed="81"/>
            <rFont val="Tahoma"/>
            <family val="2"/>
          </rPr>
          <t>OT</t>
        </r>
        <r>
          <rPr>
            <sz val="12"/>
            <color indexed="81"/>
            <rFont val="Tahoma"/>
            <family val="2"/>
          </rPr>
          <t xml:space="preserve"> = Open Top
</t>
        </r>
        <r>
          <rPr>
            <b/>
            <sz val="12"/>
            <color indexed="81"/>
            <rFont val="Tahoma"/>
            <family val="2"/>
          </rPr>
          <t>FR</t>
        </r>
        <r>
          <rPr>
            <sz val="12"/>
            <color indexed="81"/>
            <rFont val="Tahoma"/>
            <family val="2"/>
          </rPr>
          <t xml:space="preserve"> = Flat Rack</t>
        </r>
      </text>
    </comment>
    <comment ref="G290" authorId="2" shapeId="0" xr:uid="{ECBDB09E-BC42-439F-9A1D-9A9CA8D80FFB}">
      <text>
        <r>
          <rPr>
            <sz val="12"/>
            <color indexed="81"/>
            <rFont val="Tahoma"/>
            <family val="2"/>
          </rPr>
          <t>Select "OR" from the drop down list if condition applies to Operating Reefers</t>
        </r>
      </text>
    </comment>
    <comment ref="H290" authorId="2" shapeId="0" xr:uid="{4315269A-D15E-4273-9BDD-20425D2A497A}">
      <text>
        <r>
          <rPr>
            <sz val="12"/>
            <color indexed="81"/>
            <rFont val="Tahoma"/>
            <family val="2"/>
          </rPr>
          <t xml:space="preserve">Specify the Place of Receipt if necessary.  </t>
        </r>
        <r>
          <rPr>
            <u/>
            <sz val="12"/>
            <color indexed="81"/>
            <rFont val="Tahoma"/>
            <family val="2"/>
          </rPr>
          <t>Do not</t>
        </r>
        <r>
          <rPr>
            <sz val="12"/>
            <color indexed="81"/>
            <rFont val="Tahoma"/>
            <family val="2"/>
          </rPr>
          <t xml:space="preserve"> use "ALL".
Only 1 location may be entered per row.</t>
        </r>
      </text>
    </comment>
    <comment ref="I290" authorId="2" shapeId="0" xr:uid="{DBA957B1-9009-485C-80AB-C03771AD914F}">
      <text>
        <r>
          <rPr>
            <sz val="12"/>
            <color indexed="81"/>
            <rFont val="Tahoma"/>
            <family val="2"/>
          </rPr>
          <t xml:space="preserve">Enter the POL if necessary.  </t>
        </r>
        <r>
          <rPr>
            <u/>
            <sz val="12"/>
            <color indexed="81"/>
            <rFont val="Tahoma"/>
            <family val="2"/>
          </rPr>
          <t>Do not</t>
        </r>
        <r>
          <rPr>
            <sz val="12"/>
            <color indexed="81"/>
            <rFont val="Tahoma"/>
            <family val="2"/>
          </rPr>
          <t xml:space="preserve"> use "ALL".
Only 1 location is allowed per row and must be a valid seaport.</t>
        </r>
      </text>
    </comment>
    <comment ref="J290" authorId="2" shapeId="0" xr:uid="{95A4FC3D-7F1D-43BB-A9BF-FB33616644CD}">
      <text>
        <r>
          <rPr>
            <sz val="12"/>
            <color indexed="81"/>
            <rFont val="Tahoma"/>
            <family val="2"/>
          </rPr>
          <t xml:space="preserve">Enter the POD if necessary.  </t>
        </r>
        <r>
          <rPr>
            <u/>
            <sz val="12"/>
            <color indexed="81"/>
            <rFont val="Tahoma"/>
            <family val="2"/>
          </rPr>
          <t>Do not</t>
        </r>
        <r>
          <rPr>
            <sz val="12"/>
            <color indexed="81"/>
            <rFont val="Tahoma"/>
            <family val="2"/>
          </rPr>
          <t xml:space="preserve"> use "ALL".
Only 1 location is allowed per row and must be a valid seaport.</t>
        </r>
      </text>
    </comment>
    <comment ref="K290" authorId="2" shapeId="0" xr:uid="{EFFDF44F-9F72-42F2-98F9-6A1062E45A6D}">
      <text>
        <r>
          <rPr>
            <sz val="12"/>
            <color indexed="81"/>
            <rFont val="Tahoma"/>
            <family val="2"/>
          </rPr>
          <t xml:space="preserve">Specify the Place of Delivery if necessary.  </t>
        </r>
        <r>
          <rPr>
            <u/>
            <sz val="12"/>
            <color indexed="81"/>
            <rFont val="Tahoma"/>
            <family val="2"/>
          </rPr>
          <t>Do not</t>
        </r>
        <r>
          <rPr>
            <sz val="12"/>
            <color indexed="81"/>
            <rFont val="Tahoma"/>
            <family val="2"/>
          </rPr>
          <t xml:space="preserve"> use "ALL".
Only 1 location may be entered per row.</t>
        </r>
      </text>
    </comment>
    <comment ref="L290" authorId="3" shapeId="0" xr:uid="{A2F2991B-7E59-495C-B76F-A238EA6153EB}">
      <text>
        <r>
          <rPr>
            <sz val="12"/>
            <color indexed="81"/>
            <rFont val="Tahoma"/>
            <family val="2"/>
          </rPr>
          <t xml:space="preserve">Enter the Country Code ONLY.  </t>
        </r>
        <r>
          <rPr>
            <u/>
            <sz val="12"/>
            <color indexed="81"/>
            <rFont val="Tahoma"/>
            <family val="2"/>
          </rPr>
          <t>Cannot</t>
        </r>
        <r>
          <rPr>
            <sz val="12"/>
            <color indexed="81"/>
            <rFont val="Tahoma"/>
            <family val="2"/>
          </rPr>
          <t xml:space="preserve"> use "ALL" or country name</t>
        </r>
      </text>
    </comment>
    <comment ref="M290" authorId="2" shapeId="0" xr:uid="{77E2616C-687A-4899-9E24-5B4F5685FD90}">
      <text>
        <r>
          <rPr>
            <sz val="12"/>
            <color indexed="81"/>
            <rFont val="Tahoma"/>
            <family val="2"/>
          </rPr>
          <t xml:space="preserve">Enter additional notes only when absolutely necessary.  
</t>
        </r>
        <r>
          <rPr>
            <u/>
            <sz val="12"/>
            <color indexed="81"/>
            <rFont val="Tahoma"/>
            <family val="2"/>
          </rPr>
          <t>IMPORTANT</t>
        </r>
        <r>
          <rPr>
            <sz val="12"/>
            <color indexed="81"/>
            <rFont val="Tahoma"/>
            <family val="2"/>
          </rPr>
          <t xml:space="preserve">:  Named accounts and specific commodities </t>
        </r>
        <r>
          <rPr>
            <b/>
            <u/>
            <sz val="12"/>
            <color indexed="81"/>
            <rFont val="Tahoma"/>
            <family val="2"/>
          </rPr>
          <t>may not</t>
        </r>
        <r>
          <rPr>
            <sz val="12"/>
            <color indexed="81"/>
            <rFont val="Tahoma"/>
            <family val="2"/>
          </rPr>
          <t xml:space="preserve"> be listed as Notes.</t>
        </r>
      </text>
    </comment>
    <comment ref="A303" authorId="2" shapeId="0" xr:uid="{D1F66A1A-C250-48EA-A6E5-F58A1835C18C}">
      <text>
        <r>
          <rPr>
            <sz val="12"/>
            <color indexed="81"/>
            <rFont val="Tahoma"/>
            <family val="2"/>
          </rPr>
          <t>Select the bullet for which the exception applies.
If exception applies to all bullets, select "ALL".</t>
        </r>
      </text>
    </comment>
    <comment ref="B303" authorId="2" shapeId="0" xr:uid="{38AF77C2-5421-4972-AE81-D15C0D4CFE30}">
      <text>
        <r>
          <rPr>
            <sz val="12"/>
            <color indexed="81"/>
            <rFont val="Tahoma"/>
            <family val="2"/>
          </rPr>
          <t xml:space="preserve">Specify if Free Time condition applies to Export or Import:
</t>
        </r>
        <r>
          <rPr>
            <b/>
            <sz val="12"/>
            <color indexed="81"/>
            <rFont val="Tahoma"/>
            <family val="2"/>
          </rPr>
          <t xml:space="preserve">E </t>
        </r>
        <r>
          <rPr>
            <sz val="12"/>
            <color indexed="81"/>
            <rFont val="Tahoma"/>
            <family val="2"/>
          </rPr>
          <t xml:space="preserve">(Export) = applies at origin
</t>
        </r>
        <r>
          <rPr>
            <b/>
            <sz val="12"/>
            <color indexed="81"/>
            <rFont val="Tahoma"/>
            <family val="2"/>
          </rPr>
          <t xml:space="preserve">I </t>
        </r>
        <r>
          <rPr>
            <sz val="12"/>
            <color indexed="81"/>
            <rFont val="Tahoma"/>
            <family val="2"/>
          </rPr>
          <t>(Import) = applies at destination</t>
        </r>
      </text>
    </comment>
    <comment ref="C303" authorId="2" shapeId="0" xr:uid="{924C2910-0C19-43D5-AAA3-08C96B6376D0}">
      <text>
        <r>
          <rPr>
            <sz val="12"/>
            <color indexed="81"/>
            <rFont val="Tahoma"/>
            <family val="2"/>
          </rPr>
          <t>Enter Type of Free Time:</t>
        </r>
        <r>
          <rPr>
            <u/>
            <sz val="12"/>
            <color indexed="81"/>
            <rFont val="Tahoma"/>
            <family val="2"/>
          </rPr>
          <t xml:space="preserve">
</t>
        </r>
        <r>
          <rPr>
            <sz val="12"/>
            <color indexed="81"/>
            <rFont val="Tahoma"/>
            <family val="2"/>
          </rPr>
          <t xml:space="preserve">
</t>
        </r>
        <r>
          <rPr>
            <b/>
            <sz val="12"/>
            <color indexed="81"/>
            <rFont val="Tahoma"/>
            <family val="2"/>
          </rPr>
          <t>Detention
Demurrage
Merged</t>
        </r>
      </text>
    </comment>
    <comment ref="F303" authorId="2" shapeId="0" xr:uid="{38A873D7-402B-4F03-8E8F-D475F919B726}">
      <text>
        <r>
          <rPr>
            <sz val="12"/>
            <color indexed="81"/>
            <rFont val="Tahoma"/>
            <family val="2"/>
          </rPr>
          <t>If any exceptional charges are offered, then the currency is required to be shown.</t>
        </r>
      </text>
    </comment>
    <comment ref="O303" authorId="2" shapeId="0" xr:uid="{342B91B8-9634-4445-99BC-665792226468}">
      <text>
        <r>
          <rPr>
            <sz val="12"/>
            <color indexed="81"/>
            <rFont val="Tahoma"/>
            <family val="2"/>
          </rPr>
          <t xml:space="preserve">Specify Equipment Type (blank field indicates applicability to all Eq Types):
</t>
        </r>
        <r>
          <rPr>
            <b/>
            <sz val="12"/>
            <color indexed="81"/>
            <rFont val="Tahoma"/>
            <family val="2"/>
          </rPr>
          <t>D</t>
        </r>
        <r>
          <rPr>
            <sz val="12"/>
            <color indexed="81"/>
            <rFont val="Tahoma"/>
            <family val="2"/>
          </rPr>
          <t xml:space="preserve"> = Dry
</t>
        </r>
        <r>
          <rPr>
            <b/>
            <sz val="12"/>
            <color indexed="81"/>
            <rFont val="Tahoma"/>
            <family val="2"/>
          </rPr>
          <t>R</t>
        </r>
        <r>
          <rPr>
            <sz val="12"/>
            <color indexed="81"/>
            <rFont val="Tahoma"/>
            <family val="2"/>
          </rPr>
          <t xml:space="preserve"> = Reefer
</t>
        </r>
        <r>
          <rPr>
            <b/>
            <sz val="12"/>
            <color indexed="81"/>
            <rFont val="Tahoma"/>
            <family val="2"/>
          </rPr>
          <t>OT</t>
        </r>
        <r>
          <rPr>
            <sz val="12"/>
            <color indexed="81"/>
            <rFont val="Tahoma"/>
            <family val="2"/>
          </rPr>
          <t xml:space="preserve"> = Open Top
</t>
        </r>
        <r>
          <rPr>
            <b/>
            <sz val="12"/>
            <color indexed="81"/>
            <rFont val="Tahoma"/>
            <family val="2"/>
          </rPr>
          <t>FR</t>
        </r>
        <r>
          <rPr>
            <sz val="12"/>
            <color indexed="81"/>
            <rFont val="Tahoma"/>
            <family val="2"/>
          </rPr>
          <t xml:space="preserve"> = Flat Rack</t>
        </r>
      </text>
    </comment>
    <comment ref="P303" authorId="2" shapeId="0" xr:uid="{44FE28A4-5724-491A-9597-7519F3954FAD}">
      <text>
        <r>
          <rPr>
            <sz val="12"/>
            <color indexed="81"/>
            <rFont val="Tahoma"/>
            <family val="2"/>
          </rPr>
          <t>Select "OR" from the drop down list if condition applies to Operating Reefers</t>
        </r>
      </text>
    </comment>
    <comment ref="Q303" authorId="2" shapeId="0" xr:uid="{FB152BF6-D131-40C4-8AC5-151288726FFC}">
      <text>
        <r>
          <rPr>
            <sz val="12"/>
            <color indexed="81"/>
            <rFont val="Tahoma"/>
            <family val="2"/>
          </rPr>
          <t xml:space="preserve">Specify the Place of Receipt if necessary.  </t>
        </r>
        <r>
          <rPr>
            <u/>
            <sz val="12"/>
            <color indexed="81"/>
            <rFont val="Tahoma"/>
            <family val="2"/>
          </rPr>
          <t>Do not</t>
        </r>
        <r>
          <rPr>
            <sz val="12"/>
            <color indexed="81"/>
            <rFont val="Tahoma"/>
            <family val="2"/>
          </rPr>
          <t xml:space="preserve"> use "ALL".
Only 1 location may be entered per row.</t>
        </r>
      </text>
    </comment>
    <comment ref="R303" authorId="2" shapeId="0" xr:uid="{F00D2CF5-C3D5-4DA1-A496-4B275A78E0FF}">
      <text>
        <r>
          <rPr>
            <sz val="12"/>
            <color indexed="81"/>
            <rFont val="Tahoma"/>
            <family val="2"/>
          </rPr>
          <t xml:space="preserve">Enter the POL if necessary.  </t>
        </r>
        <r>
          <rPr>
            <u/>
            <sz val="12"/>
            <color indexed="81"/>
            <rFont val="Tahoma"/>
            <family val="2"/>
          </rPr>
          <t>Do not</t>
        </r>
        <r>
          <rPr>
            <sz val="12"/>
            <color indexed="81"/>
            <rFont val="Tahoma"/>
            <family val="2"/>
          </rPr>
          <t xml:space="preserve"> use "ALL".
Only 1 location is allowed per row and must be a valid seaport.</t>
        </r>
      </text>
    </comment>
    <comment ref="S303" authorId="2" shapeId="0" xr:uid="{3BFEE6EF-8431-466E-9ABC-96772BAF077F}">
      <text>
        <r>
          <rPr>
            <sz val="12"/>
            <color indexed="81"/>
            <rFont val="Tahoma"/>
            <family val="2"/>
          </rPr>
          <t xml:space="preserve">Enter the POD if necessary.  </t>
        </r>
        <r>
          <rPr>
            <u/>
            <sz val="12"/>
            <color indexed="81"/>
            <rFont val="Tahoma"/>
            <family val="2"/>
          </rPr>
          <t>Do not</t>
        </r>
        <r>
          <rPr>
            <sz val="12"/>
            <color indexed="81"/>
            <rFont val="Tahoma"/>
            <family val="2"/>
          </rPr>
          <t xml:space="preserve"> use "ALL".
Only 1 location is allowed per row and must be a valid seaport.</t>
        </r>
      </text>
    </comment>
    <comment ref="T303" authorId="2" shapeId="0" xr:uid="{62C2A8F9-E647-41E6-86F6-84EE3CD9B461}">
      <text>
        <r>
          <rPr>
            <sz val="12"/>
            <color indexed="81"/>
            <rFont val="Tahoma"/>
            <family val="2"/>
          </rPr>
          <t xml:space="preserve">Specify the Place of Delivery if necessary.  </t>
        </r>
        <r>
          <rPr>
            <u/>
            <sz val="12"/>
            <color indexed="81"/>
            <rFont val="Tahoma"/>
            <family val="2"/>
          </rPr>
          <t>Do not</t>
        </r>
        <r>
          <rPr>
            <sz val="12"/>
            <color indexed="81"/>
            <rFont val="Tahoma"/>
            <family val="2"/>
          </rPr>
          <t xml:space="preserve"> use "ALL".
Only 1 location may be entered per row.</t>
        </r>
      </text>
    </comment>
    <comment ref="U303" authorId="3" shapeId="0" xr:uid="{AD497ED9-1376-4D90-861E-5FFDE7F7A249}">
      <text>
        <r>
          <rPr>
            <sz val="12"/>
            <color indexed="81"/>
            <rFont val="Tahoma"/>
            <family val="2"/>
          </rPr>
          <t xml:space="preserve">Enter the Country Code ONLY.  </t>
        </r>
        <r>
          <rPr>
            <u/>
            <sz val="12"/>
            <color indexed="81"/>
            <rFont val="Tahoma"/>
            <family val="2"/>
          </rPr>
          <t>Cannot</t>
        </r>
        <r>
          <rPr>
            <sz val="12"/>
            <color indexed="81"/>
            <rFont val="Tahoma"/>
            <family val="2"/>
          </rPr>
          <t xml:space="preserve"> use "ALL" or country name</t>
        </r>
      </text>
    </comment>
    <comment ref="V303" authorId="2" shapeId="0" xr:uid="{15189E16-64FE-4901-99F6-392E147835C8}">
      <text>
        <r>
          <rPr>
            <sz val="12"/>
            <color indexed="81"/>
            <rFont val="Tahoma"/>
            <family val="2"/>
          </rPr>
          <t xml:space="preserve">Enter additional notes only when absolutely necessary.  
</t>
        </r>
        <r>
          <rPr>
            <u/>
            <sz val="12"/>
            <color indexed="81"/>
            <rFont val="Tahoma"/>
            <family val="2"/>
          </rPr>
          <t>IMPORTANT</t>
        </r>
        <r>
          <rPr>
            <sz val="12"/>
            <color indexed="81"/>
            <rFont val="Tahoma"/>
            <family val="2"/>
          </rPr>
          <t xml:space="preserve">:  Named accounts and specific commodities </t>
        </r>
        <r>
          <rPr>
            <b/>
            <u/>
            <sz val="12"/>
            <color indexed="81"/>
            <rFont val="Tahoma"/>
            <family val="2"/>
          </rPr>
          <t>may not</t>
        </r>
        <r>
          <rPr>
            <sz val="12"/>
            <color indexed="81"/>
            <rFont val="Tahoma"/>
            <family val="2"/>
          </rPr>
          <t xml:space="preserve"> be listed as Notes.</t>
        </r>
      </text>
    </comment>
  </commentList>
</comments>
</file>

<file path=xl/sharedStrings.xml><?xml version="1.0" encoding="utf-8"?>
<sst xmlns="http://schemas.openxmlformats.org/spreadsheetml/2006/main" count="27320" uniqueCount="1711">
  <si>
    <t>Free Time Type</t>
  </si>
  <si>
    <t>Mandatory Fields</t>
  </si>
  <si>
    <t>Free Time mentioned in this section are exceptions to the conditions defined in the governing tariff(s)</t>
  </si>
  <si>
    <t>Term 101 Exceptions</t>
  </si>
  <si>
    <t>ALL</t>
  </si>
  <si>
    <t>FREE TIME TARIFF TYPE - NON US</t>
  </si>
  <si>
    <t>Detention</t>
  </si>
  <si>
    <t>Merged</t>
  </si>
  <si>
    <t>Demurrage (In US ONLY)</t>
  </si>
  <si>
    <t>Container Management Fee</t>
  </si>
  <si>
    <t>CTR09</t>
  </si>
  <si>
    <t>POL</t>
  </si>
  <si>
    <t>POD</t>
  </si>
  <si>
    <t>Place of Delivery</t>
  </si>
  <si>
    <t>MODE</t>
  </si>
  <si>
    <t>SDD (Origin; Dest)</t>
  </si>
  <si>
    <t>Curr</t>
  </si>
  <si>
    <t>D20</t>
  </si>
  <si>
    <t>D40</t>
  </si>
  <si>
    <t>H40</t>
  </si>
  <si>
    <t>H45</t>
  </si>
  <si>
    <t>EBS</t>
  </si>
  <si>
    <t>Effective date</t>
  </si>
  <si>
    <t>Expiration Date</t>
  </si>
  <si>
    <t>Note</t>
  </si>
  <si>
    <t>REEFER</t>
  </si>
  <si>
    <t>RF20</t>
  </si>
  <si>
    <t>RF40</t>
  </si>
  <si>
    <t>Eq type (OT, FR…)</t>
  </si>
  <si>
    <t>ORIGIN ARBITRARY TABLE</t>
  </si>
  <si>
    <t xml:space="preserve">APPLICATION FIELD </t>
  </si>
  <si>
    <t>COUNTRY</t>
  </si>
  <si>
    <t>Per container</t>
  </si>
  <si>
    <t>FAK/ Bullets</t>
  </si>
  <si>
    <t xml:space="preserve">DESTINATION ARBITRARY TABLE </t>
  </si>
  <si>
    <t>For Place of Delivery indicate destination of cargo</t>
  </si>
  <si>
    <t>Note 1</t>
  </si>
  <si>
    <t>COMMON / GENERAL TARIFF</t>
  </si>
  <si>
    <t>CMA CGM S.A.</t>
  </si>
  <si>
    <t>______________________________</t>
  </si>
  <si>
    <t>Signature</t>
  </si>
  <si>
    <t>Currency</t>
  </si>
  <si>
    <t>Rate per Day (A)</t>
  </si>
  <si>
    <t>Rate per Day (B)</t>
  </si>
  <si>
    <t>Rate per Day (C)</t>
  </si>
  <si>
    <t>Rate per Day (D)</t>
  </si>
  <si>
    <t>SDD</t>
  </si>
  <si>
    <t>N/N</t>
  </si>
  <si>
    <t>Y/Y</t>
  </si>
  <si>
    <t>N/Y</t>
  </si>
  <si>
    <t>Applicable</t>
  </si>
  <si>
    <t>CY/CY</t>
  </si>
  <si>
    <t>Not Applicable</t>
  </si>
  <si>
    <t>CY/R</t>
  </si>
  <si>
    <t>CY</t>
  </si>
  <si>
    <t>N</t>
  </si>
  <si>
    <t>R</t>
  </si>
  <si>
    <t>Y</t>
  </si>
  <si>
    <t>RM</t>
  </si>
  <si>
    <t>ST</t>
  </si>
  <si>
    <t>%</t>
  </si>
  <si>
    <t>20ST</t>
  </si>
  <si>
    <t>Type</t>
  </si>
  <si>
    <t>Shipper own</t>
  </si>
  <si>
    <t>Hazardous</t>
  </si>
  <si>
    <t>Operated 
Yes / No</t>
  </si>
  <si>
    <t>SOC
COC</t>
  </si>
  <si>
    <t>Yes / No</t>
  </si>
  <si>
    <t>OOG</t>
  </si>
  <si>
    <t>IG (In gauge)
OOG (Out Of Gauge)</t>
  </si>
  <si>
    <t>FR</t>
  </si>
  <si>
    <t>Signatory certifies that they have an ownership interest in all named affiliates.</t>
  </si>
  <si>
    <t>Name</t>
  </si>
  <si>
    <t>Per D20</t>
  </si>
  <si>
    <t>Per D40</t>
  </si>
  <si>
    <t>Per H45</t>
  </si>
  <si>
    <t>DRY</t>
  </si>
  <si>
    <t>Charges</t>
  </si>
  <si>
    <t>Per RF40</t>
  </si>
  <si>
    <t>Per RF20</t>
  </si>
  <si>
    <t>GRI</t>
  </si>
  <si>
    <t>Final place of delivery</t>
  </si>
  <si>
    <t>Appl/ Not Appl</t>
  </si>
  <si>
    <t>CUS16</t>
  </si>
  <si>
    <t>CAF</t>
  </si>
  <si>
    <t>PSS</t>
  </si>
  <si>
    <t>CAF13</t>
  </si>
  <si>
    <t>OTHC</t>
  </si>
  <si>
    <t>Destination Terminal Security Charge</t>
  </si>
  <si>
    <t>GOH</t>
  </si>
  <si>
    <t>Inland oncarriage fuel charge</t>
  </si>
  <si>
    <t>CAR82</t>
  </si>
  <si>
    <t>Inland precarriage fuel charge</t>
  </si>
  <si>
    <t>FAS TLC</t>
  </si>
  <si>
    <t>FAS Terms Landing Charge</t>
  </si>
  <si>
    <t>FRT98</t>
  </si>
  <si>
    <t>Alameda Corridor Surcharge import</t>
  </si>
  <si>
    <t>ACS Import</t>
  </si>
  <si>
    <t>CAR12</t>
  </si>
  <si>
    <t>Alameda Corridor Surcharge export</t>
  </si>
  <si>
    <t>Chassis Usage Charge (Carrier-haulage)</t>
  </si>
  <si>
    <t>LOLO Origin</t>
  </si>
  <si>
    <t>LOLO Destination</t>
  </si>
  <si>
    <t>LOL51</t>
  </si>
  <si>
    <t>LOL52</t>
  </si>
  <si>
    <t>Reefer Congestion</t>
  </si>
  <si>
    <t>Reefer Congestion Surcharge</t>
  </si>
  <si>
    <t>RCS</t>
  </si>
  <si>
    <t>Reefer Consumption Surcharge</t>
  </si>
  <si>
    <t>RCS00</t>
  </si>
  <si>
    <t>POR82</t>
  </si>
  <si>
    <t>POR66</t>
  </si>
  <si>
    <t>THC58</t>
  </si>
  <si>
    <t>FRT57</t>
  </si>
  <si>
    <t>CMDU#044</t>
  </si>
  <si>
    <t>CMDU#028</t>
  </si>
  <si>
    <t>CMDU#101</t>
  </si>
  <si>
    <t>Bullet Exceptions</t>
  </si>
  <si>
    <t>Mode</t>
  </si>
  <si>
    <t>CY/M</t>
  </si>
  <si>
    <t>CY/RM</t>
  </si>
  <si>
    <t>M/R</t>
  </si>
  <si>
    <t>M/M</t>
  </si>
  <si>
    <t>Tug Surcharge</t>
  </si>
  <si>
    <t>D1006</t>
  </si>
  <si>
    <t>M/RM</t>
  </si>
  <si>
    <t>M/CY</t>
  </si>
  <si>
    <t>R/R</t>
  </si>
  <si>
    <t>R/RM</t>
  </si>
  <si>
    <t>RM/R</t>
  </si>
  <si>
    <t>RM/M</t>
  </si>
  <si>
    <t>RM/RM</t>
  </si>
  <si>
    <t>RM/CY</t>
  </si>
  <si>
    <t>Shipper Own</t>
  </si>
  <si>
    <t>IG</t>
  </si>
  <si>
    <t>Arb Mode</t>
  </si>
  <si>
    <t>GRI/PSS</t>
  </si>
  <si>
    <t>As Per Mutual Agreement</t>
  </si>
  <si>
    <t>Equip Type</t>
  </si>
  <si>
    <t>BK</t>
  </si>
  <si>
    <t>OS</t>
  </si>
  <si>
    <t>OT</t>
  </si>
  <si>
    <t>PW</t>
  </si>
  <si>
    <t>RA</t>
  </si>
  <si>
    <t>SH</t>
  </si>
  <si>
    <t>SR</t>
  </si>
  <si>
    <t>TK</t>
  </si>
  <si>
    <t>VH</t>
  </si>
  <si>
    <t>VT</t>
  </si>
  <si>
    <t>APPLICABLE FOR FAK U.O.S - ANY BULLET EXCEPTIONS TO BE STATED IN THE 'BULLET EXCEPTIONS' COLUMN</t>
  </si>
  <si>
    <t>CARIBBEAN (PEX 2)</t>
  </si>
  <si>
    <t>Partner Code:</t>
  </si>
  <si>
    <t>EFS/EFAF</t>
  </si>
  <si>
    <t>Emergency Fuel Surcharge / Emergency Fuel Adjustment Factor</t>
  </si>
  <si>
    <t>MQC Type</t>
  </si>
  <si>
    <t>Global</t>
  </si>
  <si>
    <t>Sub</t>
  </si>
  <si>
    <t>Term 101 Free Time Exceptions:</t>
  </si>
  <si>
    <t>A - Demurrage / B - Detention</t>
  </si>
  <si>
    <t>Per Tariff(s) unless specified in Appendix "Term 101 FREE TIME Exceptions"</t>
  </si>
  <si>
    <t>Precarriage from Inland Container Depot TO POL</t>
  </si>
  <si>
    <t>HA</t>
  </si>
  <si>
    <t>HK</t>
  </si>
  <si>
    <t>PL</t>
  </si>
  <si>
    <t>For Place of Intermodal Delivery indicate point and state. Mode:  PORT=CY, RAIL=R (RAMP), MOTOR=M , RAIL/MOTOR=RM , BARGE=B, RAIL/BARGE=RB (RAMP), MOTOR/BARGE=BM</t>
  </si>
  <si>
    <t>For Place of Intermodal Receipt indicate point and state. Mode:  RAIL=R (RAMP), MOTOR=M, RAIL/MOTOR=RM, FEEDER=CY, BARGE=B, RAIL/BARGE=RB (RAMP), BARGE/MOTOR=BM</t>
  </si>
  <si>
    <t>For Place of Intermodal Delivery indicate point and state. Mode:  RAIL=R (RAMP), MOTOR=M, RAIL/MOTOR=RM, FEEDER=CY, BARGE=B, RAIL/BARGE=RB (RAMP), BARGE/MOTOR=BM</t>
  </si>
  <si>
    <t>Alcohol Surcharge, Precarriage</t>
  </si>
  <si>
    <t>Alcohol Surcharge, Oncarriage</t>
  </si>
  <si>
    <t>On Carriage, Alcohol Surcharge</t>
  </si>
  <si>
    <t>FRT99</t>
  </si>
  <si>
    <t>Pre Carriage, Alcohol Surcharge</t>
  </si>
  <si>
    <t>CAR64</t>
  </si>
  <si>
    <t>CAR14</t>
  </si>
  <si>
    <t>CMDU#043 B1</t>
  </si>
  <si>
    <t>CMDU#043 B2</t>
  </si>
  <si>
    <t>CMDU#029 D1</t>
  </si>
  <si>
    <t>CMDU#029 D2</t>
  </si>
  <si>
    <t>CMDU#029 F1</t>
  </si>
  <si>
    <t>CMDU#029 F2</t>
  </si>
  <si>
    <t>CMDU#090 H1</t>
  </si>
  <si>
    <t>CMDU#090 H2</t>
  </si>
  <si>
    <t>CMDU#043 J1</t>
  </si>
  <si>
    <t>CMDU#043 N1</t>
  </si>
  <si>
    <t>INBOUND (INDIAN SUB. CONTINENT-USVI/PR)</t>
  </si>
  <si>
    <t>F-3</t>
  </si>
  <si>
    <t>Extra Container Handling Origin</t>
  </si>
  <si>
    <t>Extra Container Handling Charge Origin</t>
  </si>
  <si>
    <t>Extra Container Handling Charge Destination</t>
  </si>
  <si>
    <t>THC08</t>
  </si>
  <si>
    <t>THC05</t>
  </si>
  <si>
    <t>Exception Charges</t>
  </si>
  <si>
    <t>Container Inspection</t>
  </si>
  <si>
    <t>FEE85</t>
  </si>
  <si>
    <t>Per Teu</t>
  </si>
  <si>
    <t>45HH</t>
  </si>
  <si>
    <t>20SH</t>
  </si>
  <si>
    <t>40SH</t>
  </si>
  <si>
    <t>40HH</t>
  </si>
  <si>
    <t>Panama Canal Lock Improvement</t>
  </si>
  <si>
    <t>Panama Canal Lock Improvement Surcharge</t>
  </si>
  <si>
    <t>PCL01</t>
  </si>
  <si>
    <t>Delivery Order Fee</t>
  </si>
  <si>
    <t>Note2:</t>
  </si>
  <si>
    <t>Effective Date</t>
  </si>
  <si>
    <t>End of note 2</t>
  </si>
  <si>
    <t>Application date</t>
  </si>
  <si>
    <t>Origin</t>
  </si>
  <si>
    <t>Destination</t>
  </si>
  <si>
    <t>Note 3</t>
  </si>
  <si>
    <t>OSPF</t>
  </si>
  <si>
    <t xml:space="preserve">Rate/Surcharge/Arbitrary applicability for equipment not otherwise specified: </t>
  </si>
  <si>
    <t>Rates calculated using formula shall be rounded up to the nearest USD 5.00.</t>
  </si>
  <si>
    <t>3a)</t>
  </si>
  <si>
    <t>Reference</t>
  </si>
  <si>
    <t>Container type</t>
  </si>
  <si>
    <t>Rate</t>
  </si>
  <si>
    <t>Note 4</t>
  </si>
  <si>
    <t>Comments</t>
  </si>
  <si>
    <t>DTHC</t>
  </si>
  <si>
    <t>Container</t>
  </si>
  <si>
    <t>BAF</t>
  </si>
  <si>
    <t>Bunker Adjustment Factor</t>
  </si>
  <si>
    <t>BAF03</t>
  </si>
  <si>
    <t>BAF08</t>
  </si>
  <si>
    <t>Emergency Bunker Surcharge</t>
  </si>
  <si>
    <t>BAF09</t>
  </si>
  <si>
    <t>BAF10</t>
  </si>
  <si>
    <t>HH</t>
  </si>
  <si>
    <t>CMDU 037</t>
  </si>
  <si>
    <t>Term</t>
  </si>
  <si>
    <t xml:space="preserve">Section             </t>
  </si>
  <si>
    <t xml:space="preserve">Heading             </t>
  </si>
  <si>
    <t>Cold Treatment</t>
  </si>
  <si>
    <t>Cold Treatment Service (Fruit Fly Infestation)</t>
  </si>
  <si>
    <t>FRT15</t>
  </si>
  <si>
    <t>BOTH PARTIES HEREBY AGREE THAT THE REMAINING TERMS AND CONDITIONS OF THE CONTRACT SHALL NOT BE AMENDED BY THIS WRITING AND SHALL REMAIN IN FULL FORCE AND EFFECT FOR THE DURATION OF THE TERM.</t>
  </si>
  <si>
    <t>CAN63</t>
  </si>
  <si>
    <t>CAR09</t>
  </si>
  <si>
    <t>CAR10</t>
  </si>
  <si>
    <t>CAR32</t>
  </si>
  <si>
    <t>CAR49</t>
  </si>
  <si>
    <t>ERS06</t>
  </si>
  <si>
    <t>Flat Rack</t>
  </si>
  <si>
    <t>Open Top</t>
  </si>
  <si>
    <t>Reefer</t>
  </si>
  <si>
    <t>Hazardous fees</t>
  </si>
  <si>
    <t>HZD01</t>
  </si>
  <si>
    <t>IPS01</t>
  </si>
  <si>
    <t>CSF</t>
  </si>
  <si>
    <t>Carrier Security Charge</t>
  </si>
  <si>
    <t>ISS01</t>
  </si>
  <si>
    <t>POR59</t>
  </si>
  <si>
    <t>POR65</t>
  </si>
  <si>
    <t>THC34</t>
  </si>
  <si>
    <t>Pick Up / Drop Off</t>
  </si>
  <si>
    <t>Pick Up / Drop Off Fee</t>
  </si>
  <si>
    <t>CAR45</t>
  </si>
  <si>
    <t>prepaid</t>
  </si>
  <si>
    <t>WAR42</t>
  </si>
  <si>
    <t>Winter Surcharge</t>
  </si>
  <si>
    <t>WIN12</t>
  </si>
  <si>
    <t>SDD (Dest)</t>
  </si>
  <si>
    <t>Security Origin</t>
  </si>
  <si>
    <t>Security Destination</t>
  </si>
  <si>
    <t>Out of Gauge</t>
  </si>
  <si>
    <t>FRT51</t>
  </si>
  <si>
    <t>Tank</t>
  </si>
  <si>
    <t>FRT56</t>
  </si>
  <si>
    <t>IPI Premium</t>
  </si>
  <si>
    <t>GRI general</t>
  </si>
  <si>
    <t>Per Cargo</t>
  </si>
  <si>
    <t>Per Container</t>
  </si>
  <si>
    <t>SDD (Origin)</t>
  </si>
  <si>
    <t>Eq Type (OT, RF…)</t>
  </si>
  <si>
    <t>Per D40 OSPF</t>
  </si>
  <si>
    <t>Per RH40</t>
  </si>
  <si>
    <t>FAC</t>
  </si>
  <si>
    <t>FAC43</t>
  </si>
  <si>
    <t>RH40</t>
  </si>
  <si>
    <t>1a)</t>
  </si>
  <si>
    <t>Fixed, OSPF, % or As per mutual agreement</t>
  </si>
  <si>
    <t>Prepaid/collect</t>
  </si>
  <si>
    <t>IPS51</t>
  </si>
  <si>
    <t>Prepaid</t>
  </si>
  <si>
    <t>Collect</t>
  </si>
  <si>
    <t>Applicable Port</t>
  </si>
  <si>
    <t xml:space="preserve">Template INBOUND OUTBOUND </t>
  </si>
  <si>
    <t>All</t>
  </si>
  <si>
    <t>Spec equipment</t>
  </si>
  <si>
    <t>Container Type (note 2)</t>
  </si>
  <si>
    <t>SPECIAL EQUIPMENT, HAZARDOUS, SOC, OOG...</t>
  </si>
  <si>
    <t>Dry</t>
  </si>
  <si>
    <t>ICD Precarriage</t>
  </si>
  <si>
    <t>CAR00</t>
  </si>
  <si>
    <t>CUC (CH)</t>
  </si>
  <si>
    <t>CUC (MH)</t>
  </si>
  <si>
    <t>CAR11</t>
  </si>
  <si>
    <t>Chassis Usage Charge Merchant-haulage)</t>
  </si>
  <si>
    <t>TEXT</t>
  </si>
  <si>
    <t>Level of calc</t>
  </si>
  <si>
    <t>Cargo</t>
  </si>
  <si>
    <t>BL</t>
  </si>
  <si>
    <t>Type Operated / Haz / ArbSDD</t>
  </si>
  <si>
    <t>E</t>
  </si>
  <si>
    <t>I</t>
  </si>
  <si>
    <t>X</t>
  </si>
  <si>
    <t>Diversion Fee</t>
  </si>
  <si>
    <t>Diversion / Change of Destination Fee</t>
  </si>
  <si>
    <t>FRT97</t>
  </si>
  <si>
    <t>CMA CGM (America) LLC</t>
  </si>
  <si>
    <t>Calc</t>
  </si>
  <si>
    <t>Text / Calc</t>
  </si>
  <si>
    <t>PSS00</t>
  </si>
  <si>
    <t xml:space="preserve">Drop and pull </t>
  </si>
  <si>
    <t>E-2</t>
  </si>
  <si>
    <t>OUTBOUND (USWC-ISC)</t>
  </si>
  <si>
    <t>FF</t>
  </si>
  <si>
    <t>COC</t>
  </si>
  <si>
    <t>R/CY</t>
  </si>
  <si>
    <t>SOC</t>
  </si>
  <si>
    <t>R/M</t>
  </si>
  <si>
    <t>RF</t>
  </si>
  <si>
    <t>Fixed</t>
  </si>
  <si>
    <t>40ST</t>
  </si>
  <si>
    <t>40RF</t>
  </si>
  <si>
    <t>Piracy Surcharge</t>
  </si>
  <si>
    <t>PRS01</t>
  </si>
  <si>
    <t>CUS70</t>
  </si>
  <si>
    <t>FRT50</t>
  </si>
  <si>
    <t>IPI Construction</t>
  </si>
  <si>
    <t>Benin Freight Tax</t>
  </si>
  <si>
    <t xml:space="preserve">Benin Freight Tax </t>
  </si>
  <si>
    <t>Nigerian Freight Tax</t>
  </si>
  <si>
    <t>TAX08</t>
  </si>
  <si>
    <t>Harbor Dues</t>
  </si>
  <si>
    <t>POR51</t>
  </si>
  <si>
    <t>SEA06</t>
  </si>
  <si>
    <t>Suez</t>
  </si>
  <si>
    <t>Suez Canal Surcharge</t>
  </si>
  <si>
    <t>CAR99</t>
  </si>
  <si>
    <t>A-1</t>
  </si>
  <si>
    <t>C-5</t>
  </si>
  <si>
    <t>OUTBOUND (USA-E &amp; W AFRICA)</t>
  </si>
  <si>
    <t>Triaxle/Super Chassis Oncarriage</t>
  </si>
  <si>
    <t>Tri-axle/Super Chassis Precarriage</t>
  </si>
  <si>
    <t>Rail Congestion Surcharge, CA</t>
  </si>
  <si>
    <t>Rail Congestion Surcharge, Canada</t>
  </si>
  <si>
    <t>POR55</t>
  </si>
  <si>
    <t>Oncarriage Ramp</t>
  </si>
  <si>
    <t>CAR55</t>
  </si>
  <si>
    <t>Precarriage Ramp</t>
  </si>
  <si>
    <t>CAR16</t>
  </si>
  <si>
    <t>FRT52</t>
  </si>
  <si>
    <t>FRT54</t>
  </si>
  <si>
    <t>FRT55</t>
  </si>
  <si>
    <t>Per B/L</t>
  </si>
  <si>
    <t>CY/B</t>
  </si>
  <si>
    <t>CY/BM</t>
  </si>
  <si>
    <t>CY/RB</t>
  </si>
  <si>
    <t>M/B</t>
  </si>
  <si>
    <t>M/BM</t>
  </si>
  <si>
    <t>M/RB</t>
  </si>
  <si>
    <t>R/B</t>
  </si>
  <si>
    <t>R/BM</t>
  </si>
  <si>
    <t>R/RB</t>
  </si>
  <si>
    <t>RM/B</t>
  </si>
  <si>
    <t>RM/BM</t>
  </si>
  <si>
    <t>RM/RB</t>
  </si>
  <si>
    <t>B/CY</t>
  </si>
  <si>
    <t>B/R</t>
  </si>
  <si>
    <t>B/M</t>
  </si>
  <si>
    <t>B/RM</t>
  </si>
  <si>
    <t>B/B</t>
  </si>
  <si>
    <t>B/BM</t>
  </si>
  <si>
    <t>B/RB</t>
  </si>
  <si>
    <t>BM/CY</t>
  </si>
  <si>
    <t>BM/R</t>
  </si>
  <si>
    <t>BM/M</t>
  </si>
  <si>
    <t>BM/RM</t>
  </si>
  <si>
    <t>BM/B</t>
  </si>
  <si>
    <t>BM/BM</t>
  </si>
  <si>
    <t>BM/RB</t>
  </si>
  <si>
    <t>RB/CY</t>
  </si>
  <si>
    <t>RB/R</t>
  </si>
  <si>
    <t>RB/M</t>
  </si>
  <si>
    <t>RB/RM</t>
  </si>
  <si>
    <t>RB/B</t>
  </si>
  <si>
    <t>RB/RB</t>
  </si>
  <si>
    <t>B</t>
  </si>
  <si>
    <t>RB</t>
  </si>
  <si>
    <t>BM</t>
  </si>
  <si>
    <t>Shipper Cert</t>
  </si>
  <si>
    <t>YES</t>
  </si>
  <si>
    <t>40HC</t>
  </si>
  <si>
    <t>45HC</t>
  </si>
  <si>
    <t>Port Group Codes</t>
  </si>
  <si>
    <t>Operating Reefer?</t>
  </si>
  <si>
    <t>EXPORT/IMPORT</t>
  </si>
  <si>
    <t>DAYS</t>
  </si>
  <si>
    <t>C</t>
  </si>
  <si>
    <t>W</t>
  </si>
  <si>
    <t>TERM 101 EQUIPMENT TYPE</t>
  </si>
  <si>
    <t>D</t>
  </si>
  <si>
    <t>OPERATING REEFER</t>
  </si>
  <si>
    <t>OR</t>
  </si>
  <si>
    <t>From Day (A)</t>
  </si>
  <si>
    <t>From Day (B)</t>
  </si>
  <si>
    <t>From Day (C)</t>
  </si>
  <si>
    <t>From Day (D)</t>
  </si>
  <si>
    <t>Equipment Type (D, R, OT, FR)</t>
  </si>
  <si>
    <t>Tel:  (757) 961-2100</t>
  </si>
  <si>
    <t>20+</t>
  </si>
  <si>
    <t>40+</t>
  </si>
  <si>
    <t>20RF</t>
  </si>
  <si>
    <t>40RH</t>
  </si>
  <si>
    <t>20OT</t>
  </si>
  <si>
    <t>40OT</t>
  </si>
  <si>
    <t>20FR</t>
  </si>
  <si>
    <t>40FR</t>
  </si>
  <si>
    <t>Street Address</t>
  </si>
  <si>
    <t>City</t>
  </si>
  <si>
    <t>State &amp; Zip Code</t>
  </si>
  <si>
    <t>Country</t>
  </si>
  <si>
    <t>NVOCC Bond Number</t>
  </si>
  <si>
    <t>For NVOCC Affiliates</t>
  </si>
  <si>
    <t>LIST OF AFFILIATES / SHIPPER ASSOCIATION MEMBERS</t>
  </si>
  <si>
    <t>Charge Automation</t>
  </si>
  <si>
    <t>Applicability</t>
  </si>
  <si>
    <t>Shipper Own Container</t>
  </si>
  <si>
    <t>Garment on Hanger</t>
  </si>
  <si>
    <t>GRI/PSS EQ</t>
  </si>
  <si>
    <t>CMDU#029 F3</t>
  </si>
  <si>
    <t>Follow Governing Tariff</t>
  </si>
  <si>
    <t>20TK</t>
  </si>
  <si>
    <t>Atmosphere Control</t>
  </si>
  <si>
    <t>Atmosphere Control Transport Unit Charge</t>
  </si>
  <si>
    <t>FRT12</t>
  </si>
  <si>
    <t>Emergency Terminal Congestion</t>
  </si>
  <si>
    <t>POR80</t>
  </si>
  <si>
    <t>Extra Container Handling Dest</t>
  </si>
  <si>
    <t>SUR59</t>
  </si>
  <si>
    <t>Shipper Owned Container</t>
  </si>
  <si>
    <t>Shipper Owned Container Surcharge</t>
  </si>
  <si>
    <t>Per H40</t>
  </si>
  <si>
    <t>Emergency Low Water Surcharge</t>
  </si>
  <si>
    <t>POR85</t>
  </si>
  <si>
    <t>Emergency Low Water</t>
  </si>
  <si>
    <t>Oncarriage Hazardous Charge</t>
  </si>
  <si>
    <t>Inland Hazardous Charge Oncarriage</t>
  </si>
  <si>
    <t>CAR65</t>
  </si>
  <si>
    <t>Precarriage Hazardous Charge</t>
  </si>
  <si>
    <t>Inland Hazardous Charge Precarriage</t>
  </si>
  <si>
    <t>CAR15</t>
  </si>
  <si>
    <t>FAK</t>
  </si>
  <si>
    <t>Service Contract:</t>
  </si>
  <si>
    <t>Trade Service:</t>
  </si>
  <si>
    <t>Fresh Commodities Charge</t>
  </si>
  <si>
    <t xml:space="preserve">Refrigerated Fresh Commodities Transport and Logistics </t>
  </si>
  <si>
    <t xml:space="preserve">Service Contract #: </t>
  </si>
  <si>
    <t>Amendment #:</t>
  </si>
  <si>
    <t>Effective Date of Amendment:</t>
  </si>
  <si>
    <t>Address:</t>
  </si>
  <si>
    <t>Phone:</t>
  </si>
  <si>
    <t>Fax:</t>
  </si>
  <si>
    <t>Email:</t>
  </si>
  <si>
    <t>Amendment Number:</t>
  </si>
  <si>
    <t>General Rate Increase (GRI)</t>
  </si>
  <si>
    <t>Table of Contents</t>
  </si>
  <si>
    <t>Appendix</t>
  </si>
  <si>
    <t>I-1</t>
  </si>
  <si>
    <t>I-2</t>
  </si>
  <si>
    <t>Appendix:</t>
  </si>
  <si>
    <t>B-1</t>
  </si>
  <si>
    <t>INBOUND FAR EAST (ASIA-USWC)</t>
  </si>
  <si>
    <t>B-2</t>
  </si>
  <si>
    <t>Affiliates</t>
  </si>
  <si>
    <t>NVOCC</t>
  </si>
  <si>
    <t>You must indicate one of the following as (YES)</t>
  </si>
  <si>
    <t>Monitoring</t>
  </si>
  <si>
    <t>If NVOCC, Shipper Certifies to Carrier that they are an Ocean Transportation Intermediary (OTI) performing NVOCC Services. OTI License and Bond are on file with the FMC.</t>
  </si>
  <si>
    <t>M</t>
  </si>
  <si>
    <t>Title:</t>
  </si>
  <si>
    <t>OUTBOUND FAR EAST (USWC-ASIA)</t>
  </si>
  <si>
    <t>A-2</t>
  </si>
  <si>
    <t>G-1</t>
  </si>
  <si>
    <t>C-2</t>
  </si>
  <si>
    <t>C-1</t>
  </si>
  <si>
    <t xml:space="preserve">                                            If NVOCC, provide Bond Number:</t>
  </si>
  <si>
    <t xml:space="preserve">                                                         Owner of the Cargo (BCO)</t>
  </si>
  <si>
    <t>For and on Behalf of:</t>
  </si>
  <si>
    <t>As Agents for:</t>
  </si>
  <si>
    <t>Norfolk, VA 23502 USA</t>
  </si>
  <si>
    <t>CPC</t>
  </si>
  <si>
    <t>Chassis Provision Charge</t>
  </si>
  <si>
    <t>POR74</t>
  </si>
  <si>
    <t>High Cube Additional</t>
  </si>
  <si>
    <t>HC Additional</t>
  </si>
  <si>
    <t>FRT53</t>
  </si>
  <si>
    <t>CFC</t>
  </si>
  <si>
    <t>Cargo Facility Charge</t>
  </si>
  <si>
    <t>POR17</t>
  </si>
  <si>
    <t xml:space="preserve">                                                                  Shippers Association</t>
  </si>
  <si>
    <t>J-1</t>
  </si>
  <si>
    <t>D-1</t>
  </si>
  <si>
    <t>D-2</t>
  </si>
  <si>
    <t>INBOUND (INDIAN SUB. CONTINENT-USA EC) (INDAMEX)</t>
  </si>
  <si>
    <t>INBOUND (INDIAN SUB. CONTINENT-USA WC ) (TPX)</t>
  </si>
  <si>
    <t>F-1</t>
  </si>
  <si>
    <t>F-2</t>
  </si>
  <si>
    <t>INBOUND FAR EAST (ASIA-USEC &amp; USGC)</t>
  </si>
  <si>
    <t>INBOUND (MEDITERRANEAN-USA EC &amp; GC) (AMERIGO)</t>
  </si>
  <si>
    <t>INBOUND (MEDITERRANEAN-USA WC) (TPX)</t>
  </si>
  <si>
    <t>AUSTRALIA/NEW ZEALAND/FRENCH POLYNESIAN ISLAND/ PAPOUASIA/NEW GUINEA- USA USWC/USEC (RTW)</t>
  </si>
  <si>
    <t>H-1</t>
  </si>
  <si>
    <t>H-2</t>
  </si>
  <si>
    <t>Genset Surcharge</t>
  </si>
  <si>
    <t>FEE90</t>
  </si>
  <si>
    <t>OUTBOUND FAR EAST (USEC&amp;USGC-ASIA)</t>
  </si>
  <si>
    <t>INBOUND (NE - US) (TRANSAT)</t>
  </si>
  <si>
    <t>INBOUND (NE-USWC)-(TPX)</t>
  </si>
  <si>
    <t>US WEST COAST-AUSTRALIA/NEW ZEALAND</t>
  </si>
  <si>
    <t xml:space="preserve">OUTBOUND (USA-MEDITERRANEAN)  </t>
  </si>
  <si>
    <t xml:space="preserve">OUTBOUND (USA-ARABIAN GULF &amp; RED SEA)  </t>
  </si>
  <si>
    <t>C-3</t>
  </si>
  <si>
    <t>OUTBOUND (USWC-ARABIAN GULF)</t>
  </si>
  <si>
    <t>US EAST COAST-AUSTRALIA/NEW ZEALAND/SOUTH PACIFIC ISLANDS</t>
  </si>
  <si>
    <t>N-1</t>
  </si>
  <si>
    <t>CMDU#091</t>
  </si>
  <si>
    <t>E-1</t>
  </si>
  <si>
    <t>OUTBOUND (USA-TRANSAT)</t>
  </si>
  <si>
    <t>Peak Season Surcharge (PSS)</t>
  </si>
  <si>
    <t>* U.O.S = UNLESS OTHERWISE SPECIFIED</t>
  </si>
  <si>
    <t>OUTBOUND (USA-USEC USGC-INDIAN SUB. CONTINENT) (INDAMEX)</t>
  </si>
  <si>
    <t>TEUS</t>
  </si>
  <si>
    <t>If NVOCC, provide Bond date</t>
  </si>
  <si>
    <t>If NVOCC provide the name of the Bonding Company</t>
  </si>
  <si>
    <t xml:space="preserve">                                            CMA-CGM Sales Representative:</t>
  </si>
  <si>
    <t>MQC</t>
  </si>
  <si>
    <t>(TEUS)</t>
  </si>
  <si>
    <t>Total</t>
  </si>
  <si>
    <t>Total Days Granted</t>
  </si>
  <si>
    <t>Notes</t>
  </si>
  <si>
    <t>Y/N</t>
  </si>
  <si>
    <t xml:space="preserve">TARIFF applicability </t>
  </si>
  <si>
    <t>COMMODITY  INDEX</t>
  </si>
  <si>
    <t>INB</t>
  </si>
  <si>
    <t>- Unless otherwise indicated, excludes temperature controlled cargo, hazardous cargo, cargo requiring special handling and/or equipment, overweight containers.</t>
  </si>
  <si>
    <t xml:space="preserve">FAK/Bullets </t>
  </si>
  <si>
    <t>Description</t>
  </si>
  <si>
    <t>ERC</t>
  </si>
  <si>
    <t>Emergency Revenue Charge</t>
  </si>
  <si>
    <t>ERC01</t>
  </si>
  <si>
    <t>Named Account</t>
  </si>
  <si>
    <t>Partner Code</t>
  </si>
  <si>
    <t>RATES CONDITIONS</t>
  </si>
  <si>
    <t>Rates in USD unless otherwise specified.</t>
  </si>
  <si>
    <t>For Place of Receipt indicate origin of cargo</t>
  </si>
  <si>
    <t>FAK/ BULLETS</t>
  </si>
  <si>
    <t>Place of Receipt</t>
  </si>
  <si>
    <t>SVI:</t>
  </si>
  <si>
    <t>AED - UAE Dirham</t>
  </si>
  <si>
    <t>ALL - Leck</t>
  </si>
  <si>
    <t>AMD - Armenian Dram</t>
  </si>
  <si>
    <t>ANG - Netherlands Antillan Guilder</t>
  </si>
  <si>
    <t>AOA - Kwanza</t>
  </si>
  <si>
    <t>ARS - Argentine Peso</t>
  </si>
  <si>
    <t>AUD - Australian Dollar</t>
  </si>
  <si>
    <t>AWG - Aruban Guilder</t>
  </si>
  <si>
    <t>AZM - Azerbaijanian Manat</t>
  </si>
  <si>
    <t>BAM - Convertible Marks</t>
  </si>
  <si>
    <t>BBD - Barbados Dollar</t>
  </si>
  <si>
    <t>BDT - Taka</t>
  </si>
  <si>
    <t>BGN - Bulgarian Lev</t>
  </si>
  <si>
    <t>BHD - Bahraini Dinar</t>
  </si>
  <si>
    <t>BIF - Burundi Franc</t>
  </si>
  <si>
    <t>BND - Brunei Dollar</t>
  </si>
  <si>
    <t>BOB - Boliviano</t>
  </si>
  <si>
    <t>BRL - Brazilian Real</t>
  </si>
  <si>
    <t>BYR - Belarussian Ruble</t>
  </si>
  <si>
    <t>BZD - Belize Dollar</t>
  </si>
  <si>
    <t>CAD - Canadian Dollar</t>
  </si>
  <si>
    <t>CDF - Franc Congolais</t>
  </si>
  <si>
    <t>CHF - Swiss Franc</t>
  </si>
  <si>
    <t>CLF - Unidades de fomento</t>
  </si>
  <si>
    <t>CLP - Chilean Peso</t>
  </si>
  <si>
    <t>CNY - Yuan Renminbi</t>
  </si>
  <si>
    <t>COP - Colombian Peso</t>
  </si>
  <si>
    <t>CRC - Costa Rican Colon</t>
  </si>
  <si>
    <t>CVE - Cape Verde Escudo</t>
  </si>
  <si>
    <t>CYP - Cyprus Pound</t>
  </si>
  <si>
    <t>CZK - Czech Koruna</t>
  </si>
  <si>
    <t>DJF - Djibouti Franc</t>
  </si>
  <si>
    <t>DKK - Danish Krone</t>
  </si>
  <si>
    <t>DOP - Dominican Peso</t>
  </si>
  <si>
    <t>DZD - Algerian Dinar</t>
  </si>
  <si>
    <t>ECS - Sucre</t>
  </si>
  <si>
    <t>EEK - Kroon</t>
  </si>
  <si>
    <t>EGP - Egyptian Pound</t>
  </si>
  <si>
    <t>EUR - euro</t>
  </si>
  <si>
    <t>FJD - Fiji Dollar</t>
  </si>
  <si>
    <t>GBP - Pound Sterling</t>
  </si>
  <si>
    <t>GEL - Lari</t>
  </si>
  <si>
    <t>GHC - Cedi</t>
  </si>
  <si>
    <t>GMD - Dalasi</t>
  </si>
  <si>
    <t>GNF - Guinea Franc</t>
  </si>
  <si>
    <t>GTQ - Quetzal</t>
  </si>
  <si>
    <t>GYD - Guyana Dollar</t>
  </si>
  <si>
    <t>HKD - Hong Kong Dollar</t>
  </si>
  <si>
    <t>HNL - Lempira</t>
  </si>
  <si>
    <t>HRK - Croatian kuna</t>
  </si>
  <si>
    <t>HTG - Gourde</t>
  </si>
  <si>
    <t>HUF - Forint</t>
  </si>
  <si>
    <t>IDR - Rupiah</t>
  </si>
  <si>
    <t>ILS - New Israeli Sheqel</t>
  </si>
  <si>
    <t>INR - Indian Rupee</t>
  </si>
  <si>
    <t>IRR - Iranian Rial</t>
  </si>
  <si>
    <t>ISK - Iceland Krona</t>
  </si>
  <si>
    <t>JMD - Jamaican Dollar</t>
  </si>
  <si>
    <t>JOD - Jordanian Dinar</t>
  </si>
  <si>
    <t>JPY - Yen</t>
  </si>
  <si>
    <t>KES - Kenyan Shilling</t>
  </si>
  <si>
    <t>KHR - Riel</t>
  </si>
  <si>
    <t>KMF - Comoro Franc</t>
  </si>
  <si>
    <t>KRW - Won</t>
  </si>
  <si>
    <t>KWD - Kuwaiti Dinar</t>
  </si>
  <si>
    <t>KZT - Tenge</t>
  </si>
  <si>
    <t>LAK - Kip</t>
  </si>
  <si>
    <t>LBP - Lebanese Pound</t>
  </si>
  <si>
    <t>LKR - Sri Lanka Rupee</t>
  </si>
  <si>
    <t>LRD - Liberian Dollar</t>
  </si>
  <si>
    <t>LTL - Lithuanian Litus</t>
  </si>
  <si>
    <t>LVL - Latvian Lats</t>
  </si>
  <si>
    <t>LYD - Lybian Dinar</t>
  </si>
  <si>
    <t>MAD - Moroccan Dirham</t>
  </si>
  <si>
    <t>MMK - Kyat</t>
  </si>
  <si>
    <t>MOP - Pataca</t>
  </si>
  <si>
    <t>MRO - Ouguiya</t>
  </si>
  <si>
    <t>MTL - Maltese Lira</t>
  </si>
  <si>
    <t>MUR - Mauritius Rupee</t>
  </si>
  <si>
    <t>MVR - Rufiyaa</t>
  </si>
  <si>
    <t>MWK - Kwacha</t>
  </si>
  <si>
    <t>MXN - Mexican Peso</t>
  </si>
  <si>
    <t>MYR - Malaysian Ringgit</t>
  </si>
  <si>
    <t>NGN - Naira</t>
  </si>
  <si>
    <t>NIO - Cordoba Oro</t>
  </si>
  <si>
    <t>NOK - Norvegian Krone</t>
  </si>
  <si>
    <t>NZD - New Zealand Dollar</t>
  </si>
  <si>
    <t>OMR - Rial Omani</t>
  </si>
  <si>
    <t>PEN - Nuevo Sol</t>
  </si>
  <si>
    <t>PGK - Kina</t>
  </si>
  <si>
    <t>PHP - Philippine Peso</t>
  </si>
  <si>
    <t>PKR - Pakistan Rupee</t>
  </si>
  <si>
    <t>PLN - Zloty</t>
  </si>
  <si>
    <t>PYG - Guarani</t>
  </si>
  <si>
    <t>QAR - Qatari Rial</t>
  </si>
  <si>
    <t>RUB - Russian Ruble</t>
  </si>
  <si>
    <t>RRI</t>
  </si>
  <si>
    <t>Rate Restoration Initiative</t>
  </si>
  <si>
    <t>RRI01</t>
  </si>
  <si>
    <t>POR53</t>
  </si>
  <si>
    <t>Wharfage (Destination)</t>
  </si>
  <si>
    <t>POR16</t>
  </si>
  <si>
    <t>Drop Off</t>
  </si>
  <si>
    <t>Drop Off Surcharge</t>
  </si>
  <si>
    <t>Container Service</t>
  </si>
  <si>
    <t>Container Service Charge</t>
  </si>
  <si>
    <t>CSC10</t>
  </si>
  <si>
    <t>RWF - Rwanda Franc</t>
  </si>
  <si>
    <t>SAR - Saudi Riyal</t>
  </si>
  <si>
    <t>SCR - Seychelles Rupee</t>
  </si>
  <si>
    <t>SEK - Swedish Krona</t>
  </si>
  <si>
    <t>SGD - Singapore Dollar</t>
  </si>
  <si>
    <t>SKK - Slovak Koruna</t>
  </si>
  <si>
    <t>SLL - Leone</t>
  </si>
  <si>
    <t>STD - Dobra</t>
  </si>
  <si>
    <t>SVC - El Salvador Colon</t>
  </si>
  <si>
    <t>SYP - Syrian Pound</t>
  </si>
  <si>
    <t>THB - Baht</t>
  </si>
  <si>
    <t>TND - Tunisian Dinar</t>
  </si>
  <si>
    <t>TRL - Turkish Lira</t>
  </si>
  <si>
    <t>TTD - Trinidad and Tobago Dollar</t>
  </si>
  <si>
    <t>TWD - New Taiwan Dollar</t>
  </si>
  <si>
    <t>TZS - Tanzanian Shilling</t>
  </si>
  <si>
    <t>UAH - Hryvnia</t>
  </si>
  <si>
    <t>UGX - Uganda Shilling</t>
  </si>
  <si>
    <t>USD - US Dollar</t>
  </si>
  <si>
    <t>UYU - Peso Uruguayo</t>
  </si>
  <si>
    <t>UZS - Uzbekistan Sum</t>
  </si>
  <si>
    <t>VND - Dong</t>
  </si>
  <si>
    <t>VUV - Vatu</t>
  </si>
  <si>
    <t>XAF - CFA Franc BEAC</t>
  </si>
  <si>
    <t>XCD - East Caribbean Dollar</t>
  </si>
  <si>
    <t>XOF - CFA Franc BCEAO</t>
  </si>
  <si>
    <t>XPF - CFP Franc</t>
  </si>
  <si>
    <t>YER - Yemeni Rial</t>
  </si>
  <si>
    <t>ZAR - Rand</t>
  </si>
  <si>
    <t>ZMK - Kwacha</t>
  </si>
  <si>
    <t>ZWD - Zimbabwe Dollar</t>
  </si>
  <si>
    <t>TRY - New Turkish Lira</t>
  </si>
  <si>
    <t>RON - Romania Lei</t>
  </si>
  <si>
    <t>MGA - Madagascar, Ariary</t>
  </si>
  <si>
    <t>RSD - Serbian Dinar</t>
  </si>
  <si>
    <t>VEF - Bolivar Fuerte</t>
  </si>
  <si>
    <t>GHS - Cedi, new</t>
  </si>
  <si>
    <t>SDG - Sudanese pound</t>
  </si>
  <si>
    <t>SRD - Suriname Dollar</t>
  </si>
  <si>
    <t>MZN - Metical</t>
  </si>
  <si>
    <t>Scale for Exceptional Charges</t>
  </si>
  <si>
    <t>Free Time and Charges mentioned in this section are exceptions to the conditions defined in the governing tariff(s)</t>
  </si>
  <si>
    <t>Freight Tax</t>
  </si>
  <si>
    <t>Freight Tax Surcharge</t>
  </si>
  <si>
    <t>Landing Charges</t>
  </si>
  <si>
    <t>LOC00</t>
  </si>
  <si>
    <t>Origin THC / Origin Receiving Charge</t>
  </si>
  <si>
    <t>RRI02</t>
  </si>
  <si>
    <t>RRI2</t>
  </si>
  <si>
    <t>Rate Restoration Initiative 2</t>
  </si>
  <si>
    <t>RRI3</t>
  </si>
  <si>
    <t>Rate Restoration Initiative 3</t>
  </si>
  <si>
    <t>RRI03</t>
  </si>
  <si>
    <t>TAX09</t>
  </si>
  <si>
    <t>Drop and Pull Import Side</t>
  </si>
  <si>
    <t>CAR22</t>
  </si>
  <si>
    <t>Drop and Pull Export Side</t>
  </si>
  <si>
    <t>CAR72</t>
  </si>
  <si>
    <t>Port License Fee / Port Taxes NOS</t>
  </si>
  <si>
    <t>POR61</t>
  </si>
  <si>
    <t>PLF</t>
  </si>
  <si>
    <t>LPC51</t>
  </si>
  <si>
    <t>Operation Cost Recovery</t>
  </si>
  <si>
    <t>OCR01</t>
  </si>
  <si>
    <t>Reefer PTI</t>
  </si>
  <si>
    <t>PTI01</t>
  </si>
  <si>
    <t>CAR04</t>
  </si>
  <si>
    <t>CTR33</t>
  </si>
  <si>
    <t>PSC Destination</t>
  </si>
  <si>
    <t>Port Service Charge / Port Additional Surcharge Destination</t>
  </si>
  <si>
    <t>POR70</t>
  </si>
  <si>
    <t>PCS Origin</t>
  </si>
  <si>
    <t>Port Congestion Surcharge Origin</t>
  </si>
  <si>
    <t>POR09</t>
  </si>
  <si>
    <t>PCS Destination</t>
  </si>
  <si>
    <t>Wharfage (Origin)</t>
  </si>
  <si>
    <t>PSC Origin</t>
  </si>
  <si>
    <t>WAR92</t>
  </si>
  <si>
    <t>Garments on Hanger Additional</t>
  </si>
  <si>
    <t>Off Dock</t>
  </si>
  <si>
    <t>Off Dock Surcharge</t>
  </si>
  <si>
    <t>TAX28</t>
  </si>
  <si>
    <t>CAR95</t>
  </si>
  <si>
    <t>P-1</t>
  </si>
  <si>
    <t>OUTBOUND USA TO CARIB-LATIN AMER</t>
  </si>
  <si>
    <t>CMDU#005 P-1</t>
  </si>
  <si>
    <t>P-2</t>
  </si>
  <si>
    <t>INBOUND CARIB-LATIN AMER TO USA</t>
  </si>
  <si>
    <t>CMDU#006 P-2</t>
  </si>
  <si>
    <t>P-3</t>
  </si>
  <si>
    <t>CMDU#007 P-3</t>
  </si>
  <si>
    <t>OUTBOUND PUERTO RICO &amp; US V.I. TO LATAM</t>
  </si>
  <si>
    <t>P-4</t>
  </si>
  <si>
    <t>CMDU#007 P-4</t>
  </si>
  <si>
    <t>INBOUND LATAM TO PUERTO RICO &amp; US V.I.</t>
  </si>
  <si>
    <t>Export Declaration</t>
  </si>
  <si>
    <t>Export Declaration Surcharge</t>
  </si>
  <si>
    <t>PSS2</t>
  </si>
  <si>
    <t>PSS02</t>
  </si>
  <si>
    <t>RRI4</t>
  </si>
  <si>
    <t>Rate Restoration Initiative 4</t>
  </si>
  <si>
    <t>RRI04</t>
  </si>
  <si>
    <t>RRI5</t>
  </si>
  <si>
    <t>Rate Restoration Initiative 5</t>
  </si>
  <si>
    <t>RRI05</t>
  </si>
  <si>
    <t>Sensitive Cargo</t>
  </si>
  <si>
    <t>Sensitive Cargo Surcharge</t>
  </si>
  <si>
    <t>INS07</t>
  </si>
  <si>
    <t>X-Ray</t>
  </si>
  <si>
    <t>Port Congestion Surcharge Destination</t>
  </si>
  <si>
    <t>Port Service Charge / Port Additional Surcharge Origin</t>
  </si>
  <si>
    <t>FEE26</t>
  </si>
  <si>
    <t>Exp Doc Fee</t>
  </si>
  <si>
    <t>O/C Haulage</t>
  </si>
  <si>
    <t>CAR50</t>
  </si>
  <si>
    <t>Import Doc Fee</t>
  </si>
  <si>
    <t>FEE30</t>
  </si>
  <si>
    <t>RRI6</t>
  </si>
  <si>
    <t>Rate Restoration Initiative 6</t>
  </si>
  <si>
    <t>RRI06</t>
  </si>
  <si>
    <t>Destination THC / Destination Receiving Charge</t>
  </si>
  <si>
    <t>OWFAS</t>
  </si>
  <si>
    <t>Overweight Freight Additional Surcharge</t>
  </si>
  <si>
    <t>FRT61</t>
  </si>
  <si>
    <t>IDS Prec Additional</t>
  </si>
  <si>
    <t>IDDS Onc Additional</t>
  </si>
  <si>
    <t>Oncarriage Additional Intermodal Door Delivery Surcharge</t>
  </si>
  <si>
    <t>CAR54</t>
  </si>
  <si>
    <t>Essential Terms (“ET”) Number:</t>
  </si>
  <si>
    <t>CMDU#029 D5</t>
  </si>
  <si>
    <t>INBOUND (E &amp; W AFRICA-USA)</t>
  </si>
  <si>
    <t>D-5</t>
  </si>
  <si>
    <t>Import Seal Fee</t>
  </si>
  <si>
    <t>SEA66</t>
  </si>
  <si>
    <t>Term Fee NOS</t>
  </si>
  <si>
    <t>FEW67</t>
  </si>
  <si>
    <t>CTR32</t>
  </si>
  <si>
    <t>Freight Collection</t>
  </si>
  <si>
    <t>Freight Collect Surcharge (Collection Fee)</t>
  </si>
  <si>
    <t>DIS02</t>
  </si>
  <si>
    <t xml:space="preserve">Freight Collection </t>
  </si>
  <si>
    <t>Container Inspection Fee/Survey Fee</t>
  </si>
  <si>
    <t>Rate Restoration Initiative 7</t>
  </si>
  <si>
    <t>Rate Restoration Initiative 8</t>
  </si>
  <si>
    <t>RRI7</t>
  </si>
  <si>
    <t>RRI8</t>
  </si>
  <si>
    <t>RRI07</t>
  </si>
  <si>
    <t>RRI08</t>
  </si>
  <si>
    <t>Export BL Documentation Fee - Brazil only</t>
  </si>
  <si>
    <t>Currency Adjustment Factor</t>
  </si>
  <si>
    <t>ACS Export</t>
  </si>
  <si>
    <t>Delivery Order Fee - Special Requirement, Carrier</t>
  </si>
  <si>
    <t>Store door delivery service includes one round trip dray to Merchant's facility (door). Drop and Pull (Drop and Pick) service may be provided in accordance with Carrier's governing tariff. - In the event an uneven flow of full containers to Merchant's facility prevents an empty-container match back, the subsequent return of empty containers is for the Merchant's account.</t>
  </si>
  <si>
    <t>Export Documentation Fees - Carrier</t>
  </si>
  <si>
    <t>Emergency Terminal Congestion Surcharge / Emergency Port Surcharge</t>
  </si>
  <si>
    <t>Forwarding Agent Commission</t>
  </si>
  <si>
    <t>Ghana Freight Tax</t>
  </si>
  <si>
    <t>General Rate Increase</t>
  </si>
  <si>
    <t>Harbor Dues / Port Dues</t>
  </si>
  <si>
    <t>Hazardous Fees (Ocean)</t>
  </si>
  <si>
    <t xml:space="preserve">Intermodal Door Precarriage Additional for </t>
  </si>
  <si>
    <t>Import Documentation / BL fee - Carrier</t>
  </si>
  <si>
    <t>Oncarriage Inland Fuel Charge</t>
  </si>
  <si>
    <t xml:space="preserve">Precarriage Inland Fuel Charge </t>
  </si>
  <si>
    <t>Lift-On Lift-Off Charges Destination</t>
  </si>
  <si>
    <t>Lift-On Lift-Off Charges Origin</t>
  </si>
  <si>
    <t>On-Carriage Haulage</t>
  </si>
  <si>
    <t>On-Carriage to Ramp</t>
  </si>
  <si>
    <t>Pre-Carriage to Ramp</t>
  </si>
  <si>
    <t>Peak Season</t>
  </si>
  <si>
    <t>Peak Season Surcharge 2</t>
  </si>
  <si>
    <t>River Dues and Duties</t>
  </si>
  <si>
    <t>Origin Terminal Security Charge</t>
  </si>
  <si>
    <t>Terminal Fees, Not Otherwise Specified</t>
  </si>
  <si>
    <t>Tri-Axle / Super Chassis Oncarriage Surcharge</t>
  </si>
  <si>
    <t>Tri-Axle / Super Chassis Precarriage Surcharge</t>
  </si>
  <si>
    <t>Scanning by Customs, incl other examination charges</t>
  </si>
  <si>
    <t>Scanning by Customs, incl other examinations, carrier</t>
  </si>
  <si>
    <t>X-Ray, Carrier</t>
  </si>
  <si>
    <t>Inland Oncarriage Fuel Charge</t>
  </si>
  <si>
    <t>Inland Precarriage Fuel Charge</t>
  </si>
  <si>
    <t>Hazardous Fees</t>
  </si>
  <si>
    <t>For and on behalf of:</t>
  </si>
  <si>
    <t>As agents for:</t>
  </si>
  <si>
    <t>Charles A. Gender</t>
  </si>
  <si>
    <t>RRI9</t>
  </si>
  <si>
    <t>Rate Restoration Initiative 9</t>
  </si>
  <si>
    <t>RRI09</t>
  </si>
  <si>
    <t>RRI10</t>
  </si>
  <si>
    <t>RRI11</t>
  </si>
  <si>
    <t>Rate Restoration Initiative 10</t>
  </si>
  <si>
    <t>Rate Restoration Initiative 11</t>
  </si>
  <si>
    <t>Signature on File / Bond Rider</t>
  </si>
  <si>
    <t>Where mode = CY, the port listed in the POL/POD column is a placeholder used for internal systems purposes only.  The actual POL/POD will be the place of receipt and transshipment locations will vary depending on</t>
  </si>
  <si>
    <t>the feeder service used without impacting the rate</t>
  </si>
  <si>
    <t>Demurrage - Port (In US ONLY)</t>
  </si>
  <si>
    <t>Demurrage - Rail (In US ONLY)</t>
  </si>
  <si>
    <t>Demurrage (NOT in US)</t>
  </si>
  <si>
    <t>FREE TIME TARIFF TYPE - US (Import Tabs)</t>
  </si>
  <si>
    <t>FREE TIME TARIFF TYPE - US (Export Tabs)</t>
  </si>
  <si>
    <t>OC Multistop</t>
  </si>
  <si>
    <t>Custom clearance dest</t>
  </si>
  <si>
    <t>Custom clearance origin</t>
  </si>
  <si>
    <t>CAR52</t>
  </si>
  <si>
    <t>CUS18</t>
  </si>
  <si>
    <t>CUS17</t>
  </si>
  <si>
    <t>OC Multi Stop</t>
  </si>
  <si>
    <t>On Carriage Multistop</t>
  </si>
  <si>
    <t>Custom clearance destination</t>
  </si>
  <si>
    <t>Local Port Charges Origin</t>
  </si>
  <si>
    <t>LPC01</t>
  </si>
  <si>
    <t>Local Port Charges Destination</t>
  </si>
  <si>
    <t>Precarriage Barge</t>
  </si>
  <si>
    <t>Oncarriage Barge</t>
  </si>
  <si>
    <t>PreCarriage Barge - Congestion</t>
  </si>
  <si>
    <t>OnCarriage Barge - Congestion</t>
  </si>
  <si>
    <t>PreCarriage Barge</t>
  </si>
  <si>
    <t>OnCarriage Barge</t>
  </si>
  <si>
    <t>PC Multi Stop</t>
  </si>
  <si>
    <t>Pre Carriage Multistop</t>
  </si>
  <si>
    <t>CAR02</t>
  </si>
  <si>
    <t>PC Multistop</t>
  </si>
  <si>
    <t>PSS3</t>
  </si>
  <si>
    <t>Peak Season Surcharge 3</t>
  </si>
  <si>
    <t>PSS03</t>
  </si>
  <si>
    <t>TG</t>
  </si>
  <si>
    <t>RC</t>
  </si>
  <si>
    <t>TH</t>
  </si>
  <si>
    <t>CAR46</t>
  </si>
  <si>
    <t>CAR96</t>
  </si>
  <si>
    <t>Pre-Carriage Emergency surcharge</t>
  </si>
  <si>
    <t>Pre-Carriage Emergency Intermodal Surcharge</t>
  </si>
  <si>
    <t>On-Carriage Emergency Intermodal Surcharge</t>
  </si>
  <si>
    <t xml:space="preserve">PreCarriage Emergency Intermodal </t>
  </si>
  <si>
    <t>OnCarriage Emergency Intermodal</t>
  </si>
  <si>
    <t>Term Gate In</t>
  </si>
  <si>
    <t>Terminal Gate In Fee</t>
  </si>
  <si>
    <t>Bunker Recovery Charge</t>
  </si>
  <si>
    <t>Pre-Carriage Emergency Inland Fuel Surcharge</t>
  </si>
  <si>
    <t>CAR47</t>
  </si>
  <si>
    <t>On-Carriage Emergency Inland Fuel Surcharge</t>
  </si>
  <si>
    <t>CAR97</t>
  </si>
  <si>
    <t>O/C EIFS</t>
  </si>
  <si>
    <t>P/C EIFS</t>
  </si>
  <si>
    <t>P/C Haulage</t>
  </si>
  <si>
    <t>Pre-Carriage Haulage</t>
  </si>
  <si>
    <t>CV Serenity 1</t>
  </si>
  <si>
    <t>Cargo Value Serenity 1</t>
  </si>
  <si>
    <t>CVS01</t>
  </si>
  <si>
    <t>CV Serenity 2</t>
  </si>
  <si>
    <t>CV Serenity 3</t>
  </si>
  <si>
    <t>CV Serenity Personal</t>
  </si>
  <si>
    <t>Cargo Value Serenity 2</t>
  </si>
  <si>
    <t>Cargo Value Serenity 3</t>
  </si>
  <si>
    <t>Cargo Value Serenity Personalized</t>
  </si>
  <si>
    <t>CVS02</t>
  </si>
  <si>
    <t>CVS03</t>
  </si>
  <si>
    <t>CVS00</t>
  </si>
  <si>
    <t>DTC00</t>
  </si>
  <si>
    <t>Doc Amendment Fee</t>
  </si>
  <si>
    <t>Documentation Amendment Fee</t>
  </si>
  <si>
    <t>EIS Origin</t>
  </si>
  <si>
    <t>EIS Destination</t>
  </si>
  <si>
    <t>Equipment Imbalance Surcharge at Origin</t>
  </si>
  <si>
    <t>Equipment Imbalance Surcharge at Destination</t>
  </si>
  <si>
    <t>ERS05</t>
  </si>
  <si>
    <t>EIS Dest</t>
  </si>
  <si>
    <t>EIS Org</t>
  </si>
  <si>
    <t>On-Carriage Emergency Surcharge</t>
  </si>
  <si>
    <t>Damage Container Risk</t>
  </si>
  <si>
    <t>Damage to Container Risk charge</t>
  </si>
  <si>
    <t>Driver Detention Fee Pre/c</t>
  </si>
  <si>
    <t>Driver Detention Fee at Origin Waiting Hrs</t>
  </si>
  <si>
    <t>CAR03</t>
  </si>
  <si>
    <t>Driver Detention Pre/C</t>
  </si>
  <si>
    <t>Driver Detention Fee On/c</t>
  </si>
  <si>
    <t>Driver Detention Fee at Destination Waiting Hrs</t>
  </si>
  <si>
    <t>CAR53</t>
  </si>
  <si>
    <t>Driver Detention On/C</t>
  </si>
  <si>
    <t>Expedited Port Release</t>
  </si>
  <si>
    <t>GUA09</t>
  </si>
  <si>
    <t>Manual Booking Fee</t>
  </si>
  <si>
    <t>DA030</t>
  </si>
  <si>
    <t>Chassis Admin Fee On/C</t>
  </si>
  <si>
    <t>CAR63</t>
  </si>
  <si>
    <t>Chassis Administration Fee On-Carriage</t>
  </si>
  <si>
    <t>O/C Exp Rail</t>
  </si>
  <si>
    <t>On-Carriage Expedited Rail</t>
  </si>
  <si>
    <t>CAR84</t>
  </si>
  <si>
    <t>Extra Risk Surcharge (Destination)</t>
  </si>
  <si>
    <t>Extra Risk Surcharge (Origin)</t>
  </si>
  <si>
    <t>Extra Risk (Destination)</t>
  </si>
  <si>
    <t>Extra Risk (Origin)</t>
  </si>
  <si>
    <t>Port Dues Dest</t>
  </si>
  <si>
    <t>Port Dues Destination</t>
  </si>
  <si>
    <t>Port Dues Orig</t>
  </si>
  <si>
    <t>Port Dues Origin</t>
  </si>
  <si>
    <t>POR52</t>
  </si>
  <si>
    <t>Detention Admin Fee</t>
  </si>
  <si>
    <t>Detention Administration Fee</t>
  </si>
  <si>
    <t>DA035</t>
  </si>
  <si>
    <t>Carrier Roll Fee</t>
  </si>
  <si>
    <t>FEE18</t>
  </si>
  <si>
    <t>Refer to Boiler Plate for additional rate terms and conditions if any.</t>
  </si>
  <si>
    <t>Pursuant to the attached Excel document and/or the following revisions:</t>
  </si>
  <si>
    <t>PSS4</t>
  </si>
  <si>
    <t>Peak Season Surcharge 4</t>
  </si>
  <si>
    <t>PSS04</t>
  </si>
  <si>
    <t>As legally required, Carrier’s Bill of Lading, Merchant’s statement of containers shipped under this Contract, written communications issued by Carrier regarding such statement, and force majeure correspondence and notices, shall constitute the records supporting performance under this Contract, and shall be maintained by Carrier’s designated agent in the United States of America at the following address:</t>
  </si>
  <si>
    <t>1.     APPLICATION OF CONTRACT</t>
  </si>
  <si>
    <t>E.	     Carrier shall not be liable to Merchant for any direct, indirect, consequential or other damages relating to Cargo delayed or not transported due to lack of available space or restructuring of any services defined herein.</t>
  </si>
  <si>
    <t xml:space="preserve">A.	     The Contract rates shall be as stated in the Appendices attached hereto.  The rates in this Contract shall be subject to increase by the amount of any increase published in Carrier’s governing tariff(s) applicable to any or all commodities/routings covered by this Contract.  Said increase shall be applied by Carrier automatically and Merchant consents to Carrier filing an amendment to this Contract with the FMC reflecting said increases, without any further signature or consent of Merchant.  
</t>
  </si>
  <si>
    <t>9.	     U.S.-FLAG GOVERNMENT IMPELLED CARGO</t>
  </si>
  <si>
    <t>10.	     VERIFICATION OF CONTRACT CARRYINGS</t>
  </si>
  <si>
    <t xml:space="preserve">B.	     Each Bill of Lading governing individual shipments under this Contract and all copies thereof shall bear the notification of the Service Contract Number.  Merchant and Carrier agree that the Contract rates cannot be applied to shipments unless the Bill of Lading contains a reference to the unique contract number for this Contract, unless Merchant produces evidence clearly indicating an error or omission and proof sufficient to justify rating the shipment under this Contract.  
</t>
  </si>
  <si>
    <t>11.	     MANIFEST CHANGES OR CORRECTIONS</t>
  </si>
  <si>
    <t>If Merchant requests any changes to the Bill of Lading, manifest, or other documentation, and Carrier accepts to make changes in accordance with those instructions, Merchant agrees to indemnify and hold Carrier, its underwriters, subsidiaries, agents, and all of their representative directors and employees harmless in respect of any liability, loss, penalty, cost, or damage of any kind arising out of or relating to the change, including any penalties or fines that may be assessed by governmental authorities and any additional costs that may be incurred in connection with the change.</t>
  </si>
  <si>
    <t>13.	     CHASSIS</t>
  </si>
  <si>
    <t>A.	     Carrier will not provide a chassis for Merchant Haulage Moves; Merchant must secure an appropriate chassis at its own expense prior to receiving containers (empty or loaded).</t>
  </si>
  <si>
    <t>D.	     For Carrier Haulage Moves, Equipment charges and free time shall be inclusive of chassis usage unless otherwise stated in the Appendices attached hereto.</t>
  </si>
  <si>
    <t>14.	     FREE TIME</t>
  </si>
  <si>
    <t>15.	     PORT SECURITY</t>
  </si>
  <si>
    <t>A.	     Notwithstanding any provision to the contrary in this Contract or any governing publication, including any limitation or restriction on the application of new surcharges during the term of this Contract, the parties agree that any charge or surcharge relating to costs incurred in connection with newly established security requirements (whether established by law, statute, regulation, or by a service provider to Carrier) applicable to or relating to any portion of the transportation and related services provided under this Contract shall apply.  In this regard, Merchant agrees to reimburse Carrier in full for any and all costs associated with shifting discharging and loading containers in conjunction with customs inspection of any of the Cargoes carried pursuant to this Contract.  It is understood that the said charges shall apply to the extent they are published in a publication governing this Contract at any time during the term of the Contract.</t>
  </si>
  <si>
    <t xml:space="preserve">B.	     Merchant certifies that it will adhere to the provisions of the Maritime Transportation Security Act of 2002 and that in the event of any failure to do so it will indemnify, defend and hold Carrier harmless in the event of any claims, delays or penalties resulting from Merchant’s failure to comply with the provisions of said Act.
</t>
  </si>
  <si>
    <t>16.	     FLEXI TANKS</t>
  </si>
  <si>
    <t>17.	     RAMP</t>
  </si>
  <si>
    <t>18.	     MERCHANT POOLS</t>
  </si>
  <si>
    <t>19.	     CUSTOMS TRADE PARTNERSHIP AGAINST TERRORISM (CTPAT)</t>
  </si>
  <si>
    <t>A.	     Merchant, on behalf of itself and each Affiliate, represents and warrants that either:</t>
  </si>
  <si>
    <t>i.	     It is a participating member of U.S. Customs and Border Protection’s CTPAT program or an equivalent World Customs Organization (“WCO”) accredited security program administered by a foreign customs authority, such as Authorized Economic Operator (“AEO”), Secure Export Scheme, Golden List, or Partners in Protection; or
ii.	     If not a participant in such a program, it maintains adequate supply chain security measures appropriate to the business in which it is engaged and agrees to cooperate with any reasonable requests from Carrier for information relating to such measures.</t>
  </si>
  <si>
    <t>20.	     BUSINESS ETHICS</t>
  </si>
  <si>
    <t>Carrier warrants it will comply with all applicable restrictions and / or prohibitions of commercial transactions under statute, regulation, rule, or other such rulings imposing specific duties or obligations upon ocean common carries with respect to such commercial transactions, and published by a relevant governmental entity, including but not limited to the United States, European Union, the United Nations, and / or any country which Cargo may be transported under this Contract to, from, through or over.  Carrier hereby undertakes to indemnify and hold Merchant, its servants, agents  and/or Affiliates harmless from or with respect to any claim, fines, expenses, costs or legal expenses whatsoever that may be incurred or sustained by Merchant, its officers, directors, employees, subsidiaries, servants, agents or affiliates, arising directly or indirectly from Carrier’s breach of the foregoing warranties.</t>
  </si>
  <si>
    <t>Furthermore, Merchant shall immediately inform the Carrier of any conviction, or investigation proceedings initiated against Merchant, or any Affiliate, or any of its Representatives.  Merchant, or any Affiliate, warrants that it has and undertakes that it shall continue to update and maintain during the term of this Contract a comprehensive internal compliance program under which Merchant’s Representatives are required to comply with all applicable local and international anti-bribery and anti-corruption laws and regulations, and that its Representatives are regularly trained on the requirements of Merchant’s compliance program.</t>
  </si>
  <si>
    <t xml:space="preserve">Merchant, and each of its Affiliates, further agrees that it will not take any action which would cause either party to be in violation of the Anti-Corruption Laws. </t>
  </si>
  <si>
    <t>E.	     Audit Rights.	     Carrier reserves its right to audit the compliance of Merchant’s activities with the foregoing representations and warranties.  In case of breach of any of the above representations and warranties, Carrier may suspend or terminate the Contract, at any time, without notice or indemnity.  Merchant will, at its own expense, indemnify and hold Carrier, its affiliates, officers, directors, employees, agents and third-party subcontractors, harmless from and against any expense, cost, claim, fine, loss, liability and legal expenses (including attorney’s fees and court costs) arising out of or resulting from the acts or omissions of Merchant and/or its Affiliate breaching the above representations and warranties.</t>
  </si>
  <si>
    <t>21.	     DATA AND COMMUNICATIONS</t>
  </si>
  <si>
    <t>C.	      Data Subject’s Rights.	     Both parties commit to responding to requests for exercising data subjects’ rights.  Where it is necessary, each party shall notify the other party in writing of any data subject request.</t>
  </si>
  <si>
    <t xml:space="preserve">D.	     Resolution of Disputes with Data Subjects or the Data Protection Authorities.	     In the event of a dispute or claim brought by a data subject or a data protection authority concerning the processing of the personal data against either or both of the parties, the parties will inform each other about any such disputes or claims and will cooperate with a view to settling them amicably in a timely fashion. </t>
  </si>
  <si>
    <t xml:space="preserve">E.	     Security and Confidentiality.	     Each party commits to implementing appropriate technical and organizational measures to ensure and to be able to demonstrate that processing is performed in accordance with applicable data protection regulations. </t>
  </si>
  <si>
    <t>G.	     Transparency.	     Each party shall make available to the other party all information necessary to demonstrate compliance with its obligations under these clauses.</t>
  </si>
  <si>
    <t xml:space="preserve">22.	     FORCE MAJEURE                           </t>
  </si>
  <si>
    <t>A.	     In the event of force majeure circumstances, the party affected by and claiming force majeure shall notify the other party in writing within seven (7) working days of the existence of such circumstances, specifying the effect of those circumstances on the party’s ability to perform its obligations hereunder. Upon receipt of notice of force majeure conditions, the party affected and claiming force majeure shall be excused from its obligations, excepting obligations for payment, under this Contract to the extent of and for the duration of the disability.</t>
  </si>
  <si>
    <t>C.	     In the event that Carrier is prohibited by the U.S. Customs Service, or other governmental entity,  from loading or unloading some or all of the Cargo on a particular vessel and such prohibition is not due to any act or omission of Carrier, then such prohibition shall constitute an event that shall relieve Carrier from responsibility for any and all delay, damage, injury and expense suffered or incurred as a result thereof including, but not limited to, breaches of service commitments and/or transit time guarantees. All extra charges or expenses incurred as a result of such prohibition are for Merchant’s account.</t>
  </si>
  <si>
    <t>23.	     INSURANCE</t>
  </si>
  <si>
    <t>24.	    LAW AND JURISDICTION</t>
  </si>
  <si>
    <t>25.	     TERMINATION</t>
  </si>
  <si>
    <t>26.	     CONFIDENTIALITY</t>
  </si>
  <si>
    <t>27.	     ASSIGNMENT</t>
  </si>
  <si>
    <t>A.	     Merchant may not assign this Contract, including any or all its rights or liabilities hereunder, or to otherwise permit any other person or entity, directly or indirectly to utilize services, rates, or other terms provided by Carrier hereunder, without the prior written consent of Carrier.</t>
  </si>
  <si>
    <t>28.	     WRITTEN NOTICE</t>
  </si>
  <si>
    <t>Written notice by either party shall be deemed to have been duly served on the other party if delivered in person or by registered mail, courier or electronic mail to the other party’s address on the signature page of this Contract or, if such has been changed subsequent to the execution of this Contract, to the last business address known to the party serving notice.</t>
  </si>
  <si>
    <t>Merchant Name:</t>
  </si>
  <si>
    <t>Term 4                                                                                         MQC:</t>
  </si>
  <si>
    <t>Term 8                                                         Contract Effective Date:</t>
  </si>
  <si>
    <t>Term 8                                                       Contract Expiration Date:</t>
  </si>
  <si>
    <t xml:space="preserve">Term 2                                                                           Merchant Name: </t>
  </si>
  <si>
    <t>TERM 6</t>
  </si>
  <si>
    <t>TERM 3</t>
  </si>
  <si>
    <t>2.	     MERCHANT</t>
  </si>
  <si>
    <t>3.	     MERCHANT’S AFFILIATES</t>
  </si>
  <si>
    <t xml:space="preserve">4.	     MERCHANT’S MINIMUM QUANTITY COMMITMENT </t>
  </si>
  <si>
    <t xml:space="preserve">5.	     CARRIER’S SERVICE COMMITMENTS </t>
  </si>
  <si>
    <t xml:space="preserve">6.	     CONTRACT RATES </t>
  </si>
  <si>
    <t>7.	     GOVERNING TARIFFS</t>
  </si>
  <si>
    <t>8.	     DURATION OF THE CONTRACT</t>
  </si>
  <si>
    <t xml:space="preserve">This Contract shall commence on the Effective Date and shall expire on the date shown on the cover page, unless earlier terminated in accordance with the terms hereof.   </t>
  </si>
  <si>
    <t>IN WITNESS WHEREOF, THE PARTIES HERETO HAVE EXECUTED THIS AMENDMENT  TO THE SERVICE CONTRACT, WHICH SHALL BECOME EFFECTIVE AS OF THE DATE OF FILING WITH THE FEDERAL MARITIME COMMISSION.</t>
  </si>
  <si>
    <t>Merchant, and each of its Affiliates, warrants that neither the Merchant, nor any of its Representatives: 
i.	     has been subject to an investigation or been convicted of or pleaded guilty to an offense involving fraud, money-laundering, corruption or business ethics; or
ii.	     is listed by any government authorities as debarred, suspended or otherwise ineligible for government procurement programs.</t>
  </si>
  <si>
    <t>(VAS) Serenity Container Guarantee Origin</t>
  </si>
  <si>
    <t>DTC03</t>
  </si>
  <si>
    <t>DTC04</t>
  </si>
  <si>
    <t>(VAS) Serenity Container Guarantee Destination</t>
  </si>
  <si>
    <t>Serenity Cont Guarantee Destination</t>
  </si>
  <si>
    <t>Serenity Cont Guarantee Origin</t>
  </si>
  <si>
    <t>Name, Title, Phone, Electronic Mail Address</t>
  </si>
  <si>
    <t>Name:
Title:
Phone:
Email:</t>
  </si>
  <si>
    <t>Panama Canal Adj Factor</t>
  </si>
  <si>
    <t>CAN20</t>
  </si>
  <si>
    <t>Priority Inland Service</t>
  </si>
  <si>
    <t>Priority Inland Service (VAS)</t>
  </si>
  <si>
    <t>GUA10</t>
  </si>
  <si>
    <t>CTR Maintenance Dest</t>
  </si>
  <si>
    <t>Container Maintenance Charge Destination</t>
  </si>
  <si>
    <t>CTR34</t>
  </si>
  <si>
    <t>Container Maintenance Charge Origin</t>
  </si>
  <si>
    <t>CTR Maintenance Orig</t>
  </si>
  <si>
    <t>Reefer Pharma PTI</t>
  </si>
  <si>
    <t>FRT14</t>
  </si>
  <si>
    <t>SEAPRIORITY GET</t>
  </si>
  <si>
    <t>Bio Security Fee - HI</t>
  </si>
  <si>
    <t>Bio Security Facilitation Fee - HI</t>
  </si>
  <si>
    <t>SUR57</t>
  </si>
  <si>
    <t>Bio Security Fee - NZ</t>
  </si>
  <si>
    <t>Bio Security Facilitation Fee - NZ</t>
  </si>
  <si>
    <t>The individual signing this Contract on behalf of the Merchant represents and warrants that he or she is empowered and duly authorized to bind the Merchant to this Contract according to its terms.</t>
  </si>
  <si>
    <t>The individual signing this Amendment on behalf of the Merchant represents and warrants that he or she is empowered and duly authorized to bind the Merchant to this Amendment according to its terms.</t>
  </si>
  <si>
    <t>CV Serenity 1 Collect</t>
  </si>
  <si>
    <t>CV Serenity 2 Collect</t>
  </si>
  <si>
    <t>CV Serenity 3 Collect</t>
  </si>
  <si>
    <t>CV Serenity Personal Collect</t>
  </si>
  <si>
    <t>Cargo Value Serenity 1 Collect</t>
  </si>
  <si>
    <t>Cargo Value Serenity 2 Collect</t>
  </si>
  <si>
    <t>Cargo Value Serenity 3 Collect</t>
  </si>
  <si>
    <t>Cargo Value Serenity Personalized Collect</t>
  </si>
  <si>
    <t>Local Port Charge Dest Sanitary Fee</t>
  </si>
  <si>
    <t>Local Port Charge Destination Sanitary Fee</t>
  </si>
  <si>
    <t>Local Port Charge Orig Sanitary Fee</t>
  </si>
  <si>
    <t>Local Port Charge Origin Sanitary Fee</t>
  </si>
  <si>
    <t>PSS5</t>
  </si>
  <si>
    <t>Peak Season Surcharge 5</t>
  </si>
  <si>
    <t>PSS05</t>
  </si>
  <si>
    <t>Premium Customer Service Dest</t>
  </si>
  <si>
    <t>Premium Customer Service Destination</t>
  </si>
  <si>
    <t>Premium Customer Service Origin</t>
  </si>
  <si>
    <t>Precarriage Congestion</t>
  </si>
  <si>
    <t>PreCarriage Congestion</t>
  </si>
  <si>
    <t>CAR31</t>
  </si>
  <si>
    <t>ENV04</t>
  </si>
  <si>
    <t>ENV02</t>
  </si>
  <si>
    <t>ENV00</t>
  </si>
  <si>
    <t>Fumigation</t>
  </si>
  <si>
    <t>CTR40</t>
  </si>
  <si>
    <t>Oncarriage Congestion</t>
  </si>
  <si>
    <t>OnCarriage Congestion</t>
  </si>
  <si>
    <t>CAR81</t>
  </si>
  <si>
    <t>Export Seal Fee</t>
  </si>
  <si>
    <t>1 CMA CGM Way</t>
  </si>
  <si>
    <t>Sr. Director, Bids and Contracting</t>
  </si>
  <si>
    <t>Brazil Exp Doc Fee</t>
  </si>
  <si>
    <t>Brazil Imp Doc Fee</t>
  </si>
  <si>
    <t>Import BL Documentation Fee - Brazil only</t>
  </si>
  <si>
    <t>DA044</t>
  </si>
  <si>
    <t>DA012</t>
  </si>
  <si>
    <t>DA001</t>
  </si>
  <si>
    <t>DA002</t>
  </si>
  <si>
    <t>Term Gate Out</t>
  </si>
  <si>
    <t>Terminal Gate Out Fee</t>
  </si>
  <si>
    <t>FEW70</t>
  </si>
  <si>
    <t>Container Cleaning Dest</t>
  </si>
  <si>
    <t>Container Cleaning Surcharge Destination</t>
  </si>
  <si>
    <t>Container Cleaning Orig</t>
  </si>
  <si>
    <t>Container Cleaning Surcharge Origin</t>
  </si>
  <si>
    <t>CTR66</t>
  </si>
  <si>
    <t>Container Grade Service</t>
  </si>
  <si>
    <t>CTR39</t>
  </si>
  <si>
    <t>HW</t>
  </si>
  <si>
    <t>LAX-LGB</t>
  </si>
  <si>
    <t>In witness whereof, the parties hereby agree to ratify any electronic signatures and be bound by the terms and conditions of this Contract by signature of their duly authorized representatives, set forth below.</t>
  </si>
  <si>
    <t>12.	     CARRIER HAULAGE AND MERCHANT HAULAGE MOVES</t>
  </si>
  <si>
    <t>D.	     Where demurrage is charged and/or collected by Carrier, the foregoing provisions in Sections 14(B.) and 14(C.) applicable to detention shall likewise apply to demurrage.</t>
  </si>
  <si>
    <t>30.	     COUNTERPARTS</t>
  </si>
  <si>
    <t xml:space="preserve">Carrier will accept an Electronic Signature (a digital copy of a signature in place of a handwritten signature) or Electronic Endorsement (email acknowledgment and acceptance) in substitution of an original “pen and ink” endorsement on approved Service Contracts (including amendments).
</t>
  </si>
  <si>
    <t>Merchant may identify persons authorized to submit Electronic Signature or Electronic Endorsement for Service Contracts, including the authorized person’s full name, title, electronic mail address and telephone number.   Unless Merchant identifies specific individuals authorized to approve Service Contracts, any individual who purports to be a representative of the Merchant may accept the Contract on behalf of the Merchant and in doing so represents and warrants that he or she is empowered and duly authorized to bind the Merchant to the Service Contract, according to its terms.</t>
  </si>
  <si>
    <t>Merchant must notify the Carrier in writing if it does not authorize any of its representatives to use Electronic Signature or Electronic Endorsement.</t>
  </si>
  <si>
    <t>Weight Charge</t>
  </si>
  <si>
    <t>EQ019</t>
  </si>
  <si>
    <t>Port Access Fee Origin</t>
  </si>
  <si>
    <t>Port Access Fee Destination</t>
  </si>
  <si>
    <t>POR54</t>
  </si>
  <si>
    <t>For shipments from the U.S. to Latin, Central or South America, Carrier, upon Merchant’s formal request at time of booking and consignee’s confirmation, may issue original Bills of Lading (“OBLs”), excluding Bills of Lading issued to order, and release the OBLs directly to the named consignee at destination.  Merchant shall waive any and all rights to claim the delivery of the OBLs and/or to contest the release of the OBLs to the consignee or to claim any damages in connection with said release.  Merchant shall indemnify, defend and hold harmless Carrier, its agents, subcontractors and/or servants, immediately and upon first demand, against any and all claims, damages or liabilities arising either directly or indirectly by reason of the release of the OBL to the consignee, including any delay or failure of the consignee or the holder of the OBL to take delivery of the OBL and/or the cargo.  Even if OBL is released at destination, Merchant hereby confirms having read and approved the full terms and conditions stated in the Bill of Lading, including all mentions whether handwritten, typed, printed or stamped, and confirm that these terms and conditions shall apply and fully bind Merchant.</t>
  </si>
  <si>
    <t>Purchasing Power Rebate</t>
  </si>
  <si>
    <t>REB02</t>
  </si>
  <si>
    <t>Terminal Yard Moves</t>
  </si>
  <si>
    <t>TY001</t>
  </si>
  <si>
    <t>Term Weighing Origin</t>
  </si>
  <si>
    <t>Term Weighing Destination</t>
  </si>
  <si>
    <t>Terminal Weighing Origin</t>
  </si>
  <si>
    <t>Terminal Weighing Destination</t>
  </si>
  <si>
    <t>WEI10</t>
  </si>
  <si>
    <t>WEI20</t>
  </si>
  <si>
    <t>B.	        Merchant  agrees to give twenty-one (21) days’ booking notice, if possible, but not less than fourteen (14) days to Carrier for the carriage of its Cargo, so as to assist Carrier in making space available on specific vessels. At the time of booking, Merchant shall make reference to the unique contract number assigned to this Contract. Merchant agrees that all Cargo tendered under this Contract shall be rated hereunder and shall not be subject to any other volume discounts, volume rates or other volume incentive program offered by Carrier. Merchant agrees that to the extent feasible, Cargo committed under this Contract will be shipped evenly throughout the duration of the Contract.</t>
  </si>
  <si>
    <t>C.	       Carrier  and Merchant recognize that breach of the MQC causes not only loss of freight to Carrier but also instability, adverse impact on Carrier’s marketing, logistics, and stowage planning and that a precise quantification of these damages is difficult to calculate.  Accordingly, in order to avoid the difficulty and expense of proving actual losses, the parties agree that in lieu of all damages relating to the obligations of Merchant with respect to the MQC, liquidated damages shall be assessed as follows: If Merchant fails to tender the MQC specified in this Contract, Carrier may invoice Merchant liquidated damages on the difference between the quantity of containers actually shipped and the MQC at the rate of U.S.$250 per Twenty-Foot Equivalent Unit (“TEU”). The total of any amounts invoiced hereunder shall be paid directly to Carrier within thirty (30) days from date of invoice.</t>
  </si>
  <si>
    <t xml:space="preserve">B.	     In the event that Carrier is unable to carry cargo for which the Merchant has given sufficient notice as specified herein, the MQC will automatically be reduced by the quantity of containers tendered but not carried.  Said reduction shall be applied by Carrier automatically at the end of the Contract term, and Merchant consents to Carrier filing an amendment to this Contract with the FMC reflecting the reduced MQC, without any further signature or consent of Merchant.   </t>
  </si>
  <si>
    <t>A.	     Carrier agrees to make available vessel capacity adequate to carry the MQC specified herein.  The movement of Cargo on specific vessels shall be on a space available basis only.</t>
  </si>
  <si>
    <t xml:space="preserve">C.	     The reduction in MQC herein shall be the exclusive remedy available to Merchant for Carrier’s failure to provide space or to comply with Carrier service commitment as stated herein.  </t>
  </si>
  <si>
    <t>A.	        This Contract applies with respect to the transportation of Merchant's and its Affiliates’ (as defined herein) commodities (the “Cargo”) listed in one or more appendices attached hereto (the "Appendix" or “Appendices”) between the origin and destination locations listed in any Appendix.  This Contract, its Appendices and exhibits thereto, together with the terms and conditions of Carrier’s standard form bill of lading (including sea waybills, the “Bill of Lading”), Carrier’s governing tariff(s) and the Carrier’s standard credit terms (if applicable), each as in effect on the date the Cargo is received, embody the entire understanding between the parties.  There are no other agreements, understandings, conditions, warranties or representations, oral or written, express or implied, with reference to the subject matter of this Contract, which are integrated herein.  No modification of this Contract or waiver of any of its terms or conditions shall be of any force or effect unless made in a writing signed by both parties.  In the event of any conflict among the terms and conditions of this Contract, the Bill of Lading and the Carrier’s applicable tariff(s), the order of governance shall be, first, the Bill of Lading, second, this Contract, and third, the tariff(s).</t>
  </si>
  <si>
    <t>B.	     Notwithstanding anything to the contrary contained herein, Carrier shall not be liable or responsible to the Merchant or its Affiliates for any consequential, incidental, special, or punitive damages, or for loss of profits or revenues incurred by Merchant or its affiliates that arise out of or relate to this Contract or any booking. The Carrier does not undertake that the Goods or Containers or other packages shall arrive at the port of discharge or place of delivery at any particular time or to meet any particular market or use, and the Carrier shall in no circumstances be liable for any direct, indirect or consequential loss or damage caused by delay or any other cause.</t>
  </si>
  <si>
    <t>C.	     For purposes of determining whether a shipment is made during the term of this Contract, the date when the Cargo is received by Carrier, its sub-contractor, or agent shall govern.  Cargo shall not be considered as “received” until the full Bill of Lading quantity has been received by Carrier, its sub-contractor or agent.  Carrier's duties and responsibilities under this Contract shall commence when Carrier, its sub-contractor, or agent takes possession and control of Merchant's Cargo or and shall end when Carrier, its sub-contractor, or agent delivers Merchant's Cargo at the port or place of delivery designated on the Bill of Lading or imposed by specific circumstances.</t>
  </si>
  <si>
    <t xml:space="preserve">A.	     The term “Merchant” means the entity signing this Contract and its affiliates and subsidiaries named on the signature page thereof or listed in any Appendix to this Contract (the “Affiliates”).  The person signing this Contract on behalf of Merchant warrants and represents that he or she has authority to enter into this Contract on behalf of Merchant and its Affiliates.  </t>
  </si>
  <si>
    <t>B.	     Merchant, whether a BCO, NVOCC, Shipper's Association, or other entity, is entering into this Contract as an independent contractor and in no event shall be considered an agent of Carrier, either under this Contract or Carrier’s Bill of Lading.  Notwithstanding anything to the contrary, Merchant signing the Contract remains fully responsible for the complete performance of this Contract. The Affiliates of Merchant, or any third parties entitled to use the Contract, shall be jointly and severally liable for the said performance.</t>
  </si>
  <si>
    <t xml:space="preserve">C.	     In the event Merchant certifies itself as an NVOCC and subsequently its license, tariff, and/or bond is suspended or cancelled, Carrier may unilaterally terminate this Contract with immediate effect upon written notice to Merchant.  Alternatively, and in its sole discretion, Carrier may by written notice to Merchant suspend performance of the Contract until such time as Merchant demonstrates to Carrier’s satisfaction that Merchant meets all Shipping Act and FMC licensing, tariff, and financial responsibility requirements.  In the event Carrier elects to terminate this Contract or suspend performance as provided under this paragraph, the Merchant’s MQC shall be reduced either i) in proportion to the amount of time remaining before the expiration of the Contract or, ii) in proportion to the duration of the suspension. </t>
  </si>
  <si>
    <t>A.	     Merchant warrants and represents that all entities identified as Affiliates are under at least 50% common ownership or control by reason of being a parent and subsidiary or entities associated with, under common control with, or otherwise related to Merchant through common stock ownership or common directors or officers. Merchant will provide reasonable evidence to prove common ownership or control of the Affiliates, upon request of Carrier.</t>
  </si>
  <si>
    <t xml:space="preserve">B.	     For a Merchant certifying as a Shipper's Association, all members entitled to use this Contract must be listed in the Affiliate Appendix attached hereto.   </t>
  </si>
  <si>
    <t>A.	     Merchant agrees to tender for shipment on vessels of Carrier during the term of this Contract a MINIMUM quantity of containers as stated in the attachments hereto (hereinafter referred to as the “Minimum Quantity Commitment” or “MQC”).  The volume tendered by Merchant in excess of the MQC will be subject to Carrier’s approval at time of booking.  Should Merchant fulfill the above noted MQC prior to the Contract expiration, Carrier reserves the right to terminate the Contract with immediate effect.</t>
  </si>
  <si>
    <t xml:space="preserve">B.	     If rates are increased through application of this paragraph at any time during the term of the Contract, Merchant may in its discretion (i) request a negotiation in good faith regarding a reduction of the increase in the Contract rates, or (ii) terminate the Contract upon thirty (30) days’ written notice to Carrier.
</t>
  </si>
  <si>
    <t xml:space="preserve">C.	     For rates to or from ports within the European Economic Area (the “EEA”), Carrier may request to increase the rates at any time during the term of this Contract, upon thirty (30) days prior written notice to Merchant.  The increased rates shall be applied by Carrier automatically and Merchant consents to Carrier filing an amendment to this Contract reflecting the new rates, without any further signature or consent of Merchant.  However, Merchant may, in its discretion, choose to either: (i) request a negotiation in good faith regarding a reduction of the increase in the Contract rates; or (ii) remove the affected rates from the Contract upon thirty (30) days’ written notice to Carrier.
</t>
  </si>
  <si>
    <t>A.	     Except as may otherwise be provided in this Contract, all shipments moving hereunder shall be subject to all other rules, terms, conditions, charges and surcharges set forth in Carrier’s governing tariff(s) and in effect on the date Carrier, its sub-contractor, or agent receives Cargo.</t>
  </si>
  <si>
    <t>Merchant shall not tender to Carrier any Military and U. S. Government Agency Household Goods, U.S. flag impelled government and/or military Cargo, U.S. government sponsored Cargo, Humanitarian Aid/Emergency Relief Cargo, and Project Cargo of the type described in CFR 520.2 (collectively “U.S.-flag Government Impelled Cargo).  If Carrier has reason to suspect that Merchant has tendered U.S.-flag Government Impelled Cargo to Carrier under this Contract, Merchant shall allow Carrier to audit Merchant’s documentation related to such shipments, including but not limited to any house bills of lading, commercial invoices, and packing lists related thereto.  Shipments found to be in violation of this rule will be subject to a liquidated damage as set forth in Carrier’s governing tariff(s), and all other tariff terms and conditions will also apply to the shipment.</t>
  </si>
  <si>
    <t xml:space="preserve">A.	     Merchant or one of its Affiliates must appear as shipper or consignee on the Bill of Lading.  Merchant or its Affiliate may only appear solely as "Notify" party on the Bill of Lading if the Bill of Lading is consigned "To Order."
</t>
  </si>
  <si>
    <t xml:space="preserve">C.	     If Merchant has certified itself to be an NVOCC, Carrier reserves the right to perform an audit of all shipments made under this Contract.  Upon a request from Carrier, Merchant shall provide documentation to evidence that Merchant was acting as an NVOCC for all shipments made under this Contract and that any shipments made using a rate for a named account were performed on behalf of the named account.  If Merchant fails to provide this information to Carrier within fourteen (14) days after request, Carrier may terminate the Contract for cause and liquidated damages may be assessed according to Section 4 hereof.  
</t>
  </si>
  <si>
    <t>A.	     If Carrier has agreed to provide drayage services as part of a through Bill of Lading to or from the port of loading or discharge, container yard or rail ramp (as applicable) from or to the Merchant’s door (a “Carrier Haulage Move”), the service includes one round trip dray to/from Merchant's facility (door).  “Drop and Pick” service may be provided as part of the Carrier Haulage Move, in accordance with Carrier's governing tariff(s).  If an uneven flow of full and empty containers to/from the Merchant's facility requires additional drayage to be performed, all additional costs will be for the Merchant's account.</t>
  </si>
  <si>
    <t>B.	     If for any Carrier Haulage Move utilizing one of Carrier’s house motor carriers, Carrier is unable to perform the Carrier Haulage Move for any of Merchant’s Cargo for any reason prior to its last demurrage free day, then on or before the last demurrage free day Carrier shall notify Merchant of its inability to perform the Carrier Haulage Move and will provide Merchant with an additional 24 hours of demurrage free time.  Merchant shall then have the option to either: i) ask Carrier to hold the Cargo at the port, container yard or rail ramp (as applicable) after the expiration of free time with all additional costs, including but not limited to increased drayage costs, storage, detention and demurrage, relating to the Cargo to be solely for Merchant’s account; or ii) convert the transportation from a Carrier Haulage Move to a port, container yard or rail ramp delivery (as applicable, a “Merchant Haulage Move”) at Merchant’s sole cost and expense.  In case Merchant chooses option ii, no change of destination fee will be applicable and the port, container yard or rail ramp where the Cargo is delivered will be considered the final place of delivery (“FPD”) for the Cargo and Carrier shall bill Merchant at the rate applicable to the new FPD if one is available in this Contract.  In case no rate applicable to the new FPD is available in this Contract, Carrier shall rate the shipment per the applicable through-rate included in this Contract, and then credit the Merchant’s account in the amount Carrier would have paid its house motor carrier to perform the drayage services as a Carrier Haulage Move, as full compensation for Merchant’s cost in procuring transportation services for the Merchant Haulage Move.</t>
  </si>
  <si>
    <t>C.	     Notwithstanding any other provision of this Contract, if Carrier agrees to utilize Merchant’s preferred motor carrier for a Carrier Haulage Move, and Merchant’s nominated motor carrier is unable to perform the Carrier Haulage Move for any of Merchant’s Cargo for any reason prior to its last demurrage free day, Carrier reserves the right to: (i) nominate a house motor carrier to perform the Carrier Haulage Move; or (ii) convert the transportation service to a Merchant Haulage Move.   In either case, all additional costs, including but not limited to increased motor carrier costs, storage, detention, and demurrage, relating to the Cargo shall be solely for Merchant’s account.</t>
  </si>
  <si>
    <t xml:space="preserve">D.	     For live-unload Carrier Haulage Moves, Merchant will be charged a driver wait time fee if the driver’s wait time at the Merchant’s facility exceeds the amount allowed, as stated in Carrier’s governing tariff(s).  </t>
  </si>
  <si>
    <t>E.	     Any change to Carrier’s applicable published tariff(s) regarding Merchant Haulage Moves shall be effective and applicable immediately upon filing of same.</t>
  </si>
  <si>
    <t>B.	     Carrier may – at its sole discretion – provide a chassis at any U.S. location subject to a Chassis Provision Charge (CPC) as per Carrier’s governing tariff(s) or Appendix attached hereto.  Carrier reserves the right to suspend or terminate the availability of chassis at any facility or location at any time.</t>
  </si>
  <si>
    <t>A.	     The terms “Free Time”, “Detention”, “Demurrage”, “Storage” and “Per Diem” shall have the meaning as defined in Carrier’s governing tariffs.  Detention and demurrage free time and per diem charges for shipments made under this Contract shall be applied as per Carrier’s governing tariff(s), unless otherwise stated in Term 101 of the Appendices attached hereto.  In either case, detention per diem charges will be invoiced as follows:</t>
  </si>
  <si>
    <t xml:space="preserve">B.	     Carrier will first bill any detention charges to the shipper and/or consignee shown on the Bill of Lading for direct payment.  Notwithstanding the foregoing, and without waiving its right to collect from the shipper or consignee, Carrier reserves the right to instead collect detention charges from the motor carrier directly.
In all cases, the shipper and consignee shown on the Bill of Lading are jointly and severally responsible for detention per diem charges.  </t>
  </si>
  <si>
    <t>At Carrier’s discretion, the term “Ramp” may be defined as either a container yard operated by the railroad adjacent to a railroad siding or an alternative container yard within the same metropolitan area.  In either case, storage fees assessed by railroad or container yard operators will apply, and Carrier’s governing tariff(s) related to such storage fees (including rail demurrage) will apply.</t>
  </si>
  <si>
    <t>In the event Merchant requests for Carrier to provide it with a certain number of empty containers and, if applicable, chassis (referred to collectively in this Section 18 as the “Equipment”), to be transported by Merchant and stored at its owned or operated facility for use on future bookings with Carrier (a “Merchant Pool”), and Carrier agrees to provide Equipment for use in Merchant Pool, the following conditions will apply:</t>
  </si>
  <si>
    <t xml:space="preserve">i.	     Merchant, for itself, its agents, employees, representatives and its and their motor or rail carriers, shall comply with all applicable rules, regulations, laws and ordinances related to Merchant’s use of the Equipment which is included in Merchant Pool, including the loading, unloading and transportation of Cargo.  Additionally, Merchant will only allow interchange of Equipment to or from Merchant Pool to motor carriers who have executed and continue to maintain a Uniform Intermodal Interchange Agreement (UIIA) on file with the Intermodal Association of North America (IANA), and who meet the requirements of Carrier’s UIIA Addendum Agreement.  At Carrier’s request, Merchant shall provide a written indemnification of the motor carrier’s license with the IANA and the motor carrier’s written guarantee of its adherence to all applicable IANA rules and regulations.   </t>
  </si>
  <si>
    <t>ii.	     Merchant shall take all reasonable care to protect the Equipment from, loss, damage, destruction, or theft while the Equipment is in Merchant’s, its agent’s, employee’s, representative’s or motor carrier’s possession or control.  Merchant shall indemnify, defend and hold harmless Carrier, its agents, affiliates and subsidiaries from and against any and all damages, claims, costs, penalties, expenses or fees (including reasonable attorney’s fees) as they relate to the use of the Equipment by Merchant, its agents, employees, representatives and its or their motor carriers.  Without limiting the foregoing, this indemnification obligation shall include, but is not limited to, bodily injury or death, property damage, freight claims, storage charges, ways of lading, released valuation, adherence to all port rules and requirements, and all claims, losses and damages resulting from the failure of any motor carrier to have a UIIA on file, including attorney’s fees and costs, and agrees to indemnify, defend, and hold harmless Carrier from any fines, damages, costs or causes of action which may result from its motor carrier’s failure to adhere to the IANA rules and regulations.</t>
  </si>
  <si>
    <t>A.	     Merchant undertakes to comply with all applicable laws, regulations and rules including, but not limited to, those relating to competition matters, applicable customs regulations and compliance and ethics mandates set forth below.  Merchant shall assure that all of its owners, directors, officers, employees, agents, subcontractors and representatives (for purposes of this Section 20, referred to as "Representatives") shall likewise comply with such applicable laws, regulations and rules. Merchant further warrants that it, and all of its Representatives shall at all times fully comply with the CMA CGM Group Third Party Code of Conduct, a copy of which is available on the CMA CGM Group corporate website.</t>
  </si>
  <si>
    <t xml:space="preserve">B.	     Economic Sanctions – Embargos.	   Merchant, for itself and each of its Affiliates, warrants it (they) will comply with all restrictions and / or prohibitions of commercial transactions under statute, regulation, rule, or other such rulings published by a relevant governmental entity, including but not limited to the United States, European Union, the United Nations, and / or any country which Cargo may be transported under this Contract to, from, through or over.    Merchant further warrants and represents that no entity named as an Affiliate herein has been identified and/or listed by the United States, European Union, or United Nations as a “Blocked Person,” “Denied Person,” or “Specially Designated National,” or is otherwise subject to prohibition of commercial transactions under statute, regulation, rule or other rulings published by the United States, European Union, or United Nations. </t>
  </si>
  <si>
    <t>C.	     Anti-Corruption Laws.	Merchant, for itself and each of its Affiliates, represents and warrants to comply with the provisions of the United Nations Convention against corruption (2005), the U.S Foreign Corrupt Practices Act of 1977 and the UK Bribery Act of 2010 and other analogous anti-corruption legislation in other jurisdictions where the parties do business or which otherwise apply to the parties (hereinafter referred to as the “Anti-Corruption Laws”). 
For purposes of this Section 20(C), "Person" means any physical or legal person, including but not limited to any government official or employee of a government agency or government owned business or a person employed or functioning in the private sector.</t>
  </si>
  <si>
    <t xml:space="preserve">Merchant, and each of its Affiliates, represents, warrants, and undertakes that it and all of its Representatives will not:
i.	          give, or offer to give, directly or indirectly, money or anything else of value in any form to any Person to secure a business advantage, to obtain or retain business or to direct business to or away from any Person to benefit the Merchant, or any Affiliate,
ii.	          accept, receive or agree to accept or receive, directly or indirectly, any money, or anything else of value in any form, from any Person, to secure a business advantage, to obtain or retain business or to direct business to any Person or away from any Person to benefit the Merchant or any Affiliate; and
iii.	          provide any facilitation (“grease”) payment to any government official or employee of a government agency (including government-owned businesses) to expedite routine government actions that the official or employee is already bound to perform. </t>
  </si>
  <si>
    <t xml:space="preserve">Merchant, and each of its Affiliates, shall, at its own cost, maintain adequate and accurate books and records that accurately and fairly reflect transactions and asset disposals with respect to Merchant’s performance of its obligations under this Contract, including records of payments made by or to, and expenses incurred by the Carrier in relation to this Contract, and shall retain these records until the later of i) two (2) years after expiry or termination of this Contract, or ii) as required by applicable laws. </t>
  </si>
  <si>
    <t>D.	     Labor and Sustainability.		     Merchant, for itself and each of its Affiliates, represents and warrants to observe internationally accepted treaties relating to the protection of human rights; observe conditions of labor not less favourable than those conditions established by applicable laws; not use child or forced labor; and not engage in any activity which amounts to discrimination on the basis of race, ethnicity, color, national origin, sex, disability, veteran status or age.
Merchant, for itself and each of its Affiliates, further represents and warrants to comply with all applicable health, safety, and environmental regulations, including systemic risk assessment and prevention measures, notably but not limited to the following policies: personal protective equipment, injury/illness management, adequate training and competencies, hazardous/dangerous substances management, prevention of significant pollution risks (soil, air, water, etc.), responsible use of materials and energy.</t>
  </si>
  <si>
    <t xml:space="preserve">B.	     Lawfulness of Processing.	     Merchant and Carrier commit to satisfy the necessary condition of lawfulness for the collection, the processing and the transfer of personal data in accordance with applicable data protection laws.  Carrier processes the data in accordance with the CMA CGM Group Binding Corporate Rules, a copy of which is available on the CMA CGM Group corporate website. </t>
  </si>
  <si>
    <t xml:space="preserve">Carrier shall obtain and maintain, throughout the term of this Contract and at its sole expense and discretion, insurance coverage as per international and/or national regulations, with limits consistent with standard market practices.   Carrier may subscribe such insurance with members of the International Group of P&amp;I Clubs or any other underwriter providing equivalent insurance conditions.
</t>
  </si>
  <si>
    <t>This Contract shall be subject to the U.S. Shipping Act of 1984, as amended by the Ocean Shipping Reform Act of 2022 (“OSRA”) and shall otherwise be construed and governed in accordance with the law of the Commonwealth of Virginia without regard to its conflict of laws provisions. Disputes arising under or relating to this Contract shall be brought in the United States District Court for the Eastern District of Virginia, except that Carrier may choose to bring suit for claims and actions for the collection of freight or other charges anywhere the Merchant is located. Notwithstanding the foregoing, the resolution of any and all claims for the loss or damage of cargo shall be governed by the applicable law, jurisdiction, and choice of forum identified within the Carrier’s Bill of Lading. Merchant agrees to submit to the jurisdiction of these courts.</t>
  </si>
  <si>
    <t>A.	     Except as otherwise provided, this Contract may be terminated by mutual agreement at any time.</t>
  </si>
  <si>
    <t>C.	     Either party may terminate this Contract, with cause after giving thirty (30) days’ notice for breaches of any term of this Contract if such breach has not been cured within the thirty (30) day period after receiving notice of the breach.</t>
  </si>
  <si>
    <t xml:space="preserve">B.	     Carrier may terminate this Contract, with cause and immediately upon written notice: i) as a result of Merchant’s non-compliance with respect to any representation or warranty, including, but not limited to:  expiry, termination, or other invalidation of  a Bond or License of an NVOCC-certifying Merchant has expired, been terminated, or otherwise invalidated by the FMC; a BCO-certifying Merchant markets, sells, assigns, or allows use of  this Contract by entities not designated as Affiliates; ii) due to Merchant’s violation or alleged violation of any applicable law; iii) if Merchant is in breach of Carrier’s payment terms; or iv) if Merchant suffers a material adverse change in its financial condition at any time during the Contract period or defaults, or suffers an event that with the passage of time would constitute a default, in respect of any obligation for borrowed money, whether as a borrower, guarantor or otherwise. 
</t>
  </si>
  <si>
    <t>A.	     Unless authorized in writing by mutual agreement, neither party will disclose the Contract terms and conditions, nor the other party's personal or commercial information, nor Contract performance data,  other than to its employees, agents, Carrier’s affiliates or permitted assignees, tariff filers, or auditors, with the exception of the Contract terms and conditions or information that are:
i.	      Required to be disclosed by law or judicial or administrative order;
ii.	     Disclosed to any person participating with Carrier in the transportation under the Contract or receiving copies of the Bill of Lading for contact purposes;
iii.     Operational or booking data disclosed to global digital supply chain platforms including NYSHEX;
iv.	     Incorporated herein by reference in Carrier’s published tariff(S);
v.	     Without identifying the other party, disclosed in a report, analysis or study of rates or conditions in the trade covered by this Contract;
vi.	     Disclosed to the secretariat of another member of the FMC agreement;
vii.	     Previously disclosed to an authorized third party; or 
viii.	    Used in connection with collection of a debt from Merchant.</t>
  </si>
  <si>
    <t>B.	     In no case will Merchant or Carrier disclose the terms and conditions of the Contract to another Carrier in the trade.</t>
  </si>
  <si>
    <t>B.	     Carrier may assign its rights under this Contract and subcontract any portion of carriage, whether ocean or intermodal or otherwise, for Cargo carried under its Bill of Lading.</t>
  </si>
  <si>
    <t>29.	     INVOICING AND PAYMENT</t>
  </si>
  <si>
    <t xml:space="preserve">A.	     	All charges payable to the Carrier in accordance with this Contract, including without limitation, storage, demurrage, detention and reefer services (the “Freight”) due from the Merchant or its Affiliates under this Contract shall be payable to the Carrier or its agents according to specific terms provided for in the relevant invoice.   If Carrier has granted credit to Merchant, such credit shall be subject to and in accordance with the attached Credit Addendum.  Such payments shall be paid directly to Carrier by electronic funds transfer and shall reference both this Contract and the Carrier’s invoice numbers.  For each payment the Merchant shall forward a separate remittance advice outlining which invoices are included.  Payment shall not be effective until the amount of the payment is unconditionally and irrevocably transferred to and at the effective disposal of the Carrier. In no circumstance whatsoever shall the Merchant or its Affiliates be released from their payment obligations to the Carrier should the payment be made to any other party, including without limitation the Merchant’s or its Affiliate’s freight forwarders or agents.  </t>
  </si>
  <si>
    <t>B.     Any sum payable to Carrier shall be paid in United States Dollars or at the Carriers’ option, written on the invoice, in its equivalent amount in the currency applied in the country of the Merchant.</t>
  </si>
  <si>
    <t>D.     	The Merchant and its listed Affiliates undertake and warrant that they shall not offset or deduct any payment whatsoever due under this Contract with any amount which is due or allegedly due to them by the Carrier.</t>
  </si>
  <si>
    <t>F.	     Liability.	     Each party shall perform its obligations under this Section 21 at its own cost and shall be liable to the other party for damages it causes by any breach thereof. Each party shall be liable to data subjects for damages it causes by any breach of data subjects’ rights.</t>
  </si>
  <si>
    <t>Serenity Ctr Guarantee Premium Dest</t>
  </si>
  <si>
    <t>Serenity Container Guarantee Premium at destination</t>
  </si>
  <si>
    <t>DTC08</t>
  </si>
  <si>
    <t>Serenity Ctr Guarantee Premium Orig</t>
  </si>
  <si>
    <t>Serenity Container Guarantee Premium at origin</t>
  </si>
  <si>
    <t>DTC07</t>
  </si>
  <si>
    <t>ENV06</t>
  </si>
  <si>
    <t>Smart Dry Container</t>
  </si>
  <si>
    <t>FRT17</t>
  </si>
  <si>
    <t>BP BAL</t>
  </si>
  <si>
    <t>BP MIA</t>
  </si>
  <si>
    <t>Bar Lock Security Device</t>
  </si>
  <si>
    <t>SEA07</t>
  </si>
  <si>
    <t>Carbon Offset</t>
  </si>
  <si>
    <t>FIT01</t>
  </si>
  <si>
    <t>Smart Reefer Container</t>
  </si>
  <si>
    <t>RCV01</t>
  </si>
  <si>
    <t>O/C Sealing GPS</t>
  </si>
  <si>
    <t>On Carriage Sealing GPS additional</t>
  </si>
  <si>
    <t>CAR98</t>
  </si>
  <si>
    <t>P/C Sealing GPS</t>
  </si>
  <si>
    <t>Pre Carriage Sealing GPS additional</t>
  </si>
  <si>
    <t>CAR48</t>
  </si>
  <si>
    <t>B.	     For the purpose thereof, the term force majeure shall mean and include, without limitation, strikes, lock-outs or exceptional circumstances arising from the threat thereof, acts of God, state or public enemy, including but not limited to war, riots, civil disorder and insurrection, embargo or other disruption or interference with trade, acts of governmental authorities, marine disaster, severe weather condition, fire, explosion, or other casualty, and any unforeseen event beyond the control of the parties of whatever nature and however caused which materially affect business of trading conditions and/or the supply or demand for the services of Carrier or the Cargo of Merchant.</t>
  </si>
  <si>
    <t>FRT64</t>
  </si>
  <si>
    <t>DA047</t>
  </si>
  <si>
    <t>DA046</t>
  </si>
  <si>
    <t>EU ETS</t>
  </si>
  <si>
    <t>European Union Emissions Trading Scheme</t>
  </si>
  <si>
    <t>ETS00</t>
  </si>
  <si>
    <t>Red Sea Surcharge</t>
  </si>
  <si>
    <t>FRT41</t>
  </si>
  <si>
    <t>Contingency Charge</t>
  </si>
  <si>
    <t>FRT40</t>
  </si>
  <si>
    <t>PSS6</t>
  </si>
  <si>
    <t>Peak Season Surcharge 6</t>
  </si>
  <si>
    <t>PSS06</t>
  </si>
  <si>
    <t>PSS7</t>
  </si>
  <si>
    <t>Peak Season Surcharge 7</t>
  </si>
  <si>
    <t>PSS07</t>
  </si>
  <si>
    <t xml:space="preserve">D.	     The following conditions shall apply to all rates contained herein, unless otherwise specified in the Appendices:
i.	     Cargo shall be rated as “Freight All Kinds” or “F.A.K.” unless: (a) specifically excluded at Note 1 in the rate appendix; (b) specifically excluded by rule in the applicable tariff(s); or (c) subject to a specific bullet rate (i.e., by commodity description and, for Non-Vessel Operating Common Carrier Service Contracts, the qualified named account).
ii.	     Rates will be applied on a per container basis and are applicable for port to port shipments only, unless an inland point is noted as the origin or destination in the rate appendices.  
iii.	     Rates are applicable to Carrier-owned standard dry equipment only and shall not be applied to any Cargo requiring special equipment or handling.  Rates are subject to equipment availability at origin, without repositioning.  The maximum authorized payload for equipment shall be as per tariff(s) and state and local regulations.  Triaxle charges will be applied when applicable, as per Carrier’s tariff(s).
iv.	     Dangerous or hazardous Cargo is subject to Carrier’s approval prior to booking.  Hazardous Cargo surcharges shall apply to port-to-port shipments, plus an additional hazardous surcharge shall apply for intermodal moves in the U.S., where applicable.
v.	     Any rate or surcharge which must be mutually agreed (including language such as “as per mutual agreement”) must be agreed by the date of implementation of such rate or surcharge in Carrier’s tariff.  Otherwise, Carrier’s full tariff rate or surcharge will apply.
</t>
  </si>
  <si>
    <t>1b)</t>
  </si>
  <si>
    <t>FAK exclusion as per CMDU tariff 043, Rule 002 Application of Rates and Charges</t>
  </si>
  <si>
    <t>NMSA</t>
  </si>
  <si>
    <t>National Maritime Safety Surcharge</t>
  </si>
  <si>
    <t>PNG01</t>
  </si>
  <si>
    <t>Tax Port Dest</t>
  </si>
  <si>
    <t>Taxes at port/Country of destination</t>
  </si>
  <si>
    <t>TAX33</t>
  </si>
  <si>
    <t>V41</t>
  </si>
  <si>
    <t xml:space="preserve">CMA CGM (America) LLC
1 CMA CGM Way, 
Norfolk, Virginia  23502
Phone: (757) 961-2100
</t>
  </si>
  <si>
    <t>D.	     If Carrier has modified or restructured the service provided within the terms of this Contract, Carrier shall promptly notify Merchant, in no event less than fifteen (15) days prior to the occurrence of such modification.  In cases where such modification shall create additional costs to Carrier to comply with the terms of the Contract, Carrier and Merchant shall agree upon and reduce to writing a new applicable rate, which shall be filed with the FMC.</t>
  </si>
  <si>
    <t xml:space="preserve">B.	     Notwithstanding any other provision of this Contract, including but not limited to any “No General Rate Increase” or “No New Surcharges” clause, Merchant shall be subject to any rule in the Carrier’s published tariff(s) establishing a charge relating to any of the following circumstances arising or taking effect subsequent to the effective date of this Contract:  a strike, lockout, work stoppage, or other labor unrest; safety concerns and security risks; origin or destination port or inland congestion; requirements, costs, taxes, fees, or charges levied by any international, federal, state, or local government entity, including any port or harbor authority; or air quality requirement, including without limitation the European Union (EU) Emissions Trading System (ETS) to maritime transport.  Carrier shall notify Merchant of the imposition of such charges in accordance with applicable statute and regulation.  </t>
  </si>
  <si>
    <t>C.	     Notwithstanding any other provision of this Contract, to the extent Carrier has agreed to pay or absorb, directly or indirectly, the costs of chassis used for shipments under this Contract for Merchant Haulage Moves (including by providing that rates herein are inclusive of such costs), such agreement shall not be construed as a guarantee of chassis supply to Merchant, and shall only be applicable during Free Time.  Unless specifically agreed herein, Carrier will not be responsible to provide chassis to Merchant at any particular time or in any particular quantity. Any costs resulting from or arising out of chassis unavailability, including but not limited to demurrage or storage costs, shall be the sole responsibility of Merchant.</t>
  </si>
  <si>
    <t xml:space="preserve">In the event that any shipment is transported via flexi-tanks or bladders, Merchant shall comply with the Container Owner Association (COA) Recommended Code of Practice for flexi-tanks and all shipments shall be properly insured by Merchant.  Merchant  shall be liable for and shall fully indemnify Carrier, its underwriters, agents, subcontractors, and the Vessel and her owners and operators, from and against any and all damages, liabilities, or expenses arising from carriage of Cargo in flexi-tanks or bladders, including, but not limited to:  containment and / or clean-up costs, repairs, replacements, third-party damages, civil or criminal penalties, and / or consequential or indirect damages and claims arising from leakage, spillage or inadvertent release. </t>
  </si>
  <si>
    <t>A.	     Description of the Transfer.	     Carrier may collect, process, store and transmit data relating to Merchant.  Such information may include, without limitation, the Merchant’s name, contact details (email, telephone number, address and the like), as well as information relating to Merchant’s vendors, contractors, agents and customers (collectively “Information”).
Carrier may use any or all of the address information so provided to communicate with Merchant via email, phone, mail or in person.  The purpose of such communications may include, without limitation: i) provision of services to Merchant, ii) notification of important changes, improvements or opportunities relating to Carrier’s services (including advertisements and promotions, new service announcements and other cost saving opportunities) and/or iii) discussion of other issues relating to Merchant’s logistics or transportation needs.
Carrier may disclose the Information from time to time to certain third parties, including, without limitation, i) affiliates, vendors, agents and subcontractors that perform services for Carrier, ii) government authorities, or iii) those parties with a need to know in the event that, in Carrier’s good faith belief, a disclosure is necessary to protect its legal rights.
In addition, Carrier may transfer such Information to a successor entity upon a merger, consolidation or other corporate reorganization in which Carrier participates or to a purchaser of all or substantially all of Carrier’s assets.</t>
  </si>
  <si>
    <t xml:space="preserve">D.	     If Carrier terminates the Contract before the end of the period for cause as described in (B) or (C) above, then upon termination Merchant shall be liable to pay liquidated damages as provided in Section 4. </t>
  </si>
  <si>
    <t>C.	     Any dispute of charges on an invoice must be notified to the Carrier in writing per Carrier's invoice dispute process, no later than seven (7) calendar days before the due date, failing which the debt shall become irrevocably and unconditionally due.  Upon resolution of the dispute, payment, as applicable, shall be made within 24 hours.</t>
  </si>
  <si>
    <t>This Contract may be executed in counterpart or by electronic transmission, and such counterpart or electronically transmitted documents shall be taken and read together and shall constitute a valid and binding agreement of the parties hereto.</t>
  </si>
  <si>
    <t>33.	     RELEASE AT DESTINATION</t>
  </si>
  <si>
    <t>31.	     SEVERABILITY</t>
  </si>
  <si>
    <t>If any provision of this Contract is determined to be illegal, invalid or unenforceable, the remainder of the Contract will remain legal, valid and enforceable to the fullest extent possible.</t>
  </si>
  <si>
    <t>32.	     HEADINGS</t>
  </si>
  <si>
    <t>Section headings have been inserted in this Contract as a matter of convenience and for reference only and it is agreed that such section headings are not a part of the Contract and shall not be used in the interpretation of any provision nor do they alter or affect the construction of any provision of the Contract.</t>
  </si>
  <si>
    <t>PSS8</t>
  </si>
  <si>
    <t>Peak Season Surcharge 8</t>
  </si>
  <si>
    <t>PSS08</t>
  </si>
  <si>
    <t>HF</t>
  </si>
  <si>
    <t>HS</t>
  </si>
  <si>
    <t>ShipFin 30</t>
  </si>
  <si>
    <t>ShipFin Extended Credit 30 Days</t>
  </si>
  <si>
    <t>ShipFin 15</t>
  </si>
  <si>
    <t>ShipFin Extended Credit 15 Days</t>
  </si>
  <si>
    <t>FIT02</t>
  </si>
  <si>
    <t>1c)</t>
  </si>
  <si>
    <t>PANAMA CANAL ADJUSTMENT FACTOR (CAN20) WILL ONLY APPLY IN AN AMOUNT TO BE MUTUALLY AGREED BY THE PARTIES IF PANAMA SITUATION FURTHER DETERIORATES</t>
  </si>
  <si>
    <t>DET POD 7 DAYS</t>
  </si>
  <si>
    <t>Detention Free Time Extended at POD 7 Days</t>
  </si>
  <si>
    <t>DET90</t>
  </si>
  <si>
    <t>DET POD 10 DAYS</t>
  </si>
  <si>
    <t>DET POD 14 DAYS</t>
  </si>
  <si>
    <t>Detention Free Time Extended at POD 10 Days</t>
  </si>
  <si>
    <t>Detention Free Time Extended at POD 14 Days</t>
  </si>
  <si>
    <t>DET91</t>
  </si>
  <si>
    <t>DET92</t>
  </si>
  <si>
    <t>D&amp;D POD 10 DAYS</t>
  </si>
  <si>
    <t>D&amp;D Merged Free Time Extended at POD 10 Days</t>
  </si>
  <si>
    <t>DTM91</t>
  </si>
  <si>
    <t>D&amp;D POD 14 DAYS</t>
  </si>
  <si>
    <t>D&amp;D Merged Free Time Extended at POD 14 Days</t>
  </si>
  <si>
    <t>DTM11</t>
  </si>
  <si>
    <t>D&amp;D POD 18 DAYS</t>
  </si>
  <si>
    <t>D&amp;D Merged Free Time Extended at POD 18 Days</t>
  </si>
  <si>
    <t>DTM16</t>
  </si>
  <si>
    <t>D&amp;D POD 21 DAYS</t>
  </si>
  <si>
    <t>D&amp;D Merged Free Time Extended at POD 21 Days</t>
  </si>
  <si>
    <t>DTM12</t>
  </si>
  <si>
    <t>D&amp;D POD 28 DAYS</t>
  </si>
  <si>
    <t>D&amp;D Merged Free Time Extended at POD 28 Days</t>
  </si>
  <si>
    <t>DTM13</t>
  </si>
  <si>
    <t>DEM POD 7 DAYS</t>
  </si>
  <si>
    <t>Demurrage Free Time Extended at POD 7 Days</t>
  </si>
  <si>
    <t>DEM90</t>
  </si>
  <si>
    <t>DEM POD 10 DAYS</t>
  </si>
  <si>
    <t>Demurrage Free Time Extended at POD 10 Days</t>
  </si>
  <si>
    <t>DEM91</t>
  </si>
  <si>
    <t>DEM POD 14 DAYS</t>
  </si>
  <si>
    <t>Demurrage Free Time Extended at POD 14 Days</t>
  </si>
  <si>
    <t>DEM92</t>
  </si>
  <si>
    <t>Premium Customer Service Destination Non U.S.</t>
  </si>
  <si>
    <t>Premium Customer Service Origin Non U.S.</t>
  </si>
  <si>
    <t>Premium Cust Svc Dest Non U.S.</t>
  </si>
  <si>
    <t>Premium Cust Svc Origin Non U.S.</t>
  </si>
  <si>
    <t>FEF31</t>
  </si>
  <si>
    <t>FEF32</t>
  </si>
  <si>
    <t>PH</t>
  </si>
  <si>
    <t>Emergency Space Surcharge</t>
  </si>
  <si>
    <t>FRT59</t>
  </si>
  <si>
    <t>On-Carriage Pre-Pull VAS Car Prime</t>
  </si>
  <si>
    <t>CAR61</t>
  </si>
  <si>
    <t>O/C Pre Pull VAS CAR PRIME</t>
  </si>
  <si>
    <t>Serenity Premium Ctr Guarantee Plus</t>
  </si>
  <si>
    <t>Serenity Premium Container Guarantee Plus</t>
  </si>
  <si>
    <t>DTC02</t>
  </si>
  <si>
    <t>DET POL 7 DAYS</t>
  </si>
  <si>
    <t>Detention Free Time Extended at POL 7 Days</t>
  </si>
  <si>
    <t>DET93</t>
  </si>
  <si>
    <t>DET POL 10 DAYS</t>
  </si>
  <si>
    <t>Detention Free Time Extended at POL 10 Days</t>
  </si>
  <si>
    <t>DET94</t>
  </si>
  <si>
    <t>DET POL 14 DAYS</t>
  </si>
  <si>
    <t>Detention Free Time Extended at POL 14 Days</t>
  </si>
  <si>
    <t>DET95</t>
  </si>
  <si>
    <t>DET POL 21 DAYS</t>
  </si>
  <si>
    <t>Detention Free Time Extended at POL 21 Days</t>
  </si>
  <si>
    <t>DET96</t>
  </si>
  <si>
    <t>DET POL 28 DAYS</t>
  </si>
  <si>
    <t>Detention Free Time Extended at POL 28 Days</t>
  </si>
  <si>
    <t>DET97</t>
  </si>
  <si>
    <t>General Surcharges valid to all rates unless otherwise specified; list is not exhaustive of all local charges that may apply as per tariff.</t>
  </si>
  <si>
    <t>Panama Transit</t>
  </si>
  <si>
    <t>Panama Canal Transit Surcharge</t>
  </si>
  <si>
    <t>CAN64</t>
  </si>
  <si>
    <t>EU Energy Transition</t>
  </si>
  <si>
    <t>European Union Energy Transition Surcharge</t>
  </si>
  <si>
    <t>NRJ00</t>
  </si>
  <si>
    <t>D-4</t>
  </si>
  <si>
    <t>INBOUND (MEDITERRANEAN-USVI/PR)</t>
  </si>
  <si>
    <t>CMDU#029 D4</t>
  </si>
  <si>
    <t>10% CO2 Reduction</t>
  </si>
  <si>
    <t>25% CO2 Reduction</t>
  </si>
  <si>
    <t>50% CO2 Reduction</t>
  </si>
  <si>
    <t>ENV10</t>
  </si>
  <si>
    <t>83% CO2 Reduction</t>
  </si>
  <si>
    <t>FAK PSW</t>
  </si>
  <si>
    <t>FAK PNW</t>
  </si>
  <si>
    <t>FAK HAWAII</t>
  </si>
  <si>
    <t>BP TW</t>
  </si>
  <si>
    <t>KAOHSIUNG,TAIPEI</t>
  </si>
  <si>
    <t>BP VAN</t>
  </si>
  <si>
    <t>YANTIAN,XIAMEN,NINGBO,SHANGHAI,HONG KONG,SHEKOU</t>
  </si>
  <si>
    <t>LOS ANGELES,LONG BEACH</t>
  </si>
  <si>
    <t>BP SEA</t>
  </si>
  <si>
    <t>SHANGHAI,YANTIAN,XIAMEN,NINGBO,SHEKOU,HONG KONG</t>
  </si>
  <si>
    <t>BP TIW</t>
  </si>
  <si>
    <t>YANTIAN,SHANGHAI,NINGBO</t>
  </si>
  <si>
    <t>BP FUJI</t>
  </si>
  <si>
    <t>TOKYO, NAGOYA, KOBE</t>
  </si>
  <si>
    <t>BP LAX</t>
  </si>
  <si>
    <t>NANSHA,YANTIAN,XIAMEN,SHANGHAI,NINGBO,QINGDAO,TIANJINXINGANG</t>
  </si>
  <si>
    <t>BP OAK</t>
  </si>
  <si>
    <t>YANTIAN,SHEKOU,SHANGHAI,NINGBO,QINGDAO</t>
  </si>
  <si>
    <t>SE ASIA BP PSW</t>
  </si>
  <si>
    <t>PORT KLANG,SINGAPORE,LAEM CHABANG,VUNG TAU,HAIPHONG</t>
  </si>
  <si>
    <t>BP PRR</t>
  </si>
  <si>
    <t>SHANGHAI,QINGDAO,TIANJINXINGANG</t>
  </si>
  <si>
    <t>USD</t>
  </si>
  <si>
    <t>1,2,4</t>
  </si>
  <si>
    <t>OAKLAND, CA</t>
  </si>
  <si>
    <t>CHICAGO, IL</t>
  </si>
  <si>
    <t>CINCINNATI, OH</t>
  </si>
  <si>
    <t>CLEVELAND, OH</t>
  </si>
  <si>
    <t>COLUMBUS, OH</t>
  </si>
  <si>
    <t>DALLAS, TX</t>
  </si>
  <si>
    <t>DENVER, CO</t>
  </si>
  <si>
    <t>DETROIT, MI</t>
  </si>
  <si>
    <t>EL PASO, TX</t>
  </si>
  <si>
    <t>HOUSTON, TX</t>
  </si>
  <si>
    <t>INDIANAPOLIS, IN</t>
  </si>
  <si>
    <t>KANSAS CITY, KS</t>
  </si>
  <si>
    <t>LOUISVILLE, KY</t>
  </si>
  <si>
    <t>NASHVILLE, TN</t>
  </si>
  <si>
    <t>MEMPHIS, TN</t>
  </si>
  <si>
    <t>NEW ORLEANS, LA</t>
  </si>
  <si>
    <t>SALT LAKE CITY, UT</t>
  </si>
  <si>
    <t>SAN ANTONIO, TX</t>
  </si>
  <si>
    <t>ST LOUIS, MO</t>
  </si>
  <si>
    <t>ATLANTA, GA</t>
  </si>
  <si>
    <t>BALTIMORE, MD</t>
  </si>
  <si>
    <t>CHARLOTTE, NC</t>
  </si>
  <si>
    <t>NEW YORK, NY</t>
  </si>
  <si>
    <t>NORFOLK, VA</t>
  </si>
  <si>
    <t>BUSAN</t>
  </si>
  <si>
    <t>SEATTLE, WA</t>
  </si>
  <si>
    <t>TACOMA, WA</t>
  </si>
  <si>
    <t>OMAHA, NE</t>
  </si>
  <si>
    <t>PORTLAND, OR</t>
  </si>
  <si>
    <t>ST PAUL, MN</t>
  </si>
  <si>
    <t>KAOHSIUNG</t>
  </si>
  <si>
    <t>SINGAPORE</t>
  </si>
  <si>
    <t>LAEM CHABANG</t>
  </si>
  <si>
    <t>VUNG TAU</t>
  </si>
  <si>
    <t>HONOLULU, HI</t>
  </si>
  <si>
    <t>SHANGHAI</t>
  </si>
  <si>
    <t>NINGBO</t>
  </si>
  <si>
    <t>QINGDAO</t>
  </si>
  <si>
    <t>TIANJINXINGANG</t>
  </si>
  <si>
    <t>DALIAN</t>
  </si>
  <si>
    <t>HUANGPU</t>
  </si>
  <si>
    <t>XIAMEN</t>
  </si>
  <si>
    <t>YANTIAN</t>
  </si>
  <si>
    <t>SHEKOU</t>
  </si>
  <si>
    <t>HONG KONG</t>
  </si>
  <si>
    <t>TAICHUNG</t>
  </si>
  <si>
    <t>KEELUNG</t>
  </si>
  <si>
    <t>BANGKOK</t>
  </si>
  <si>
    <t>LAT KRABANG, TH</t>
  </si>
  <si>
    <t>JAKARTA</t>
  </si>
  <si>
    <t>SURABAYA</t>
  </si>
  <si>
    <t>SEMARANG</t>
  </si>
  <si>
    <t>PORT KLANG</t>
  </si>
  <si>
    <t>PENANG</t>
  </si>
  <si>
    <t>PASIR GUDANG</t>
  </si>
  <si>
    <t>TANJUNG PELEPAS</t>
  </si>
  <si>
    <t>MANILA</t>
  </si>
  <si>
    <t>CEBU</t>
  </si>
  <si>
    <t>HO CHI MINH</t>
  </si>
  <si>
    <t>HAIPHONG</t>
  </si>
  <si>
    <t>CAMBODIA</t>
  </si>
  <si>
    <t>PHNOM PENH, KH</t>
  </si>
  <si>
    <t>SINGAPORE, SG</t>
  </si>
  <si>
    <t>VUNG TAU, VN</t>
  </si>
  <si>
    <t>SIHANOUKVILLE, KH</t>
  </si>
  <si>
    <t>CHINA</t>
  </si>
  <si>
    <t>ANQING, AH</t>
  </si>
  <si>
    <t>SHANGHAI, SH</t>
  </si>
  <si>
    <t>BEIHAI, GX</t>
  </si>
  <si>
    <t>YANTIAN, GD</t>
  </si>
  <si>
    <t>HONG KONG, HK</t>
  </si>
  <si>
    <t>SHEKOU, GD</t>
  </si>
  <si>
    <t>NANSHA, GD</t>
  </si>
  <si>
    <t>CHANGSHA, HN</t>
  </si>
  <si>
    <t>CHANGSHU, JS</t>
  </si>
  <si>
    <t>CHANGZHOU, JS</t>
  </si>
  <si>
    <t>CHENGDU, SC</t>
  </si>
  <si>
    <t>CHIZHOU, AH</t>
  </si>
  <si>
    <t>CHONGQING, CQ</t>
  </si>
  <si>
    <t>NINGBO, ZJ</t>
  </si>
  <si>
    <t>CHUZHOU, AH</t>
  </si>
  <si>
    <t>DALIAN, LN</t>
  </si>
  <si>
    <t>DONGGUAN, GD</t>
  </si>
  <si>
    <t>FANGCHENG, GX</t>
  </si>
  <si>
    <t>FULING, CQ</t>
  </si>
  <si>
    <t>FUQING FUZHOU</t>
  </si>
  <si>
    <t>GANZHOU, JX</t>
  </si>
  <si>
    <t>XIAMEN, FJ</t>
  </si>
  <si>
    <t>GAOMING, GD</t>
  </si>
  <si>
    <t>GUIYANG, GZ</t>
  </si>
  <si>
    <t>HAIKOU, HI</t>
  </si>
  <si>
    <t>HANGZHOU - XIAOSHAN, ZJ</t>
  </si>
  <si>
    <t>HEFEI, AH</t>
  </si>
  <si>
    <t>HUA DU, GD</t>
  </si>
  <si>
    <t>HUANGPU, GD</t>
  </si>
  <si>
    <t>HUANGSHI, HB</t>
  </si>
  <si>
    <t>HUZHOU - CHANGXING, ZJ</t>
  </si>
  <si>
    <t>JIANGMEN, GD</t>
  </si>
  <si>
    <t>JIANGYIN, JS</t>
  </si>
  <si>
    <t>JIAOZHOU, SD</t>
  </si>
  <si>
    <t>QINGDAO, SD</t>
  </si>
  <si>
    <t>JINGZHOU, HB</t>
  </si>
  <si>
    <t>JINHUA - YIWU, ZJ</t>
  </si>
  <si>
    <t>JINHUA, ZJ</t>
  </si>
  <si>
    <t>JIUJIANG, GD</t>
  </si>
  <si>
    <t>JIUJIANG, JX</t>
  </si>
  <si>
    <t>LIANYUNGANG, JS</t>
  </si>
  <si>
    <t>LINQING, SD</t>
  </si>
  <si>
    <t>LUZHOU, 51</t>
  </si>
  <si>
    <t>MAANSHAN, AH</t>
  </si>
  <si>
    <t>MAFANG, GD</t>
  </si>
  <si>
    <t>MAOMING, GD</t>
  </si>
  <si>
    <t>MAWEI FUZHOU</t>
  </si>
  <si>
    <t>NANCHANG, JX</t>
  </si>
  <si>
    <t>NANJING, JS</t>
  </si>
  <si>
    <t>NANTONG - HAIAN, JS</t>
  </si>
  <si>
    <t>NANTONG, JS</t>
  </si>
  <si>
    <t>QINGYUAN, GD</t>
  </si>
  <si>
    <t>SANBU, GD</t>
  </si>
  <si>
    <t>SANSHAN, GD</t>
  </si>
  <si>
    <t>SANSHUI, GD</t>
  </si>
  <si>
    <t>SHANGRAO, JX</t>
  </si>
  <si>
    <t>SHANTOU, GD</t>
  </si>
  <si>
    <t>SHAOXING, ZJ</t>
  </si>
  <si>
    <t>SHASHI, HB</t>
  </si>
  <si>
    <t>SHUNDE, GD</t>
  </si>
  <si>
    <t>SUZHOU, JS</t>
  </si>
  <si>
    <t>TAICANG, JS</t>
  </si>
  <si>
    <t>TAIZHOU - LUQIAO, ZJ</t>
  </si>
  <si>
    <t>TAIZHOU, JS</t>
  </si>
  <si>
    <t>TONGLING, AH</t>
  </si>
  <si>
    <t>WANZHOU, CQ</t>
  </si>
  <si>
    <t>WENZHOU, ZJ</t>
  </si>
  <si>
    <t>WUHAN, HB</t>
  </si>
  <si>
    <t>WUHU, AH</t>
  </si>
  <si>
    <t>WUXI, JS</t>
  </si>
  <si>
    <t>XI AN, SN</t>
  </si>
  <si>
    <t>XINHUI, GD</t>
  </si>
  <si>
    <t>XUZHOU, JS</t>
  </si>
  <si>
    <t>YANGZHOU, JS</t>
  </si>
  <si>
    <t>YIBIN, SC</t>
  </si>
  <si>
    <t>YICHANG, HB</t>
  </si>
  <si>
    <t>YUEYANG, HN</t>
  </si>
  <si>
    <t>YUNFU, GD</t>
  </si>
  <si>
    <t>ZHANGJIAGANG, JS</t>
  </si>
  <si>
    <t>ZHANJIANG, GD</t>
  </si>
  <si>
    <t>ZHAOQING, GD</t>
  </si>
  <si>
    <t>ZHAPU, ZJ</t>
  </si>
  <si>
    <t>ZHENGZHOU, HN</t>
  </si>
  <si>
    <t>ZHENJIANG, JS</t>
  </si>
  <si>
    <t>ZHONGSHAN, GD</t>
  </si>
  <si>
    <t>ZHUHAI, GD</t>
  </si>
  <si>
    <t>ZHUMADIAN, HN</t>
  </si>
  <si>
    <t>ZHUZHOU, HN</t>
  </si>
  <si>
    <t>INDONESIA</t>
  </si>
  <si>
    <t>BALIKPAPAN, ID</t>
  </si>
  <si>
    <t>BANJARMASIN, ID</t>
  </si>
  <si>
    <t>BATAM, ID</t>
  </si>
  <si>
    <t>BELAWAN, ID</t>
  </si>
  <si>
    <t>BITUNG, ID</t>
  </si>
  <si>
    <t>DUMAI, ID</t>
  </si>
  <si>
    <t>JAKARTA, ID</t>
  </si>
  <si>
    <t>JAMBI, ID</t>
  </si>
  <si>
    <t>LUWUK, ID</t>
  </si>
  <si>
    <t>MAKASSAR, ID</t>
  </si>
  <si>
    <t>PADANG, ID</t>
  </si>
  <si>
    <t>PALEMBANG, ID</t>
  </si>
  <si>
    <t>PANJANG, ID</t>
  </si>
  <si>
    <t>PERAWANG, ID</t>
  </si>
  <si>
    <t>PONTIANAK, ID</t>
  </si>
  <si>
    <t>SAMARINDA, ID</t>
  </si>
  <si>
    <t>SEMARANG, ID</t>
  </si>
  <si>
    <t>SURABAYA, ID</t>
  </si>
  <si>
    <t>TARAKAN, KALIMANTAN, ID</t>
  </si>
  <si>
    <t>JAPAN</t>
  </si>
  <si>
    <t>HAKATA/FUKUOKA, JP</t>
  </si>
  <si>
    <t>KOBE, JP</t>
  </si>
  <si>
    <t>NAGOYA, JP</t>
  </si>
  <si>
    <t>OSAKA, JP</t>
  </si>
  <si>
    <t>SHIMIZU, JP</t>
  </si>
  <si>
    <t>TOKYO, JP</t>
  </si>
  <si>
    <t>YOKOHAMA, JP</t>
  </si>
  <si>
    <t>MACAU</t>
  </si>
  <si>
    <t>MACAU, MO</t>
  </si>
  <si>
    <t>MALAYSIA</t>
  </si>
  <si>
    <t>KUANTAN, MY</t>
  </si>
  <si>
    <t>PORT KLANG, MY</t>
  </si>
  <si>
    <t>PASIR GUDANG, MY</t>
  </si>
  <si>
    <t>PENANG, MY</t>
  </si>
  <si>
    <t>TANJUNG PELEPAS, MY</t>
  </si>
  <si>
    <t>MYANMAR</t>
  </si>
  <si>
    <t>YANGON, MM</t>
  </si>
  <si>
    <t>PHILIPPINES</t>
  </si>
  <si>
    <t>BATANGAS, PH</t>
  </si>
  <si>
    <t>CAGAYAN DE ORO, PH</t>
  </si>
  <si>
    <t>CEBU, PH</t>
  </si>
  <si>
    <t>DAVAO, PH</t>
  </si>
  <si>
    <t>GENERAL SANTOS, PH</t>
  </si>
  <si>
    <t>MANILA, PH</t>
  </si>
  <si>
    <t>SUBIC BAY, PH</t>
  </si>
  <si>
    <t>SOUTH KOREA</t>
  </si>
  <si>
    <t>GWANGYANG, KR</t>
  </si>
  <si>
    <t>BUSAN, KR</t>
  </si>
  <si>
    <t>INCHEON, KR</t>
  </si>
  <si>
    <t>TAIWAN</t>
  </si>
  <si>
    <t>KAOHSIUNG, TW</t>
  </si>
  <si>
    <t>TAIPEI, TW</t>
  </si>
  <si>
    <t>KEELUNG, TW</t>
  </si>
  <si>
    <t>TAICHUNG, TW</t>
  </si>
  <si>
    <t>TAOYUAN, TW</t>
  </si>
  <si>
    <t>THAILAND</t>
  </si>
  <si>
    <t>BANGKOK, TH</t>
  </si>
  <si>
    <t>LAEM CHABANG, TH</t>
  </si>
  <si>
    <t>SONGKHLA PORT, TH</t>
  </si>
  <si>
    <t>VIETNAM</t>
  </si>
  <si>
    <t>DANANG, VN</t>
  </si>
  <si>
    <t>HAIPHONG, VN</t>
  </si>
  <si>
    <t>HO CHI MINH CITY, VN</t>
  </si>
  <si>
    <t>QUI NHON, VN</t>
  </si>
  <si>
    <t>QINZHOU, GX</t>
  </si>
  <si>
    <t>WUZHOU, GX</t>
  </si>
  <si>
    <t>Honolulu, HI</t>
  </si>
  <si>
    <t>FAK BAL</t>
  </si>
  <si>
    <t>FAK EC</t>
  </si>
  <si>
    <t>FAK GCFL</t>
  </si>
  <si>
    <t>FAK MIA</t>
  </si>
  <si>
    <t>XIAMEN,HONG KONG,YANTIAN</t>
  </si>
  <si>
    <t>SE ASIA BP GCFL</t>
  </si>
  <si>
    <t>VUNG TAU,SINGAPORE</t>
  </si>
  <si>
    <t>GULF</t>
  </si>
  <si>
    <t>HOUSTON,MOBILE,NEW ORLEANS</t>
  </si>
  <si>
    <t>BP JAPAN</t>
  </si>
  <si>
    <t>NAGOYA, SHIMIZU, TOKYO, KOBE, YOKOHAMA, OSAKA, HIROSHIMA, MOJI, HAKATA/FUKUOKA</t>
  </si>
  <si>
    <t>NCPRC BP EC</t>
  </si>
  <si>
    <t>SHANGHAI,NINGBO,QINGDAO</t>
  </si>
  <si>
    <t>SE ASIA BP EC</t>
  </si>
  <si>
    <t>VUNG TAU,PORT KLANG,SINGAPORE,HAIPHONG</t>
  </si>
  <si>
    <t>SPRC BP EC</t>
  </si>
  <si>
    <t>BP GCFL</t>
  </si>
  <si>
    <t>NINGBO,SHANGHAI,XIAMEN,YANTIAN,SHEKOU</t>
  </si>
  <si>
    <t>SAVANNAH, GA</t>
  </si>
  <si>
    <t>CHARLESTON, SC</t>
  </si>
  <si>
    <t>BUFFALO, NY</t>
  </si>
  <si>
    <t>CHATSWORTH, GA</t>
  </si>
  <si>
    <t>DILLON, SC</t>
  </si>
  <si>
    <t>GREER, SC</t>
  </si>
  <si>
    <t>PHILADELPHIA, PA</t>
  </si>
  <si>
    <t>HALIFAX, NS</t>
  </si>
  <si>
    <t>YOKOHAMA</t>
  </si>
  <si>
    <t>TAMPA, FL</t>
  </si>
  <si>
    <t>MOBILE, AL</t>
  </si>
  <si>
    <t>MIAMI, FL</t>
  </si>
  <si>
    <t>JACKSONVILLE, FL</t>
  </si>
  <si>
    <t>HIROSHIMA, JP</t>
  </si>
  <si>
    <t>MOJI/KITAKYUSHU, JP</t>
  </si>
  <si>
    <t>TOMAKOMAI, JP</t>
  </si>
  <si>
    <t>25-3117</t>
  </si>
  <si>
    <t>0004563721</t>
  </si>
  <si>
    <t>Neil Sabharwal</t>
  </si>
  <si>
    <t>Managing Director</t>
  </si>
  <si>
    <t>neil@primefreight.com</t>
  </si>
  <si>
    <t>DU Shuang</t>
  </si>
  <si>
    <t xml:space="preserve"> Montreal, Canada. H3E1J4.</t>
  </si>
  <si>
    <t>KMS52005</t>
  </si>
  <si>
    <t>034170</t>
  </si>
  <si>
    <t>SOUTHWEST MARINE AND GENERAL INSURANCE COMPANY</t>
  </si>
  <si>
    <t>cda.sdu@usa.cma-cgm.com</t>
  </si>
  <si>
    <r>
      <t xml:space="preserve">     WHEREAS,</t>
    </r>
    <r>
      <rPr>
        <sz val="10"/>
        <rFont val="Arial"/>
        <family val="2"/>
      </rPr>
      <t xml:space="preserve"> Carrier and Merchant hereby agree to amend the Contract as defined herein.</t>
    </r>
  </si>
  <si>
    <r>
      <t xml:space="preserve">     </t>
    </r>
    <r>
      <rPr>
        <b/>
        <sz val="10"/>
        <rFont val="Arial"/>
        <family val="2"/>
      </rPr>
      <t>NOW THEREFORE,</t>
    </r>
    <r>
      <rPr>
        <sz val="10"/>
        <rFont val="Arial"/>
        <family val="2"/>
      </rPr>
      <t xml:space="preserve"> intending to be legally bound Carrier and Merchant hereby agree that this Amendment shall amend the Contract as follows:</t>
    </r>
  </si>
  <si>
    <r>
      <t>Service Contract Number</t>
    </r>
    <r>
      <rPr>
        <b/>
        <sz val="10"/>
        <rFont val="Arial"/>
        <family val="2"/>
      </rPr>
      <t>:</t>
    </r>
  </si>
  <si>
    <r>
      <t xml:space="preserve">Date  </t>
    </r>
    <r>
      <rPr>
        <u/>
        <sz val="10"/>
        <rFont val="Arial"/>
        <family val="2"/>
      </rPr>
      <t>___________1/31/2025______________</t>
    </r>
  </si>
  <si>
    <r>
      <t xml:space="preserve">Email:  </t>
    </r>
    <r>
      <rPr>
        <u/>
        <sz val="10"/>
        <color rgb="FF0070C0"/>
        <rFont val="Arial"/>
        <family val="2"/>
      </rPr>
      <t>usa.contracts@usa.cma-cgm.com</t>
    </r>
  </si>
  <si>
    <r>
      <t xml:space="preserve">C.      If the shipment is a Carrier Haulage Move under Drop and Pick conditions, shipper and/or the consignee on the Bill of Lading shall be responsible for notifying Carrier and its designated agent or motor carrier that the Equipment is empty and ready to be picked up.
Carrier notifications must be sent in writing via email to </t>
    </r>
    <r>
      <rPr>
        <u/>
        <sz val="10"/>
        <color rgb="FF0070C0"/>
        <rFont val="Arial"/>
        <family val="2"/>
      </rPr>
      <t>ssc.usemptsplit@cma-cgm.com</t>
    </r>
    <r>
      <rPr>
        <sz val="10"/>
        <rFont val="Arial"/>
        <family val="2"/>
      </rPr>
      <t>.
Carrier may bill Merchant per diem charges when the equipment is not returned within free time. Notwithstanding the foregoing, and without waiving its right to collect from the Merchant, Carrier reserves the right to instead collect detention charges from the motor carrier directly.</t>
    </r>
  </si>
  <si>
    <r>
      <t xml:space="preserve">B.     If Merchant or any Affiliate is a participating C-TPAT or equivalent WCO member, Merchant and/or its Affiliate should send Carrier a request via the C-TPAT Portal at </t>
    </r>
    <r>
      <rPr>
        <u/>
        <sz val="10"/>
        <color rgb="FF0033CC"/>
        <rFont val="Arial"/>
        <family val="2"/>
      </rPr>
      <t>http://ctpat.cbp.dhs.gov/trade-web/index</t>
    </r>
    <r>
      <rPr>
        <sz val="10"/>
        <rFont val="Arial"/>
        <family val="2"/>
      </rPr>
      <t xml:space="preserve"> to monitor Carrier’s C-TPAT status and allow Carrier to monitor the C-TPAT status of Merchant and/or its Affiliate.</t>
    </r>
  </si>
  <si>
    <r>
      <rPr>
        <b/>
        <u/>
        <sz val="10"/>
        <rFont val="Arial"/>
        <family val="2"/>
      </rPr>
      <t>TERM 102</t>
    </r>
    <r>
      <rPr>
        <b/>
        <sz val="10"/>
        <rFont val="Arial"/>
        <family val="2"/>
      </rPr>
      <t xml:space="preserve"> </t>
    </r>
    <r>
      <rPr>
        <b/>
        <u/>
        <sz val="10"/>
        <rFont val="Arial"/>
        <family val="2"/>
      </rPr>
      <t>ELECTRONIC ENDORSEMENT</t>
    </r>
  </si>
  <si>
    <r>
      <t xml:space="preserve">41                                                                           </t>
    </r>
    <r>
      <rPr>
        <sz val="10"/>
        <rFont val="Arial"/>
        <family val="2"/>
      </rPr>
      <t>Contact Person:</t>
    </r>
  </si>
  <si>
    <r>
      <t xml:space="preserve">Term 10       </t>
    </r>
    <r>
      <rPr>
        <sz val="10"/>
        <rFont val="Arial"/>
        <family val="2"/>
      </rPr>
      <t xml:space="preserve">                                    Merchant Certification:</t>
    </r>
  </si>
  <si>
    <r>
      <t xml:space="preserve">If NVOCC resides in the USA, provide FMC License Number:
</t>
    </r>
    <r>
      <rPr>
        <b/>
        <sz val="10"/>
        <color indexed="12"/>
        <rFont val="Arial"/>
        <family val="2"/>
      </rPr>
      <t>Or</t>
    </r>
    <r>
      <rPr>
        <sz val="10"/>
        <color indexed="12"/>
        <rFont val="Arial"/>
        <family val="2"/>
      </rPr>
      <t xml:space="preserve">
If NVOCC resides outside the USA, provide FMC Organization Number:</t>
    </r>
  </si>
  <si>
    <r>
      <t xml:space="preserve">Term 100 </t>
    </r>
    <r>
      <rPr>
        <sz val="10"/>
        <rFont val="Arial"/>
        <family val="2"/>
      </rPr>
      <t>Tariff(s) of General Applicability:</t>
    </r>
  </si>
  <si>
    <r>
      <t xml:space="preserve">Rates in USD unless otherwise specified. </t>
    </r>
    <r>
      <rPr>
        <sz val="10"/>
        <color indexed="53"/>
        <rFont val="Arial"/>
        <family val="2"/>
      </rPr>
      <t>Surcharges listed per line item are exceptions to Note 2 applicability.</t>
    </r>
  </si>
  <si>
    <r>
      <t>You must state Applicable, Not applicable. Any amount shown is deemed fixed unless otherwise stated</t>
    </r>
    <r>
      <rPr>
        <sz val="10"/>
        <color indexed="22"/>
        <rFont val="Arial"/>
        <family val="2"/>
      </rPr>
      <t xml:space="preserve"> and must be in USD per D40 for each.</t>
    </r>
  </si>
  <si>
    <r>
      <t>E</t>
    </r>
    <r>
      <rPr>
        <sz val="10"/>
        <rFont val="Arial"/>
        <family val="2"/>
      </rPr>
      <t xml:space="preserve">xport / </t>
    </r>
    <r>
      <rPr>
        <u/>
        <sz val="10"/>
        <rFont val="Arial"/>
        <family val="2"/>
      </rPr>
      <t>I</t>
    </r>
    <r>
      <rPr>
        <sz val="10"/>
        <rFont val="Arial"/>
        <family val="2"/>
      </rPr>
      <t>mport</t>
    </r>
  </si>
  <si>
    <r>
      <t>C</t>
    </r>
    <r>
      <rPr>
        <sz val="10"/>
        <rFont val="Arial"/>
        <family val="2"/>
      </rPr>
      <t xml:space="preserve">alendar / </t>
    </r>
    <r>
      <rPr>
        <u/>
        <sz val="10"/>
        <rFont val="Arial"/>
        <family val="2"/>
      </rPr>
      <t>W</t>
    </r>
    <r>
      <rPr>
        <sz val="10"/>
        <rFont val="Arial"/>
        <family val="2"/>
      </rPr>
      <t>orking</t>
    </r>
  </si>
  <si>
    <r>
      <t xml:space="preserve">Date  </t>
    </r>
    <r>
      <rPr>
        <u/>
        <sz val="10"/>
        <rFont val="Arial"/>
        <family val="2"/>
      </rPr>
      <t>___________2/7/2025______________</t>
    </r>
  </si>
  <si>
    <t>PORT KLANG,HAIPHONG,YANTIAN,NINGBO,SHANGHAI,XIAMEN,SHEKOU</t>
  </si>
  <si>
    <t>FAK BOS</t>
  </si>
  <si>
    <t>BOSTON, MA</t>
  </si>
  <si>
    <t>GONGYI, GD</t>
  </si>
  <si>
    <t>HUNTSVILLE, AL</t>
  </si>
  <si>
    <t>4 PLACE DU COMMERCE SUITE 230, QUEBEC</t>
  </si>
  <si>
    <t>LOGISTIQUE PRIME FREIGHT INC</t>
  </si>
  <si>
    <t>0006023501</t>
  </si>
  <si>
    <t>UNIQUE LOGISTICS INTERNATIONAL (NYC), , LOS ANGELES</t>
  </si>
  <si>
    <t>10810 PAINTER AVENUE SANTA FE</t>
  </si>
  <si>
    <t>LOS ANGELES</t>
  </si>
  <si>
    <t>SPRINGS, CA 90670</t>
  </si>
  <si>
    <t>US</t>
  </si>
  <si>
    <t>Credit Addendum</t>
  </si>
  <si>
    <t>Beneficiaries</t>
  </si>
  <si>
    <t>Credit shall be extended solely to the Merchant named herein and to its named Affiliates listed in the Affiliates Appendix to the Contract.  Merchant shall be jointly and severally liable with its Affiliates for the full payment of Carrier’s invoices, which shall not be subject to offset or other deduction.  Merchant’s guarantee of payment shall remain valid even if its named Affiliate has been sold or become bankrupt or insolvent. Credit shall not apply to any Affiliates that are not named in the Affiliates Appendix, and any request to add an Affiliate to this Contract shall be subject to Carrier’s prior written approval.</t>
  </si>
  <si>
    <t>Interest</t>
  </si>
  <si>
    <t>Any outstanding amount not paid by the Due Date may be subject to interest charges at the maximum rate allowed by law until full payment is made.  Interest may be added to past due balances and the total will be subject to interest fees for the next billing cycle.  The Carrier or its agents shall in all circumstances be free to determine to which invoice the payments are allocated.</t>
  </si>
  <si>
    <t>Lien Rights</t>
  </si>
  <si>
    <t>Merchant hereby agrees and acknowledges that Carrier’s grant of credit is given in exchange for lien rights as set forth herein, and that Carrier may exercise those lien rights without the necessity of obtaining a court order or judgment.  The Carrier, its servants or agents shall have a lien on the Cargo carried under the Contract for all sums due and outstanding, at any time where such sums remain due and unpaid.  Nothing in the Contract or this Credit Addendum shall prevent the Carrier from recovering from the Merchant the difference between the amount due from the Merchant and the amount realized by the exercise of the lien rights given to the Carrier under this Credit Addendum.</t>
  </si>
  <si>
    <t>Suspension or Termination</t>
  </si>
  <si>
    <t xml:space="preserve">In the event of an invoice not being paid by the Due Date, the Carrier may suspend credit.  Such suspension shall be notified to the Merchant in writing and shall be immediately applicable to any services under performance.  Additionally, credit may be terminated by the Carrier at any time subject to thirty (30) days prior written notice to the Merchant.  Carrier may terminate credit with immediate effect upon occurrence of either (i) default or breach of any terms of this Credit Addendum by the Merchant or one of its listed Affiliates, (ii) liquidation, bankruptcy, insolvency, credit protection proceedings involving them. Upon the termination of credit becoming effective, all sums outstanding thereunder shall become immediately due and payable. </t>
  </si>
  <si>
    <t xml:space="preserve">During the term of this Contract, Carrier shall grant to Merchant credit for Freight charges.  For the purposes of this Credit Addendum, the term “Freight” excludes taxes, duties, customs fines/outlays, demurrage, storage beyond free time, interest, court fees, attorney fees and other disbursements incurred in relation to the execution of Carrier’s rights under the Contract, if any, which are not subject to credit terms.  Merchant shall pay all amounts due per Carrier’s invoice for each (export and/or import) shipment within 30 calendar days from the date of Carrier’s invoice (the “Due Date”).  Payment must be made by electronic funds transfer, and no checks will be accepted.  In the event of any conflict between any other terms in the Contract and this Credit Addendum, this Credit Addendum shall govern all matters related to Merchant’s payment obligations and the credit facilities granted to Merchant herein. </t>
  </si>
  <si>
    <t>NCPRC BP LAX</t>
  </si>
  <si>
    <t>NCPRC BP OAK</t>
  </si>
  <si>
    <t>SPRC BP LAX</t>
  </si>
  <si>
    <t>SPRC BP OAK</t>
  </si>
  <si>
    <t>SHANGHAI, NINGBO, QINGDAO</t>
  </si>
  <si>
    <t>SHANGHAI, NINGBO, QINGDAO, TIANJINXINGANG</t>
  </si>
  <si>
    <t>NANSHA, YANTIAN, XIAMEN</t>
  </si>
  <si>
    <t>YANTIAN, SHEKOU</t>
  </si>
  <si>
    <t>FAK BD</t>
  </si>
  <si>
    <t>CHITTAGONG</t>
  </si>
  <si>
    <t>1,2,3,4</t>
  </si>
  <si>
    <t>BANGLADESH</t>
  </si>
  <si>
    <t>DHAKA</t>
  </si>
  <si>
    <t>FAK exclusion as per CMDU tariff 029, Rule 002 Application of Rates and Charges</t>
  </si>
  <si>
    <t>800</t>
  </si>
  <si>
    <t>1000</t>
  </si>
  <si>
    <t>LOS ANGELES, LONG BEACH</t>
  </si>
  <si>
    <t>KOLKATA(CALCUTTA)</t>
  </si>
  <si>
    <t>CHENNAI</t>
  </si>
  <si>
    <t>COCHIN</t>
  </si>
  <si>
    <t>COLOMBO</t>
  </si>
  <si>
    <t>HALDIA</t>
  </si>
  <si>
    <t>HAZIRA</t>
  </si>
  <si>
    <t>KARACHI</t>
  </si>
  <si>
    <t>KRISHNAPATNAM</t>
  </si>
  <si>
    <t>MANGALORE</t>
  </si>
  <si>
    <t>MUNDRA</t>
  </si>
  <si>
    <t>NHAVA SHEVA</t>
  </si>
  <si>
    <t>PIPAVAV</t>
  </si>
  <si>
    <t>TUTICORIN</t>
  </si>
  <si>
    <t>VISAKHAPATNAM</t>
  </si>
  <si>
    <t>YANTIAN,SHEKOU,XIAMEN,HONG KONG,YANGPU</t>
  </si>
  <si>
    <t>CMDU 020, 100, 102 , 043 , 029</t>
  </si>
  <si>
    <t>Date__________________</t>
  </si>
  <si>
    <t>B1,B2: Rates</t>
  </si>
  <si>
    <t>Date_________11/12/2025_________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</si>
</sst>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0____"/>
  </numFmts>
  <fonts count="36" x14ac:knownFonts="1">
    <font>
      <sz val="10"/>
      <name val="Arial"/>
    </font>
    <font>
      <sz val="10"/>
      <name val="Arial"/>
      <family val="2"/>
    </font>
    <font>
      <sz val="10"/>
      <name val="Arial"/>
      <family val="2"/>
    </font>
    <font>
      <sz val="8"/>
      <name val="Arial"/>
      <family val="2"/>
    </font>
    <font>
      <b/>
      <sz val="10"/>
      <name val="Arial"/>
      <family val="2"/>
    </font>
    <font>
      <b/>
      <sz val="12"/>
      <color indexed="81"/>
      <name val="Tahoma"/>
      <family val="2"/>
    </font>
    <font>
      <b/>
      <sz val="14"/>
      <color indexed="81"/>
      <name val="Tahoma"/>
      <family val="2"/>
    </font>
    <font>
      <sz val="10"/>
      <color indexed="22"/>
      <name val="Arial"/>
      <family val="2"/>
    </font>
    <font>
      <sz val="10"/>
      <color indexed="9"/>
      <name val="Arial"/>
      <family val="2"/>
    </font>
    <font>
      <b/>
      <i/>
      <sz val="14"/>
      <color indexed="81"/>
      <name val="Tahoma"/>
      <family val="2"/>
    </font>
    <font>
      <sz val="12"/>
      <color indexed="81"/>
      <name val="Tahoma"/>
      <family val="2"/>
    </font>
    <font>
      <u/>
      <sz val="12"/>
      <color indexed="81"/>
      <name val="Tahoma"/>
      <family val="2"/>
    </font>
    <font>
      <b/>
      <u/>
      <sz val="12"/>
      <color indexed="81"/>
      <name val="Tahoma"/>
      <family val="2"/>
    </font>
    <font>
      <sz val="10"/>
      <color rgb="FFFF0000"/>
      <name val="Arial"/>
      <family val="2"/>
    </font>
    <font>
      <u/>
      <sz val="10"/>
      <color theme="10"/>
      <name val="Arial"/>
      <family val="2"/>
    </font>
    <font>
      <i/>
      <sz val="10"/>
      <name val="Arial"/>
      <family val="2"/>
    </font>
    <font>
      <i/>
      <u/>
      <sz val="10"/>
      <color indexed="8"/>
      <name val="Arial"/>
      <family val="2"/>
    </font>
    <font>
      <i/>
      <sz val="10"/>
      <color indexed="8"/>
      <name val="Arial"/>
      <family val="2"/>
    </font>
    <font>
      <sz val="10"/>
      <color indexed="8"/>
      <name val="Arial"/>
      <family val="2"/>
    </font>
    <font>
      <u/>
      <sz val="10"/>
      <name val="Arial"/>
      <family val="2"/>
    </font>
    <font>
      <b/>
      <u/>
      <sz val="10"/>
      <name val="Arial"/>
      <family val="2"/>
    </font>
    <font>
      <u/>
      <sz val="10"/>
      <color rgb="FF0070C0"/>
      <name val="Arial"/>
      <family val="2"/>
    </font>
    <font>
      <u/>
      <sz val="10"/>
      <color rgb="FF0033CC"/>
      <name val="Arial"/>
      <family val="2"/>
    </font>
    <font>
      <b/>
      <i/>
      <sz val="10"/>
      <name val="Arial"/>
      <family val="2"/>
    </font>
    <font>
      <sz val="10"/>
      <color indexed="10"/>
      <name val="Arial"/>
      <family val="2"/>
    </font>
    <font>
      <sz val="10"/>
      <color indexed="12"/>
      <name val="Arial"/>
      <family val="2"/>
    </font>
    <font>
      <b/>
      <sz val="10"/>
      <color indexed="12"/>
      <name val="Arial"/>
      <family val="2"/>
    </font>
    <font>
      <b/>
      <sz val="10"/>
      <color indexed="10"/>
      <name val="Arial"/>
      <family val="2"/>
    </font>
    <font>
      <sz val="10"/>
      <color indexed="53"/>
      <name val="Arial"/>
      <family val="2"/>
    </font>
    <font>
      <sz val="10"/>
      <color indexed="23"/>
      <name val="Arial"/>
      <family val="2"/>
    </font>
    <font>
      <sz val="10"/>
      <color theme="0"/>
      <name val="Arial"/>
      <family val="2"/>
    </font>
    <font>
      <sz val="10"/>
      <color theme="1"/>
      <name val="Arial"/>
      <family val="2"/>
    </font>
    <font>
      <b/>
      <u/>
      <sz val="10"/>
      <color rgb="FF585858"/>
      <name val="Arial"/>
      <family val="2"/>
    </font>
    <font>
      <b/>
      <u/>
      <sz val="10"/>
      <color theme="1"/>
      <name val="Arial"/>
      <family val="2"/>
    </font>
    <font>
      <u/>
      <sz val="10"/>
      <color indexed="8"/>
      <name val="Arial"/>
      <family val="2"/>
    </font>
    <font>
      <b/>
      <strike/>
      <sz val="10"/>
      <color indexed="10"/>
      <name val="Arial"/>
      <family val="2"/>
    </font>
  </fonts>
  <fills count="13">
    <fill>
      <patternFill patternType="none"/>
    </fill>
    <fill>
      <patternFill patternType="gray125"/>
    </fill>
    <fill>
      <patternFill patternType="solid">
        <fgColor indexed="22"/>
        <bgColor indexed="64"/>
      </patternFill>
    </fill>
    <fill>
      <patternFill patternType="solid">
        <fgColor indexed="12"/>
        <bgColor indexed="64"/>
      </patternFill>
    </fill>
    <fill>
      <patternFill patternType="solid">
        <fgColor indexed="8"/>
        <bgColor indexed="64"/>
      </patternFill>
    </fill>
    <fill>
      <patternFill patternType="solid">
        <fgColor indexed="65"/>
        <bgColor indexed="64"/>
      </patternFill>
    </fill>
    <fill>
      <patternFill patternType="solid">
        <fgColor indexed="43"/>
        <bgColor indexed="64"/>
      </patternFill>
    </fill>
    <fill>
      <patternFill patternType="solid">
        <fgColor indexed="44"/>
        <bgColor indexed="64"/>
      </patternFill>
    </fill>
    <fill>
      <patternFill patternType="solid">
        <fgColor theme="3" tint="0.59999389629810485"/>
        <bgColor indexed="64"/>
      </patternFill>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rgb="FF92D050"/>
        <bgColor indexed="64"/>
      </patternFill>
    </fill>
  </fills>
  <borders count="7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thin">
        <color indexed="64"/>
      </left>
      <right/>
      <top/>
      <bottom/>
      <diagonal/>
    </border>
    <border>
      <left style="medium">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top style="double">
        <color indexed="64"/>
      </top>
      <bottom/>
      <diagonal/>
    </border>
    <border>
      <left style="medium">
        <color indexed="64"/>
      </left>
      <right/>
      <top style="medium">
        <color indexed="64"/>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bottom/>
      <diagonal/>
    </border>
    <border>
      <left style="medium">
        <color indexed="64"/>
      </left>
      <right style="medium">
        <color indexed="64"/>
      </right>
      <top/>
      <bottom style="thin">
        <color indexed="64"/>
      </bottom>
      <diagonal/>
    </border>
    <border>
      <left style="thin">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right style="medium">
        <color rgb="FF000000"/>
      </right>
      <top style="medium">
        <color indexed="64"/>
      </top>
      <bottom style="medium">
        <color indexed="64"/>
      </bottom>
      <diagonal/>
    </border>
  </borders>
  <cellStyleXfs count="9">
    <xf numFmtId="0" fontId="0" fillId="0" borderId="0"/>
    <xf numFmtId="0" fontId="2" fillId="0" borderId="0"/>
    <xf numFmtId="0" fontId="2" fillId="0" borderId="0"/>
    <xf numFmtId="9" fontId="1" fillId="0" borderId="0" applyFont="0" applyFill="0" applyBorder="0" applyAlignment="0" applyProtection="0"/>
    <xf numFmtId="0" fontId="1" fillId="0" borderId="0"/>
    <xf numFmtId="0" fontId="14" fillId="0" borderId="0" applyNumberFormat="0" applyFill="0" applyBorder="0" applyAlignment="0" applyProtection="0"/>
    <xf numFmtId="9" fontId="1" fillId="0" borderId="0" applyFont="0" applyFill="0" applyBorder="0" applyAlignment="0" applyProtection="0"/>
    <xf numFmtId="0" fontId="1" fillId="0" borderId="0"/>
    <xf numFmtId="0" fontId="1" fillId="0" borderId="0"/>
  </cellStyleXfs>
  <cellXfs count="729">
    <xf numFmtId="0" fontId="0" fillId="0" borderId="0" xfId="0"/>
    <xf numFmtId="0" fontId="4" fillId="0" borderId="0" xfId="0" applyFont="1"/>
    <xf numFmtId="0" fontId="4" fillId="0" borderId="13" xfId="0" applyFont="1" applyBorder="1"/>
    <xf numFmtId="0" fontId="7" fillId="2" borderId="0" xfId="0" applyFont="1" applyFill="1" applyAlignment="1">
      <alignment horizontal="center" vertical="center"/>
    </xf>
    <xf numFmtId="0" fontId="4" fillId="0" borderId="40" xfId="0" applyFont="1" applyBorder="1"/>
    <xf numFmtId="0" fontId="8" fillId="0" borderId="0" xfId="0" applyFont="1"/>
    <xf numFmtId="0" fontId="4" fillId="0" borderId="18" xfId="0" applyFont="1" applyBorder="1"/>
    <xf numFmtId="0" fontId="4" fillId="0" borderId="27" xfId="0" applyFont="1" applyBorder="1"/>
    <xf numFmtId="0" fontId="1" fillId="0" borderId="10" xfId="0" applyFont="1" applyBorder="1" applyAlignment="1">
      <alignment wrapText="1"/>
    </xf>
    <xf numFmtId="0" fontId="1" fillId="0" borderId="11" xfId="0" applyFont="1" applyBorder="1" applyAlignment="1">
      <alignment wrapText="1"/>
    </xf>
    <xf numFmtId="0" fontId="1" fillId="0" borderId="19" xfId="0" applyFont="1" applyBorder="1" applyAlignment="1">
      <alignment wrapText="1"/>
    </xf>
    <xf numFmtId="0" fontId="1" fillId="0" borderId="52" xfId="0" applyFont="1" applyBorder="1" applyAlignment="1">
      <alignment wrapText="1"/>
    </xf>
    <xf numFmtId="0" fontId="1" fillId="0" borderId="10" xfId="0" applyFont="1" applyBorder="1"/>
    <xf numFmtId="0" fontId="1" fillId="0" borderId="11" xfId="0" applyFont="1" applyBorder="1"/>
    <xf numFmtId="0" fontId="1" fillId="0" borderId="12" xfId="0" applyFont="1" applyBorder="1" applyAlignment="1">
      <alignment wrapText="1"/>
    </xf>
    <xf numFmtId="0" fontId="1" fillId="0" borderId="0" xfId="0" applyFont="1"/>
    <xf numFmtId="0" fontId="1" fillId="5" borderId="0" xfId="0" applyFont="1" applyFill="1"/>
    <xf numFmtId="0" fontId="13" fillId="0" borderId="0" xfId="0" applyFont="1"/>
    <xf numFmtId="0" fontId="1" fillId="2" borderId="0" xfId="0" applyFont="1" applyFill="1"/>
    <xf numFmtId="0" fontId="1" fillId="0" borderId="0" xfId="1" applyFont="1"/>
    <xf numFmtId="0" fontId="1" fillId="0" borderId="0" xfId="0" applyFont="1" applyAlignment="1">
      <alignment vertical="center"/>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0" borderId="11" xfId="0" applyFont="1" applyBorder="1" applyAlignment="1" applyProtection="1">
      <alignment horizontal="center" vertical="center" wrapText="1"/>
      <protection locked="0"/>
    </xf>
    <xf numFmtId="0" fontId="1" fillId="0" borderId="5" xfId="0" applyFont="1" applyBorder="1" applyAlignment="1" applyProtection="1">
      <alignment horizontal="center" vertical="center" wrapText="1"/>
      <protection locked="0"/>
    </xf>
    <xf numFmtId="0" fontId="8" fillId="0" borderId="0" xfId="0" applyFont="1" applyAlignment="1">
      <alignment horizontal="center" vertical="center" wrapText="1"/>
    </xf>
    <xf numFmtId="0" fontId="8" fillId="0" borderId="0" xfId="0" applyFont="1" applyAlignment="1" applyProtection="1">
      <alignment horizontal="center" vertical="center" wrapText="1"/>
      <protection locked="0"/>
    </xf>
    <xf numFmtId="164" fontId="8" fillId="0" borderId="0" xfId="0" applyNumberFormat="1" applyFont="1" applyAlignment="1" applyProtection="1">
      <alignment horizontal="center" vertical="center" wrapText="1"/>
      <protection locked="0"/>
    </xf>
    <xf numFmtId="0" fontId="1" fillId="0" borderId="0" xfId="0" applyFont="1" applyProtection="1">
      <protection locked="0"/>
    </xf>
    <xf numFmtId="0" fontId="1" fillId="0" borderId="16" xfId="0" applyFont="1" applyBorder="1" applyAlignment="1">
      <alignment wrapText="1"/>
    </xf>
    <xf numFmtId="0" fontId="1" fillId="0" borderId="43" xfId="0" applyFont="1" applyBorder="1" applyAlignment="1">
      <alignment wrapText="1"/>
    </xf>
    <xf numFmtId="0" fontId="1" fillId="0" borderId="66" xfId="0" applyFont="1" applyBorder="1" applyAlignment="1">
      <alignment wrapText="1"/>
    </xf>
    <xf numFmtId="0" fontId="1" fillId="0" borderId="16" xfId="0" applyFont="1" applyBorder="1"/>
    <xf numFmtId="0" fontId="1" fillId="0" borderId="17" xfId="0" applyFont="1" applyBorder="1"/>
    <xf numFmtId="0" fontId="1" fillId="0" borderId="20" xfId="0" applyFont="1" applyBorder="1" applyAlignment="1">
      <alignment wrapText="1"/>
    </xf>
    <xf numFmtId="0" fontId="1" fillId="0" borderId="60" xfId="0" applyFont="1" applyBorder="1" applyAlignment="1">
      <alignment wrapText="1"/>
    </xf>
    <xf numFmtId="0" fontId="1" fillId="0" borderId="53" xfId="0" applyFont="1" applyBorder="1" applyAlignment="1">
      <alignment wrapText="1"/>
    </xf>
    <xf numFmtId="0" fontId="1" fillId="0" borderId="67" xfId="0" applyFont="1" applyBorder="1" applyAlignment="1">
      <alignment wrapText="1"/>
    </xf>
    <xf numFmtId="0" fontId="1" fillId="0" borderId="35" xfId="0" applyFont="1" applyBorder="1" applyAlignment="1">
      <alignment wrapText="1"/>
    </xf>
    <xf numFmtId="0" fontId="1" fillId="0" borderId="33" xfId="0" applyFont="1" applyBorder="1" applyAlignment="1">
      <alignment wrapText="1"/>
    </xf>
    <xf numFmtId="0" fontId="1" fillId="0" borderId="68" xfId="0" applyFont="1" applyBorder="1" applyAlignment="1">
      <alignment wrapText="1"/>
    </xf>
    <xf numFmtId="0" fontId="1" fillId="0" borderId="11" xfId="0" applyFont="1" applyBorder="1" applyAlignment="1">
      <alignment vertical="center" wrapText="1"/>
    </xf>
    <xf numFmtId="0" fontId="1" fillId="0" borderId="69" xfId="0" applyFont="1" applyBorder="1" applyAlignment="1">
      <alignment wrapText="1"/>
    </xf>
    <xf numFmtId="0" fontId="1" fillId="0" borderId="12" xfId="0" applyFont="1" applyBorder="1" applyAlignment="1">
      <alignment vertical="center" wrapText="1"/>
    </xf>
    <xf numFmtId="0" fontId="1" fillId="0" borderId="35" xfId="0" applyFont="1" applyBorder="1"/>
    <xf numFmtId="0" fontId="1" fillId="0" borderId="68" xfId="0" applyFont="1" applyBorder="1"/>
    <xf numFmtId="0" fontId="1" fillId="0" borderId="37" xfId="0" applyFont="1" applyBorder="1" applyAlignment="1">
      <alignment wrapText="1"/>
    </xf>
    <xf numFmtId="0" fontId="1" fillId="0" borderId="10" xfId="0" applyFont="1" applyBorder="1" applyAlignment="1">
      <alignment vertical="center"/>
    </xf>
    <xf numFmtId="0" fontId="1" fillId="0" borderId="32" xfId="0" applyFont="1" applyBorder="1" applyAlignment="1">
      <alignment vertical="center" wrapText="1"/>
    </xf>
    <xf numFmtId="0" fontId="1" fillId="0" borderId="11" xfId="0" applyFont="1" applyBorder="1" applyAlignment="1">
      <alignment vertical="center"/>
    </xf>
    <xf numFmtId="0" fontId="1" fillId="0" borderId="38" xfId="0" applyFont="1" applyBorder="1" applyAlignment="1">
      <alignment wrapText="1"/>
    </xf>
    <xf numFmtId="0" fontId="1" fillId="0" borderId="18" xfId="0" applyFont="1" applyBorder="1" applyAlignment="1">
      <alignment wrapText="1"/>
    </xf>
    <xf numFmtId="0" fontId="1" fillId="0" borderId="25" xfId="0" applyFont="1" applyBorder="1" applyProtection="1">
      <protection locked="0"/>
    </xf>
    <xf numFmtId="0" fontId="1" fillId="2" borderId="2"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0" borderId="11" xfId="0" applyFont="1" applyBorder="1" applyAlignment="1" applyProtection="1">
      <alignment vertical="center"/>
      <protection locked="0"/>
    </xf>
    <xf numFmtId="49" fontId="16" fillId="0" borderId="0" xfId="0" applyNumberFormat="1" applyFont="1" applyAlignment="1" applyProtection="1">
      <alignment vertical="center"/>
      <protection locked="0"/>
    </xf>
    <xf numFmtId="0" fontId="17" fillId="0" borderId="0" xfId="0" applyFont="1" applyAlignment="1" applyProtection="1">
      <alignment vertical="center"/>
      <protection locked="0"/>
    </xf>
    <xf numFmtId="0" fontId="15" fillId="0" borderId="0" xfId="0" applyFont="1" applyAlignment="1" applyProtection="1">
      <alignment vertical="center"/>
      <protection locked="0"/>
    </xf>
    <xf numFmtId="0" fontId="1" fillId="0" borderId="10" xfId="0" applyFont="1" applyBorder="1" applyAlignment="1" applyProtection="1">
      <alignment vertical="center"/>
      <protection locked="0"/>
    </xf>
    <xf numFmtId="0" fontId="1" fillId="0" borderId="11" xfId="0" applyFont="1" applyBorder="1" applyAlignment="1" applyProtection="1">
      <alignment horizontal="left" vertical="center"/>
      <protection locked="0"/>
    </xf>
    <xf numFmtId="0" fontId="1" fillId="0" borderId="11" xfId="0" applyFont="1" applyBorder="1" applyAlignment="1" applyProtection="1">
      <alignment horizontal="center" vertical="center"/>
      <protection locked="0"/>
    </xf>
    <xf numFmtId="165" fontId="1" fillId="0" borderId="11" xfId="0" applyNumberFormat="1" applyFont="1" applyBorder="1" applyAlignment="1" applyProtection="1">
      <alignment horizontal="right" vertical="center"/>
      <protection locked="0"/>
    </xf>
    <xf numFmtId="0" fontId="1" fillId="0" borderId="12" xfId="0" applyFont="1" applyBorder="1" applyAlignment="1" applyProtection="1">
      <alignment horizontal="center" vertical="center"/>
      <protection locked="0"/>
    </xf>
    <xf numFmtId="0" fontId="1" fillId="0" borderId="0" xfId="0" applyFont="1" applyAlignment="1" applyProtection="1">
      <alignment vertical="center"/>
      <protection locked="0"/>
    </xf>
    <xf numFmtId="0" fontId="1" fillId="0" borderId="10"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9" fillId="0" borderId="0" xfId="0" applyFont="1"/>
    <xf numFmtId="0" fontId="1" fillId="0" borderId="0" xfId="0" applyFont="1" applyAlignment="1" applyProtection="1">
      <alignment horizontal="left" wrapText="1"/>
      <protection locked="0"/>
    </xf>
    <xf numFmtId="0" fontId="1" fillId="0" borderId="0" xfId="0" applyFont="1" applyAlignment="1" applyProtection="1">
      <alignment wrapText="1"/>
      <protection locked="0"/>
    </xf>
    <xf numFmtId="0" fontId="1" fillId="0" borderId="0" xfId="0" applyFont="1" applyAlignment="1" applyProtection="1">
      <alignment horizontal="left" indent="5"/>
      <protection locked="0"/>
    </xf>
    <xf numFmtId="0" fontId="1" fillId="0" borderId="0" xfId="0" applyFont="1" applyAlignment="1">
      <alignment horizontal="left" indent="5"/>
    </xf>
    <xf numFmtId="0" fontId="4" fillId="0" borderId="28" xfId="0" applyFont="1" applyBorder="1" applyAlignment="1">
      <alignment vertical="top"/>
    </xf>
    <xf numFmtId="0" fontId="4" fillId="0" borderId="28" xfId="0" applyFont="1" applyBorder="1" applyAlignment="1">
      <alignment horizontal="left" vertical="top" wrapText="1" indent="5"/>
    </xf>
    <xf numFmtId="49" fontId="4" fillId="0" borderId="0" xfId="0" applyNumberFormat="1" applyFont="1"/>
    <xf numFmtId="3" fontId="1" fillId="0" borderId="0" xfId="0" applyNumberFormat="1" applyFont="1" applyAlignment="1" applyProtection="1">
      <alignment horizontal="left"/>
      <protection locked="0"/>
    </xf>
    <xf numFmtId="0" fontId="1" fillId="0" borderId="0" xfId="0" applyFont="1" applyAlignment="1">
      <alignment wrapText="1"/>
    </xf>
    <xf numFmtId="0" fontId="1" fillId="0" borderId="0" xfId="0" applyFont="1" applyAlignment="1" applyProtection="1">
      <alignment horizontal="left" vertical="top" wrapText="1"/>
      <protection locked="0"/>
    </xf>
    <xf numFmtId="0" fontId="1" fillId="0" borderId="50" xfId="0" applyFont="1" applyBorder="1" applyProtection="1">
      <protection locked="0"/>
    </xf>
    <xf numFmtId="0" fontId="1" fillId="0" borderId="0" xfId="0" applyFont="1" applyAlignment="1">
      <alignment horizontal="left" wrapText="1" indent="5"/>
    </xf>
    <xf numFmtId="0" fontId="1" fillId="0" borderId="0" xfId="0" applyFont="1" applyAlignment="1">
      <alignment horizontal="left" vertical="top" wrapText="1" indent="5"/>
    </xf>
    <xf numFmtId="0" fontId="4" fillId="0" borderId="0" xfId="0" applyFont="1" applyProtection="1">
      <protection locked="0"/>
    </xf>
    <xf numFmtId="0" fontId="4" fillId="0" borderId="0" xfId="0" applyFont="1" applyAlignment="1" applyProtection="1">
      <alignment horizontal="left" wrapText="1"/>
      <protection locked="0"/>
    </xf>
    <xf numFmtId="0" fontId="23" fillId="0" borderId="0" xfId="0" applyFont="1" applyAlignment="1" applyProtection="1">
      <alignment horizontal="right"/>
      <protection locked="0"/>
    </xf>
    <xf numFmtId="0" fontId="4" fillId="0" borderId="40" xfId="0" applyFont="1" applyBorder="1" applyAlignment="1">
      <alignment horizontal="center" vertical="center" wrapText="1"/>
    </xf>
    <xf numFmtId="0" fontId="4" fillId="0" borderId="0" xfId="0" applyFont="1" applyAlignment="1">
      <alignment horizontal="center" vertical="center" wrapText="1"/>
    </xf>
    <xf numFmtId="0" fontId="1" fillId="2" borderId="40" xfId="0" applyFont="1" applyFill="1" applyBorder="1" applyAlignment="1">
      <alignment horizontal="right"/>
    </xf>
    <xf numFmtId="0" fontId="24" fillId="0" borderId="0" xfId="0" applyFont="1" applyAlignment="1">
      <alignment wrapText="1"/>
    </xf>
    <xf numFmtId="0" fontId="1" fillId="2" borderId="40" xfId="0" applyFont="1" applyFill="1" applyBorder="1" applyAlignment="1">
      <alignment horizontal="left"/>
    </xf>
    <xf numFmtId="0" fontId="1" fillId="2" borderId="20" xfId="0" applyFont="1" applyFill="1" applyBorder="1" applyAlignment="1">
      <alignment horizontal="left"/>
    </xf>
    <xf numFmtId="0" fontId="1" fillId="2" borderId="13" xfId="0" applyFont="1" applyFill="1" applyBorder="1" applyAlignment="1">
      <alignment horizontal="left"/>
    </xf>
    <xf numFmtId="0" fontId="1" fillId="2" borderId="25" xfId="0" applyFont="1" applyFill="1" applyBorder="1" applyAlignment="1">
      <alignment horizontal="right"/>
    </xf>
    <xf numFmtId="0" fontId="7" fillId="2" borderId="49" xfId="0" applyFont="1" applyFill="1" applyBorder="1" applyAlignment="1">
      <alignment horizontal="right"/>
    </xf>
    <xf numFmtId="0" fontId="1" fillId="2" borderId="19" xfId="0" applyFont="1" applyFill="1" applyBorder="1" applyAlignment="1">
      <alignment horizontal="right"/>
    </xf>
    <xf numFmtId="0" fontId="1" fillId="2" borderId="24" xfId="0" applyFont="1" applyFill="1" applyBorder="1" applyAlignment="1">
      <alignment horizontal="right"/>
    </xf>
    <xf numFmtId="0" fontId="1" fillId="2" borderId="21" xfId="0" applyFont="1" applyFill="1" applyBorder="1" applyAlignment="1">
      <alignment horizontal="right"/>
    </xf>
    <xf numFmtId="0" fontId="1" fillId="2" borderId="22" xfId="0" applyFont="1" applyFill="1" applyBorder="1" applyAlignment="1">
      <alignment horizontal="right"/>
    </xf>
    <xf numFmtId="0" fontId="1" fillId="2" borderId="20" xfId="0" applyFont="1" applyFill="1" applyBorder="1" applyAlignment="1">
      <alignment horizontal="right"/>
    </xf>
    <xf numFmtId="0" fontId="1" fillId="2" borderId="51" xfId="0" applyFont="1" applyFill="1" applyBorder="1" applyAlignment="1">
      <alignment horizontal="right"/>
    </xf>
    <xf numFmtId="0" fontId="7" fillId="2" borderId="24" xfId="0" applyFont="1" applyFill="1" applyBorder="1" applyAlignment="1">
      <alignment horizontal="left"/>
    </xf>
    <xf numFmtId="0" fontId="1" fillId="2" borderId="33" xfId="0" applyFont="1" applyFill="1" applyBorder="1" applyAlignment="1">
      <alignment horizontal="right"/>
    </xf>
    <xf numFmtId="0" fontId="1" fillId="2" borderId="41" xfId="0" applyFont="1" applyFill="1" applyBorder="1" applyAlignment="1">
      <alignment horizontal="right"/>
    </xf>
    <xf numFmtId="0" fontId="25" fillId="2" borderId="42" xfId="0" applyFont="1" applyFill="1" applyBorder="1" applyAlignment="1">
      <alignment horizontal="right"/>
    </xf>
    <xf numFmtId="0" fontId="1" fillId="2" borderId="19" xfId="1" applyFont="1" applyFill="1" applyBorder="1" applyAlignment="1">
      <alignment horizontal="left" wrapText="1"/>
    </xf>
    <xf numFmtId="0" fontId="25" fillId="2" borderId="19" xfId="0" applyFont="1" applyFill="1" applyBorder="1" applyAlignment="1">
      <alignment horizontal="right" wrapText="1"/>
    </xf>
    <xf numFmtId="0" fontId="7" fillId="2" borderId="21" xfId="0" applyFont="1" applyFill="1" applyBorder="1" applyAlignment="1">
      <alignment horizontal="right" wrapText="1"/>
    </xf>
    <xf numFmtId="0" fontId="1" fillId="4" borderId="24" xfId="0" applyFont="1" applyFill="1" applyBorder="1"/>
    <xf numFmtId="0" fontId="7" fillId="2" borderId="30" xfId="0" applyFont="1" applyFill="1" applyBorder="1"/>
    <xf numFmtId="0" fontId="7" fillId="2" borderId="24" xfId="0" applyFont="1" applyFill="1" applyBorder="1" applyAlignment="1">
      <alignment horizontal="center"/>
    </xf>
    <xf numFmtId="0" fontId="1" fillId="0" borderId="30" xfId="0" applyFont="1" applyBorder="1" applyProtection="1">
      <protection locked="0"/>
    </xf>
    <xf numFmtId="0" fontId="25" fillId="2" borderId="0" xfId="0" applyFont="1" applyFill="1" applyAlignment="1">
      <alignment horizontal="right"/>
    </xf>
    <xf numFmtId="0" fontId="1" fillId="0" borderId="18" xfId="0" applyFont="1" applyBorder="1" applyProtection="1">
      <protection locked="0"/>
    </xf>
    <xf numFmtId="0" fontId="1" fillId="0" borderId="16" xfId="0" applyFont="1" applyBorder="1" applyProtection="1">
      <protection locked="0"/>
    </xf>
    <xf numFmtId="0" fontId="1" fillId="0" borderId="33" xfId="0" applyFont="1" applyBorder="1" applyProtection="1">
      <protection locked="0"/>
    </xf>
    <xf numFmtId="0" fontId="1" fillId="0" borderId="32" xfId="0" applyFont="1" applyBorder="1" applyProtection="1">
      <protection locked="0"/>
    </xf>
    <xf numFmtId="0" fontId="1" fillId="0" borderId="33" xfId="0" applyFont="1" applyBorder="1" applyAlignment="1" applyProtection="1">
      <alignment wrapText="1" shrinkToFit="1"/>
      <protection locked="0"/>
    </xf>
    <xf numFmtId="0" fontId="1" fillId="0" borderId="16" xfId="0" applyFont="1" applyBorder="1" applyAlignment="1" applyProtection="1">
      <alignment wrapText="1" shrinkToFit="1"/>
      <protection locked="0"/>
    </xf>
    <xf numFmtId="0" fontId="1" fillId="0" borderId="0" xfId="0" applyFont="1" applyAlignment="1" applyProtection="1">
      <alignment wrapText="1" shrinkToFit="1"/>
      <protection locked="0"/>
    </xf>
    <xf numFmtId="0" fontId="1" fillId="0" borderId="41" xfId="0" applyFont="1" applyBorder="1" applyProtection="1">
      <protection locked="0"/>
    </xf>
    <xf numFmtId="0" fontId="1" fillId="0" borderId="17" xfId="0" applyFont="1" applyBorder="1" applyProtection="1">
      <protection locked="0"/>
    </xf>
    <xf numFmtId="0" fontId="1" fillId="2" borderId="19" xfId="0" applyFont="1" applyFill="1" applyBorder="1" applyAlignment="1">
      <alignment horizontal="right" wrapText="1"/>
    </xf>
    <xf numFmtId="0" fontId="1" fillId="2" borderId="0" xfId="0" applyFont="1" applyFill="1" applyAlignment="1">
      <alignment horizontal="center" vertical="center"/>
    </xf>
    <xf numFmtId="0" fontId="1" fillId="2" borderId="22"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34" xfId="0" applyFont="1" applyFill="1" applyBorder="1" applyAlignment="1">
      <alignment horizontal="center" vertical="center"/>
    </xf>
    <xf numFmtId="0" fontId="1" fillId="2" borderId="9"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27"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27" fillId="2" borderId="9" xfId="0" applyFont="1" applyFill="1" applyBorder="1" applyAlignment="1">
      <alignment horizontal="center" vertical="center"/>
    </xf>
    <xf numFmtId="0" fontId="1" fillId="2" borderId="0" xfId="0" applyFont="1" applyFill="1" applyAlignment="1">
      <alignment vertical="center"/>
    </xf>
    <xf numFmtId="49" fontId="1" fillId="2" borderId="30" xfId="0" applyNumberFormat="1" applyFont="1" applyFill="1" applyBorder="1" applyAlignment="1">
      <alignment vertical="center"/>
    </xf>
    <xf numFmtId="0" fontId="1" fillId="9" borderId="0" xfId="0" applyFont="1" applyFill="1" applyAlignment="1">
      <alignment vertical="center"/>
    </xf>
    <xf numFmtId="49" fontId="1" fillId="2" borderId="24" xfId="0" applyNumberFormat="1" applyFont="1" applyFill="1" applyBorder="1" applyAlignment="1">
      <alignment vertical="center"/>
    </xf>
    <xf numFmtId="0" fontId="1" fillId="2" borderId="21" xfId="0" applyFont="1" applyFill="1" applyBorder="1" applyAlignment="1">
      <alignment vertical="center"/>
    </xf>
    <xf numFmtId="0" fontId="8" fillId="0" borderId="0" xfId="0" applyFont="1" applyAlignment="1">
      <alignment vertical="center"/>
    </xf>
    <xf numFmtId="49" fontId="1" fillId="0" borderId="0" xfId="0" applyNumberFormat="1" applyFont="1" applyAlignment="1">
      <alignment vertical="center"/>
    </xf>
    <xf numFmtId="49" fontId="1" fillId="0" borderId="0" xfId="0" applyNumberFormat="1" applyFont="1" applyAlignment="1">
      <alignment horizontal="center" vertical="center"/>
    </xf>
    <xf numFmtId="0" fontId="24" fillId="0" borderId="0" xfId="0" applyFont="1" applyAlignment="1">
      <alignment vertical="center"/>
    </xf>
    <xf numFmtId="0" fontId="1" fillId="0" borderId="0" xfId="0" applyFont="1" applyAlignment="1">
      <alignment horizontal="left" vertical="center"/>
    </xf>
    <xf numFmtId="0" fontId="8" fillId="3" borderId="22" xfId="0" applyFont="1" applyFill="1" applyBorder="1" applyAlignment="1">
      <alignment vertical="center"/>
    </xf>
    <xf numFmtId="0" fontId="1" fillId="3" borderId="23" xfId="0" applyFont="1" applyFill="1" applyBorder="1" applyAlignment="1">
      <alignment vertical="center"/>
    </xf>
    <xf numFmtId="0" fontId="1" fillId="0" borderId="0" xfId="0" applyFont="1" applyAlignment="1">
      <alignment vertical="center" wrapText="1" shrinkToFit="1"/>
    </xf>
    <xf numFmtId="0" fontId="1" fillId="2" borderId="1" xfId="0" applyFont="1" applyFill="1" applyBorder="1" applyAlignment="1">
      <alignment vertical="center"/>
    </xf>
    <xf numFmtId="0" fontId="1" fillId="2" borderId="2" xfId="0" applyFont="1" applyFill="1" applyBorder="1" applyAlignment="1">
      <alignment vertical="center"/>
    </xf>
    <xf numFmtId="0" fontId="1" fillId="0" borderId="5" xfId="0" applyFont="1" applyBorder="1" applyAlignment="1" applyProtection="1">
      <alignment vertical="center"/>
      <protection locked="0"/>
    </xf>
    <xf numFmtId="0" fontId="17" fillId="0" borderId="0" xfId="0" applyFont="1" applyAlignment="1">
      <alignment vertical="center"/>
    </xf>
    <xf numFmtId="49" fontId="16" fillId="0" borderId="0" xfId="0" applyNumberFormat="1" applyFont="1" applyAlignment="1">
      <alignment vertical="center"/>
    </xf>
    <xf numFmtId="0" fontId="15" fillId="0" borderId="0" xfId="0" applyFont="1" applyAlignment="1">
      <alignment vertical="center"/>
    </xf>
    <xf numFmtId="0" fontId="1" fillId="3" borderId="26" xfId="0" applyFont="1" applyFill="1" applyBorder="1" applyAlignment="1">
      <alignment vertical="center"/>
    </xf>
    <xf numFmtId="0" fontId="1" fillId="2" borderId="31" xfId="0" applyFont="1" applyFill="1" applyBorder="1" applyAlignment="1">
      <alignment vertical="center"/>
    </xf>
    <xf numFmtId="0" fontId="1" fillId="0" borderId="0" xfId="0" applyFont="1" applyAlignment="1">
      <alignment vertical="center" wrapText="1"/>
    </xf>
    <xf numFmtId="0" fontId="1" fillId="2" borderId="30" xfId="0" applyFont="1" applyFill="1" applyBorder="1" applyAlignment="1">
      <alignment vertical="center"/>
    </xf>
    <xf numFmtId="0" fontId="1" fillId="2" borderId="25" xfId="0" applyFont="1" applyFill="1" applyBorder="1" applyAlignment="1">
      <alignment vertical="center"/>
    </xf>
    <xf numFmtId="0" fontId="17" fillId="2" borderId="25" xfId="0" applyFont="1" applyFill="1" applyBorder="1" applyAlignment="1">
      <alignment vertical="center"/>
    </xf>
    <xf numFmtId="49" fontId="17" fillId="2" borderId="25" xfId="0" applyNumberFormat="1" applyFont="1" applyFill="1" applyBorder="1" applyAlignment="1">
      <alignment vertical="center"/>
    </xf>
    <xf numFmtId="49" fontId="17" fillId="2" borderId="25" xfId="0" applyNumberFormat="1" applyFont="1" applyFill="1" applyBorder="1" applyAlignment="1">
      <alignment horizontal="center" vertical="center"/>
    </xf>
    <xf numFmtId="49" fontId="16" fillId="2" borderId="25" xfId="0" applyNumberFormat="1" applyFont="1" applyFill="1" applyBorder="1" applyAlignment="1">
      <alignment horizontal="center" vertical="center"/>
    </xf>
    <xf numFmtId="49" fontId="16" fillId="2" borderId="25" xfId="0" applyNumberFormat="1" applyFont="1" applyFill="1" applyBorder="1" applyAlignment="1">
      <alignment vertical="center"/>
    </xf>
    <xf numFmtId="49" fontId="16" fillId="2" borderId="26" xfId="0" applyNumberFormat="1" applyFont="1" applyFill="1" applyBorder="1" applyAlignment="1">
      <alignment vertical="center"/>
    </xf>
    <xf numFmtId="0" fontId="1" fillId="2" borderId="24" xfId="0" applyFont="1" applyFill="1" applyBorder="1" applyAlignment="1">
      <alignment vertical="center"/>
    </xf>
    <xf numFmtId="0" fontId="17" fillId="2" borderId="0" xfId="0" applyFont="1" applyFill="1" applyAlignment="1">
      <alignment vertical="center"/>
    </xf>
    <xf numFmtId="49" fontId="17" fillId="2" borderId="0" xfId="0" applyNumberFormat="1" applyFont="1" applyFill="1" applyAlignment="1">
      <alignment vertical="center"/>
    </xf>
    <xf numFmtId="49" fontId="17" fillId="2" borderId="0" xfId="0" applyNumberFormat="1" applyFont="1" applyFill="1" applyAlignment="1">
      <alignment horizontal="center" vertical="center"/>
    </xf>
    <xf numFmtId="49" fontId="16" fillId="2" borderId="0" xfId="0" applyNumberFormat="1" applyFont="1" applyFill="1" applyAlignment="1">
      <alignment horizontal="center" vertical="center"/>
    </xf>
    <xf numFmtId="49" fontId="16" fillId="2" borderId="0" xfId="0" applyNumberFormat="1" applyFont="1" applyFill="1" applyAlignment="1">
      <alignment vertical="center"/>
    </xf>
    <xf numFmtId="49" fontId="16" fillId="2" borderId="27" xfId="0" applyNumberFormat="1" applyFont="1" applyFill="1" applyBorder="1" applyAlignment="1">
      <alignment vertical="center"/>
    </xf>
    <xf numFmtId="0" fontId="1" fillId="2" borderId="28" xfId="0" applyFont="1" applyFill="1" applyBorder="1" applyAlignment="1">
      <alignment vertical="center"/>
    </xf>
    <xf numFmtId="0" fontId="17" fillId="2" borderId="28" xfId="0" applyFont="1" applyFill="1" applyBorder="1" applyAlignment="1">
      <alignment vertical="center"/>
    </xf>
    <xf numFmtId="49" fontId="17" fillId="2" borderId="28" xfId="0" applyNumberFormat="1" applyFont="1" applyFill="1" applyBorder="1" applyAlignment="1">
      <alignment vertical="center"/>
    </xf>
    <xf numFmtId="49" fontId="17" fillId="2" borderId="28" xfId="0" applyNumberFormat="1" applyFont="1" applyFill="1" applyBorder="1" applyAlignment="1">
      <alignment horizontal="center" vertical="center"/>
    </xf>
    <xf numFmtId="49" fontId="16" fillId="2" borderId="28" xfId="0" applyNumberFormat="1" applyFont="1" applyFill="1" applyBorder="1" applyAlignment="1">
      <alignment horizontal="center" vertical="center"/>
    </xf>
    <xf numFmtId="49" fontId="16" fillId="2" borderId="28" xfId="0" applyNumberFormat="1" applyFont="1" applyFill="1" applyBorder="1" applyAlignment="1">
      <alignment vertical="center"/>
    </xf>
    <xf numFmtId="49" fontId="16" fillId="2" borderId="29" xfId="0" applyNumberFormat="1" applyFont="1" applyFill="1" applyBorder="1" applyAlignment="1">
      <alignment vertical="center"/>
    </xf>
    <xf numFmtId="0" fontId="18" fillId="0" borderId="0" xfId="0" applyFont="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pplyProtection="1">
      <alignment horizontal="center" vertical="center" wrapText="1"/>
      <protection locked="0"/>
    </xf>
    <xf numFmtId="0" fontId="1" fillId="2" borderId="3" xfId="0" applyFont="1" applyFill="1" applyBorder="1" applyAlignment="1">
      <alignment horizontal="center" vertical="center" wrapText="1"/>
    </xf>
    <xf numFmtId="0" fontId="1" fillId="0" borderId="0" xfId="0" applyFont="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5" xfId="0" applyFont="1" applyFill="1" applyBorder="1" applyAlignment="1" applyProtection="1">
      <alignment horizontal="center" vertical="center" wrapText="1"/>
      <protection locked="0"/>
    </xf>
    <xf numFmtId="0" fontId="1" fillId="2" borderId="6" xfId="0" applyFont="1" applyFill="1" applyBorder="1" applyAlignment="1">
      <alignment horizontal="center" vertical="center" wrapText="1"/>
    </xf>
    <xf numFmtId="0" fontId="18" fillId="0" borderId="11" xfId="0" applyFont="1" applyBorder="1" applyAlignment="1" applyProtection="1">
      <alignment horizontal="left" vertical="center"/>
      <protection locked="0"/>
    </xf>
    <xf numFmtId="0" fontId="18" fillId="0" borderId="11" xfId="0" applyFont="1" applyBorder="1" applyAlignment="1" applyProtection="1">
      <alignment horizontal="center" vertical="center"/>
      <protection locked="0"/>
    </xf>
    <xf numFmtId="165" fontId="18" fillId="0" borderId="11" xfId="0" applyNumberFormat="1" applyFont="1" applyBorder="1" applyAlignment="1" applyProtection="1">
      <alignment horizontal="right" vertical="center"/>
      <protection locked="0"/>
    </xf>
    <xf numFmtId="164" fontId="18" fillId="0" borderId="11" xfId="0" applyNumberFormat="1" applyFont="1" applyBorder="1" applyAlignment="1" applyProtection="1">
      <alignment horizontal="center" vertical="center"/>
      <protection locked="0"/>
    </xf>
    <xf numFmtId="0" fontId="18" fillId="0" borderId="12" xfId="0" applyFont="1" applyBorder="1" applyAlignment="1" applyProtection="1">
      <alignment horizontal="center" vertical="center"/>
      <protection locked="0"/>
    </xf>
    <xf numFmtId="0" fontId="1" fillId="0" borderId="4" xfId="0" applyFont="1" applyBorder="1" applyAlignment="1" applyProtection="1">
      <alignment vertical="center"/>
      <protection locked="0"/>
    </xf>
    <xf numFmtId="0" fontId="18" fillId="0" borderId="5" xfId="0" applyFont="1" applyBorder="1" applyAlignment="1" applyProtection="1">
      <alignment horizontal="left" vertical="center"/>
      <protection locked="0"/>
    </xf>
    <xf numFmtId="0" fontId="18" fillId="0" borderId="5" xfId="0" applyFont="1" applyBorder="1" applyAlignment="1" applyProtection="1">
      <alignment horizontal="center" vertical="center"/>
      <protection locked="0"/>
    </xf>
    <xf numFmtId="165" fontId="18" fillId="0" borderId="5" xfId="0" applyNumberFormat="1" applyFont="1" applyBorder="1" applyAlignment="1" applyProtection="1">
      <alignment horizontal="right" vertical="center"/>
      <protection locked="0"/>
    </xf>
    <xf numFmtId="0" fontId="1" fillId="0" borderId="5" xfId="0" applyFont="1" applyBorder="1" applyAlignment="1" applyProtection="1">
      <alignment horizontal="center" vertical="center"/>
      <protection locked="0"/>
    </xf>
    <xf numFmtId="164" fontId="18" fillId="0" borderId="5" xfId="0" applyNumberFormat="1" applyFont="1" applyBorder="1" applyAlignment="1" applyProtection="1">
      <alignment horizontal="center" vertical="center"/>
      <protection locked="0"/>
    </xf>
    <xf numFmtId="0" fontId="18" fillId="0" borderId="6" xfId="0" applyFont="1" applyBorder="1" applyAlignment="1" applyProtection="1">
      <alignment horizontal="center" vertical="center"/>
      <protection locked="0"/>
    </xf>
    <xf numFmtId="0" fontId="18" fillId="0" borderId="0" xfId="0" applyFont="1" applyAlignment="1">
      <alignment horizontal="left" vertical="center"/>
    </xf>
    <xf numFmtId="0" fontId="1" fillId="0" borderId="0" xfId="0" applyFont="1" applyAlignment="1">
      <alignment horizontal="center" vertical="center"/>
    </xf>
    <xf numFmtId="0" fontId="18" fillId="0" borderId="0" xfId="0" applyFont="1" applyAlignment="1" applyProtection="1">
      <alignment horizontal="center" vertical="center"/>
      <protection locked="0"/>
    </xf>
    <xf numFmtId="0" fontId="8" fillId="3" borderId="13" xfId="0" applyFont="1" applyFill="1" applyBorder="1" applyAlignment="1">
      <alignment horizontal="left" vertical="center"/>
    </xf>
    <xf numFmtId="0" fontId="1" fillId="2" borderId="4" xfId="0" applyFont="1" applyFill="1" applyBorder="1" applyAlignment="1" applyProtection="1">
      <alignment horizontal="center" vertical="center" wrapText="1"/>
      <protection locked="0"/>
    </xf>
    <xf numFmtId="165" fontId="18" fillId="0" borderId="12" xfId="0" applyNumberFormat="1" applyFont="1" applyBorder="1" applyAlignment="1" applyProtection="1">
      <alignment horizontal="right" vertical="center"/>
      <protection locked="0"/>
    </xf>
    <xf numFmtId="0" fontId="18" fillId="0" borderId="10" xfId="0" applyFont="1" applyBorder="1" applyAlignment="1" applyProtection="1">
      <alignment horizontal="center" vertical="center"/>
      <protection locked="0"/>
    </xf>
    <xf numFmtId="165" fontId="18" fillId="0" borderId="6" xfId="0" applyNumberFormat="1" applyFont="1" applyBorder="1" applyAlignment="1" applyProtection="1">
      <alignment horizontal="right" vertical="center"/>
      <protection locked="0"/>
    </xf>
    <xf numFmtId="0" fontId="18" fillId="0" borderId="4" xfId="0" applyFont="1" applyBorder="1" applyAlignment="1" applyProtection="1">
      <alignment horizontal="center" vertical="center"/>
      <protection locked="0"/>
    </xf>
    <xf numFmtId="0" fontId="1" fillId="2" borderId="4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8" fillId="0" borderId="16" xfId="0" applyFont="1" applyBorder="1" applyAlignment="1" applyProtection="1">
      <alignment horizontal="center" vertical="center"/>
      <protection locked="0"/>
    </xf>
    <xf numFmtId="0" fontId="18" fillId="0" borderId="17" xfId="0" applyFont="1" applyBorder="1" applyAlignment="1" applyProtection="1">
      <alignment horizontal="center" vertical="center"/>
      <protection locked="0"/>
    </xf>
    <xf numFmtId="0" fontId="1" fillId="2" borderId="30" xfId="0" applyFont="1" applyFill="1" applyBorder="1" applyAlignment="1">
      <alignment horizontal="left" vertical="center"/>
    </xf>
    <xf numFmtId="0" fontId="29" fillId="2" borderId="25" xfId="0" applyFont="1" applyFill="1" applyBorder="1" applyAlignment="1">
      <alignment vertical="center"/>
    </xf>
    <xf numFmtId="0" fontId="28" fillId="2" borderId="25" xfId="0" applyFont="1" applyFill="1" applyBorder="1" applyAlignment="1">
      <alignment horizontal="left" vertical="center"/>
    </xf>
    <xf numFmtId="49" fontId="1" fillId="2" borderId="25" xfId="0" applyNumberFormat="1" applyFont="1" applyFill="1" applyBorder="1" applyAlignment="1">
      <alignment vertical="center"/>
    </xf>
    <xf numFmtId="49" fontId="1" fillId="2" borderId="25" xfId="0" applyNumberFormat="1" applyFont="1" applyFill="1" applyBorder="1" applyAlignment="1">
      <alignment horizontal="center" vertical="center"/>
    </xf>
    <xf numFmtId="0" fontId="18" fillId="2" borderId="25" xfId="0" applyFont="1" applyFill="1" applyBorder="1" applyAlignment="1">
      <alignment horizontal="center" vertical="center"/>
    </xf>
    <xf numFmtId="0" fontId="1" fillId="2" borderId="26" xfId="0" applyFont="1" applyFill="1" applyBorder="1" applyAlignment="1">
      <alignment horizontal="center" vertical="center"/>
    </xf>
    <xf numFmtId="49" fontId="29" fillId="2" borderId="0" xfId="0" applyNumberFormat="1" applyFont="1" applyFill="1" applyAlignment="1">
      <alignment vertical="center"/>
    </xf>
    <xf numFmtId="49" fontId="1" fillId="2" borderId="0" xfId="0" applyNumberFormat="1" applyFont="1" applyFill="1" applyAlignment="1">
      <alignment vertical="center"/>
    </xf>
    <xf numFmtId="49" fontId="1" fillId="2" borderId="0" xfId="0" applyNumberFormat="1" applyFont="1" applyFill="1" applyAlignment="1">
      <alignment horizontal="center" vertical="center"/>
    </xf>
    <xf numFmtId="0" fontId="18" fillId="2" borderId="0" xfId="0" applyFont="1" applyFill="1" applyAlignment="1">
      <alignment horizontal="center" vertical="center"/>
    </xf>
    <xf numFmtId="0" fontId="1" fillId="2" borderId="27" xfId="0" applyFont="1" applyFill="1" applyBorder="1" applyAlignment="1">
      <alignment horizontal="center" vertical="center"/>
    </xf>
    <xf numFmtId="49" fontId="29" fillId="2" borderId="28" xfId="0" applyNumberFormat="1" applyFont="1" applyFill="1" applyBorder="1" applyAlignment="1">
      <alignment vertical="center"/>
    </xf>
    <xf numFmtId="49" fontId="1" fillId="2" borderId="28" xfId="0" applyNumberFormat="1" applyFont="1" applyFill="1" applyBorder="1" applyAlignment="1">
      <alignment vertical="center"/>
    </xf>
    <xf numFmtId="49" fontId="1" fillId="2" borderId="28" xfId="0" applyNumberFormat="1" applyFont="1" applyFill="1" applyBorder="1" applyAlignment="1">
      <alignment horizontal="center" vertical="center"/>
    </xf>
    <xf numFmtId="0" fontId="18" fillId="2" borderId="28" xfId="0" applyFont="1" applyFill="1" applyBorder="1" applyAlignment="1">
      <alignment horizontal="center" vertical="center"/>
    </xf>
    <xf numFmtId="0" fontId="1" fillId="2" borderId="29" xfId="0" applyFont="1" applyFill="1" applyBorder="1" applyAlignment="1">
      <alignment horizontal="center" vertical="center"/>
    </xf>
    <xf numFmtId="0" fontId="1" fillId="0" borderId="24" xfId="0" applyFont="1" applyBorder="1" applyAlignment="1">
      <alignment horizontal="left" vertical="center"/>
    </xf>
    <xf numFmtId="0" fontId="1" fillId="2" borderId="7"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165" fontId="1" fillId="0" borderId="11" xfId="0" applyNumberFormat="1" applyFont="1" applyBorder="1" applyAlignment="1" applyProtection="1">
      <alignment horizontal="right" vertical="center" indent="6"/>
      <protection locked="0"/>
    </xf>
    <xf numFmtId="165" fontId="1" fillId="0" borderId="5" xfId="0" applyNumberFormat="1" applyFont="1" applyBorder="1" applyAlignment="1" applyProtection="1">
      <alignment horizontal="center" vertical="center"/>
      <protection locked="0"/>
    </xf>
    <xf numFmtId="165" fontId="1" fillId="0" borderId="5" xfId="0" applyNumberFormat="1" applyFont="1" applyBorder="1" applyAlignment="1" applyProtection="1">
      <alignment horizontal="right" vertical="center" indent="6"/>
      <protection locked="0"/>
    </xf>
    <xf numFmtId="0" fontId="8" fillId="0" borderId="0" xfId="0" applyFont="1" applyAlignment="1">
      <alignment horizontal="left" vertical="center"/>
    </xf>
    <xf numFmtId="49" fontId="1" fillId="2" borderId="26" xfId="0" applyNumberFormat="1" applyFont="1" applyFill="1" applyBorder="1" applyAlignment="1">
      <alignment vertical="center"/>
    </xf>
    <xf numFmtId="49" fontId="1" fillId="2" borderId="27" xfId="0" applyNumberFormat="1" applyFont="1" applyFill="1" applyBorder="1" applyAlignment="1">
      <alignment vertical="center"/>
    </xf>
    <xf numFmtId="49" fontId="1" fillId="2" borderId="29" xfId="0" applyNumberFormat="1" applyFont="1" applyFill="1" applyBorder="1" applyAlignment="1">
      <alignment vertical="center"/>
    </xf>
    <xf numFmtId="0" fontId="1" fillId="0" borderId="24" xfId="0" applyFont="1" applyBorder="1" applyAlignment="1">
      <alignment vertical="center"/>
    </xf>
    <xf numFmtId="0" fontId="18" fillId="0" borderId="0" xfId="0" applyFont="1" applyAlignment="1">
      <alignment vertical="center"/>
    </xf>
    <xf numFmtId="0" fontId="18" fillId="0" borderId="0" xfId="0" applyFont="1" applyAlignment="1">
      <alignment horizontal="center" vertical="center" wrapText="1"/>
    </xf>
    <xf numFmtId="0" fontId="24" fillId="0" borderId="0" xfId="0" applyFont="1" applyAlignment="1">
      <alignment horizontal="center" vertical="center"/>
    </xf>
    <xf numFmtId="49" fontId="1" fillId="0" borderId="0" xfId="0" applyNumberFormat="1" applyFont="1" applyAlignment="1">
      <alignment horizontal="left" vertical="center"/>
    </xf>
    <xf numFmtId="165" fontId="8" fillId="0" borderId="0" xfId="0" applyNumberFormat="1" applyFont="1" applyAlignment="1" applyProtection="1">
      <alignment horizontal="right" vertical="center"/>
      <protection locked="0"/>
    </xf>
    <xf numFmtId="0" fontId="8" fillId="0" borderId="0" xfId="0" applyFont="1" applyAlignment="1" applyProtection="1">
      <alignment vertical="center"/>
      <protection locked="0"/>
    </xf>
    <xf numFmtId="49" fontId="25" fillId="0" borderId="0" xfId="0" applyNumberFormat="1" applyFont="1" applyAlignment="1">
      <alignment horizontal="left" vertical="center"/>
    </xf>
    <xf numFmtId="0" fontId="25" fillId="0" borderId="0" xfId="0" applyFont="1" applyAlignment="1">
      <alignment vertical="center"/>
    </xf>
    <xf numFmtId="49" fontId="1" fillId="0" borderId="0" xfId="0" applyNumberFormat="1" applyFont="1" applyAlignment="1">
      <alignment vertical="center" wrapText="1"/>
    </xf>
    <xf numFmtId="49" fontId="1" fillId="2" borderId="21" xfId="0" applyNumberFormat="1" applyFont="1" applyFill="1" applyBorder="1" applyAlignment="1">
      <alignment vertical="center"/>
    </xf>
    <xf numFmtId="49" fontId="1" fillId="0" borderId="24" xfId="0" applyNumberFormat="1" applyFont="1" applyBorder="1" applyAlignment="1">
      <alignment horizontal="right" vertical="center"/>
    </xf>
    <xf numFmtId="0" fontId="1" fillId="2" borderId="3" xfId="0" applyFont="1" applyFill="1" applyBorder="1" applyAlignment="1">
      <alignment vertical="center"/>
    </xf>
    <xf numFmtId="49" fontId="1" fillId="2" borderId="31" xfId="0" applyNumberFormat="1" applyFont="1" applyFill="1" applyBorder="1" applyAlignment="1">
      <alignment horizontal="left" vertical="center"/>
    </xf>
    <xf numFmtId="49" fontId="15" fillId="2" borderId="0" xfId="0" applyNumberFormat="1" applyFont="1" applyFill="1" applyAlignment="1">
      <alignment vertical="center"/>
    </xf>
    <xf numFmtId="49" fontId="1" fillId="2" borderId="27" xfId="0" applyNumberFormat="1" applyFont="1" applyFill="1" applyBorder="1" applyAlignment="1">
      <alignment horizontal="center" vertical="center"/>
    </xf>
    <xf numFmtId="0" fontId="1" fillId="0" borderId="24" xfId="0" applyFont="1" applyBorder="1" applyAlignment="1" applyProtection="1">
      <alignment horizontal="right" vertical="center"/>
      <protection locked="0"/>
    </xf>
    <xf numFmtId="0" fontId="1" fillId="0" borderId="21" xfId="0" applyFont="1" applyBorder="1" applyAlignment="1" applyProtection="1">
      <alignment horizontal="right" vertical="center"/>
      <protection locked="0"/>
    </xf>
    <xf numFmtId="0" fontId="1" fillId="5" borderId="25" xfId="0" applyFont="1" applyFill="1" applyBorder="1" applyAlignment="1" applyProtection="1">
      <alignment horizontal="left" vertical="center"/>
      <protection locked="0"/>
    </xf>
    <xf numFmtId="0" fontId="1" fillId="5" borderId="0" xfId="0" applyFont="1" applyFill="1" applyAlignment="1" applyProtection="1">
      <alignment vertical="center"/>
      <protection locked="0"/>
    </xf>
    <xf numFmtId="0" fontId="1" fillId="5" borderId="0" xfId="0" applyFont="1" applyFill="1" applyAlignment="1" applyProtection="1">
      <alignment horizontal="center" vertical="center"/>
      <protection locked="0"/>
    </xf>
    <xf numFmtId="0" fontId="1" fillId="5" borderId="28" xfId="0" applyFont="1" applyFill="1" applyBorder="1" applyAlignment="1" applyProtection="1">
      <alignment horizontal="left" vertical="center"/>
      <protection locked="0"/>
    </xf>
    <xf numFmtId="0" fontId="1" fillId="0" borderId="19" xfId="0" applyFont="1" applyBorder="1" applyAlignment="1" applyProtection="1">
      <alignment horizontal="center" vertical="center"/>
      <protection locked="0"/>
    </xf>
    <xf numFmtId="0" fontId="1" fillId="0" borderId="48" xfId="0" applyFont="1" applyBorder="1" applyAlignment="1" applyProtection="1">
      <alignment horizontal="center" vertical="center"/>
      <protection locked="0"/>
    </xf>
    <xf numFmtId="0" fontId="1" fillId="0" borderId="5" xfId="0" applyFont="1" applyBorder="1" applyAlignment="1" applyProtection="1">
      <alignment horizontal="left" vertical="center"/>
      <protection locked="0"/>
    </xf>
    <xf numFmtId="0" fontId="8" fillId="3" borderId="9" xfId="0" applyFont="1" applyFill="1" applyBorder="1" applyAlignment="1">
      <alignment horizontal="center" vertical="center"/>
    </xf>
    <xf numFmtId="0" fontId="1" fillId="2" borderId="10" xfId="0" applyFont="1" applyFill="1" applyBorder="1" applyAlignment="1">
      <alignment vertical="center"/>
    </xf>
    <xf numFmtId="0" fontId="1" fillId="2" borderId="45" xfId="0" applyFont="1" applyFill="1" applyBorder="1" applyAlignment="1">
      <alignment vertical="center"/>
    </xf>
    <xf numFmtId="0" fontId="1" fillId="2" borderId="4" xfId="0" applyFont="1" applyFill="1" applyBorder="1" applyAlignment="1">
      <alignment vertical="center"/>
    </xf>
    <xf numFmtId="49" fontId="1" fillId="2" borderId="26" xfId="0" applyNumberFormat="1" applyFont="1" applyFill="1" applyBorder="1" applyProtection="1">
      <protection locked="0"/>
    </xf>
    <xf numFmtId="0" fontId="1" fillId="2" borderId="27" xfId="0" applyFont="1" applyFill="1" applyBorder="1"/>
    <xf numFmtId="1" fontId="1" fillId="2" borderId="27" xfId="0" applyNumberFormat="1" applyFont="1" applyFill="1" applyBorder="1" applyAlignment="1" applyProtection="1">
      <alignment horizontal="left"/>
      <protection locked="0"/>
    </xf>
    <xf numFmtId="0" fontId="1" fillId="2" borderId="27" xfId="0" applyFont="1" applyFill="1" applyBorder="1" applyAlignment="1" applyProtection="1">
      <alignment horizontal="left"/>
      <protection locked="0"/>
    </xf>
    <xf numFmtId="0" fontId="1" fillId="2" borderId="29" xfId="0" applyFont="1" applyFill="1" applyBorder="1" applyProtection="1">
      <protection locked="0"/>
    </xf>
    <xf numFmtId="0" fontId="1" fillId="2" borderId="13" xfId="0" applyFont="1" applyFill="1" applyBorder="1" applyAlignment="1">
      <alignment horizontal="center"/>
    </xf>
    <xf numFmtId="0" fontId="1" fillId="2" borderId="40" xfId="0" applyFont="1" applyFill="1" applyBorder="1"/>
    <xf numFmtId="0" fontId="1" fillId="2" borderId="40" xfId="0" applyFont="1" applyFill="1" applyBorder="1" applyAlignment="1">
      <alignment horizontal="center"/>
    </xf>
    <xf numFmtId="0" fontId="1" fillId="2" borderId="29" xfId="0" applyFont="1" applyFill="1" applyBorder="1" applyAlignment="1">
      <alignment horizontal="center"/>
    </xf>
    <xf numFmtId="0" fontId="1" fillId="0" borderId="1" xfId="0" applyFont="1" applyBorder="1" applyAlignment="1">
      <alignment wrapText="1"/>
    </xf>
    <xf numFmtId="0" fontId="1" fillId="0" borderId="2" xfId="0" applyFont="1" applyBorder="1" applyAlignment="1">
      <alignment wrapText="1"/>
    </xf>
    <xf numFmtId="0" fontId="1" fillId="0" borderId="3" xfId="0" applyFont="1" applyBorder="1"/>
    <xf numFmtId="0" fontId="1" fillId="0" borderId="10" xfId="0" applyFont="1" applyBorder="1" applyAlignment="1">
      <alignment horizontal="left"/>
    </xf>
    <xf numFmtId="0" fontId="1" fillId="0" borderId="16" xfId="0" applyFont="1" applyBorder="1" applyAlignment="1">
      <alignment horizontal="left"/>
    </xf>
    <xf numFmtId="0" fontId="1" fillId="0" borderId="19" xfId="0" applyFont="1" applyBorder="1"/>
    <xf numFmtId="0" fontId="1" fillId="0" borderId="60" xfId="0" applyFont="1" applyBorder="1"/>
    <xf numFmtId="0" fontId="1" fillId="0" borderId="53" xfId="0" applyFont="1" applyBorder="1"/>
    <xf numFmtId="0" fontId="1" fillId="0" borderId="56" xfId="0" applyFont="1" applyBorder="1" applyAlignment="1">
      <alignment wrapText="1"/>
    </xf>
    <xf numFmtId="0" fontId="1" fillId="0" borderId="14" xfId="0" applyFont="1" applyBorder="1"/>
    <xf numFmtId="0" fontId="1" fillId="0" borderId="20" xfId="0" applyFont="1" applyBorder="1"/>
    <xf numFmtId="0" fontId="1" fillId="0" borderId="43" xfId="0" applyFont="1" applyBorder="1"/>
    <xf numFmtId="0" fontId="1" fillId="0" borderId="27" xfId="0" applyFont="1" applyBorder="1"/>
    <xf numFmtId="0" fontId="1" fillId="5" borderId="16" xfId="0" applyFont="1" applyFill="1" applyBorder="1"/>
    <xf numFmtId="0" fontId="1" fillId="0" borderId="21" xfId="0" applyFont="1" applyBorder="1"/>
    <xf numFmtId="0" fontId="1" fillId="0" borderId="17" xfId="0" applyFont="1" applyBorder="1" applyAlignment="1">
      <alignment horizontal="left"/>
    </xf>
    <xf numFmtId="10" fontId="1" fillId="0" borderId="12" xfId="3" applyNumberFormat="1" applyFont="1" applyFill="1" applyBorder="1" applyAlignment="1" applyProtection="1">
      <alignment vertical="center"/>
      <protection locked="0"/>
    </xf>
    <xf numFmtId="10" fontId="1" fillId="0" borderId="6" xfId="3" applyNumberFormat="1" applyFont="1" applyFill="1" applyBorder="1" applyAlignment="1" applyProtection="1">
      <alignment vertical="center"/>
      <protection locked="0"/>
    </xf>
    <xf numFmtId="0" fontId="1" fillId="5" borderId="0" xfId="0" applyFont="1" applyFill="1" applyProtection="1">
      <protection locked="0"/>
    </xf>
    <xf numFmtId="0" fontId="1" fillId="11" borderId="0" xfId="0" applyFont="1" applyFill="1"/>
    <xf numFmtId="0" fontId="32" fillId="11" borderId="0" xfId="0" applyFont="1" applyFill="1" applyAlignment="1">
      <alignment horizontal="center" vertical="center"/>
    </xf>
    <xf numFmtId="0" fontId="19" fillId="5" borderId="0" xfId="0" applyFont="1" applyFill="1" applyAlignment="1">
      <alignment horizontal="center" vertical="center"/>
    </xf>
    <xf numFmtId="0" fontId="31" fillId="11" borderId="0" xfId="0" applyFont="1" applyFill="1"/>
    <xf numFmtId="0" fontId="31" fillId="11" borderId="0" xfId="0" applyFont="1" applyFill="1" applyAlignment="1">
      <alignment horizontal="justify" vertical="center"/>
    </xf>
    <xf numFmtId="0" fontId="1" fillId="5" borderId="0" xfId="0" applyFont="1" applyFill="1" applyAlignment="1">
      <alignment horizontal="justify" vertical="center"/>
    </xf>
    <xf numFmtId="0" fontId="31" fillId="0" borderId="0" xfId="0" applyFont="1" applyAlignment="1">
      <alignment horizontal="justify" vertical="center"/>
    </xf>
    <xf numFmtId="0" fontId="33" fillId="11" borderId="0" xfId="0" applyFont="1" applyFill="1" applyAlignment="1">
      <alignment horizontal="justify" vertical="center"/>
    </xf>
    <xf numFmtId="49" fontId="34" fillId="0" borderId="0" xfId="0" applyNumberFormat="1" applyFont="1" applyAlignment="1">
      <alignment vertical="center"/>
    </xf>
    <xf numFmtId="0" fontId="18" fillId="0" borderId="0" xfId="0" applyFont="1" applyAlignment="1" applyProtection="1">
      <alignment vertical="center"/>
      <protection locked="0"/>
    </xf>
    <xf numFmtId="0" fontId="18" fillId="2" borderId="25" xfId="0" applyFont="1" applyFill="1" applyBorder="1" applyAlignment="1">
      <alignment vertical="center"/>
    </xf>
    <xf numFmtId="49" fontId="18" fillId="2" borderId="25" xfId="0" applyNumberFormat="1" applyFont="1" applyFill="1" applyBorder="1" applyAlignment="1">
      <alignment vertical="center"/>
    </xf>
    <xf numFmtId="49" fontId="18" fillId="2" borderId="25" xfId="0" applyNumberFormat="1" applyFont="1" applyFill="1" applyBorder="1" applyAlignment="1">
      <alignment horizontal="center" vertical="center"/>
    </xf>
    <xf numFmtId="49" fontId="34" fillId="2" borderId="25" xfId="0" applyNumberFormat="1" applyFont="1" applyFill="1" applyBorder="1" applyAlignment="1">
      <alignment horizontal="center" vertical="center"/>
    </xf>
    <xf numFmtId="49" fontId="34" fillId="2" borderId="25" xfId="0" applyNumberFormat="1" applyFont="1" applyFill="1" applyBorder="1" applyAlignment="1">
      <alignment vertical="center"/>
    </xf>
    <xf numFmtId="49" fontId="34" fillId="2" borderId="26" xfId="0" applyNumberFormat="1" applyFont="1" applyFill="1" applyBorder="1" applyAlignment="1">
      <alignment vertical="center"/>
    </xf>
    <xf numFmtId="0" fontId="18" fillId="2" borderId="0" xfId="0" applyFont="1" applyFill="1" applyAlignment="1">
      <alignment vertical="center"/>
    </xf>
    <xf numFmtId="49" fontId="18" fillId="2" borderId="0" xfId="0" applyNumberFormat="1" applyFont="1" applyFill="1" applyAlignment="1">
      <alignment vertical="center"/>
    </xf>
    <xf numFmtId="49" fontId="18" fillId="2" borderId="0" xfId="0" applyNumberFormat="1" applyFont="1" applyFill="1" applyAlignment="1">
      <alignment horizontal="center" vertical="center"/>
    </xf>
    <xf numFmtId="49" fontId="34" fillId="2" borderId="0" xfId="0" applyNumberFormat="1" applyFont="1" applyFill="1" applyAlignment="1">
      <alignment horizontal="center" vertical="center"/>
    </xf>
    <xf numFmtId="49" fontId="34" fillId="2" borderId="0" xfId="0" applyNumberFormat="1" applyFont="1" applyFill="1" applyAlignment="1">
      <alignment vertical="center"/>
    </xf>
    <xf numFmtId="49" fontId="34" fillId="2" borderId="27" xfId="0" applyNumberFormat="1" applyFont="1" applyFill="1" applyBorder="1" applyAlignment="1">
      <alignment vertical="center"/>
    </xf>
    <xf numFmtId="0" fontId="18" fillId="2" borderId="28" xfId="0" applyFont="1" applyFill="1" applyBorder="1" applyAlignment="1">
      <alignment vertical="center"/>
    </xf>
    <xf numFmtId="49" fontId="18" fillId="2" borderId="28" xfId="0" applyNumberFormat="1" applyFont="1" applyFill="1" applyBorder="1" applyAlignment="1">
      <alignment vertical="center"/>
    </xf>
    <xf numFmtId="49" fontId="18" fillId="2" borderId="28" xfId="0" applyNumberFormat="1" applyFont="1" applyFill="1" applyBorder="1" applyAlignment="1">
      <alignment horizontal="center" vertical="center"/>
    </xf>
    <xf numFmtId="49" fontId="34" fillId="2" borderId="28" xfId="0" applyNumberFormat="1" applyFont="1" applyFill="1" applyBorder="1" applyAlignment="1">
      <alignment horizontal="center" vertical="center"/>
    </xf>
    <xf numFmtId="49" fontId="34" fillId="2" borderId="28" xfId="0" applyNumberFormat="1" applyFont="1" applyFill="1" applyBorder="1" applyAlignment="1">
      <alignment vertical="center"/>
    </xf>
    <xf numFmtId="49" fontId="34" fillId="2" borderId="29" xfId="0" applyNumberFormat="1" applyFont="1" applyFill="1" applyBorder="1" applyAlignment="1">
      <alignment vertical="center"/>
    </xf>
    <xf numFmtId="0" fontId="1" fillId="0" borderId="24" xfId="0" applyFont="1" applyBorder="1" applyAlignment="1" applyProtection="1">
      <alignment vertical="center"/>
      <protection locked="0"/>
    </xf>
    <xf numFmtId="49" fontId="1" fillId="0" borderId="10" xfId="0" applyNumberFormat="1" applyFont="1" applyBorder="1" applyAlignment="1" applyProtection="1">
      <alignment vertical="center"/>
      <protection locked="0"/>
    </xf>
    <xf numFmtId="49" fontId="1" fillId="0" borderId="11" xfId="0" applyNumberFormat="1" applyFont="1" applyBorder="1" applyAlignment="1" applyProtection="1">
      <alignment vertical="center"/>
      <protection locked="0"/>
    </xf>
    <xf numFmtId="0" fontId="1" fillId="0" borderId="21" xfId="0" applyFont="1" applyBorder="1" applyAlignment="1" applyProtection="1">
      <alignment vertical="center"/>
      <protection locked="0"/>
    </xf>
    <xf numFmtId="49" fontId="1" fillId="0" borderId="4" xfId="0" applyNumberFormat="1" applyFont="1" applyBorder="1" applyAlignment="1" applyProtection="1">
      <alignment vertical="center"/>
      <protection locked="0"/>
    </xf>
    <xf numFmtId="49" fontId="1" fillId="0" borderId="5" xfId="0" applyNumberFormat="1" applyFont="1" applyBorder="1" applyAlignment="1" applyProtection="1">
      <alignment vertical="center"/>
      <protection locked="0"/>
    </xf>
    <xf numFmtId="10" fontId="1" fillId="0" borderId="12" xfId="3" applyNumberFormat="1" applyFont="1" applyBorder="1" applyAlignment="1" applyProtection="1">
      <alignment vertical="center"/>
      <protection locked="0"/>
    </xf>
    <xf numFmtId="10" fontId="1" fillId="0" borderId="6" xfId="3" applyNumberFormat="1" applyFont="1" applyBorder="1" applyAlignment="1" applyProtection="1">
      <alignment vertical="center"/>
      <protection locked="0"/>
    </xf>
    <xf numFmtId="0" fontId="1" fillId="2" borderId="44" xfId="0" applyFont="1" applyFill="1" applyBorder="1" applyAlignment="1" applyProtection="1">
      <alignment horizontal="center" vertical="center" wrapText="1"/>
      <protection locked="0"/>
    </xf>
    <xf numFmtId="0" fontId="1" fillId="2" borderId="15" xfId="0" applyFont="1" applyFill="1" applyBorder="1" applyAlignment="1" applyProtection="1">
      <alignment horizontal="center" vertical="center" wrapText="1"/>
      <protection locked="0"/>
    </xf>
    <xf numFmtId="0" fontId="1" fillId="0" borderId="0" xfId="0" applyFont="1" applyAlignment="1">
      <alignment horizontal="left" vertical="center" wrapText="1"/>
    </xf>
    <xf numFmtId="0" fontId="1" fillId="0" borderId="0" xfId="0" applyFont="1" applyAlignment="1" applyProtection="1">
      <alignment vertical="center" wrapText="1"/>
      <protection locked="0"/>
    </xf>
    <xf numFmtId="0" fontId="1" fillId="0" borderId="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0" xfId="0" applyFont="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164" fontId="1" fillId="0" borderId="12" xfId="0" applyNumberFormat="1" applyFont="1"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locked="0"/>
    </xf>
    <xf numFmtId="165" fontId="1" fillId="0" borderId="5" xfId="0" applyNumberFormat="1" applyFont="1" applyBorder="1" applyAlignment="1" applyProtection="1">
      <alignment horizontal="right" vertical="center"/>
      <protection locked="0"/>
    </xf>
    <xf numFmtId="164" fontId="1" fillId="0" borderId="6" xfId="0" applyNumberFormat="1" applyFont="1" applyBorder="1" applyAlignment="1" applyProtection="1">
      <alignment horizontal="center" vertical="center" wrapText="1"/>
      <protection locked="0"/>
    </xf>
    <xf numFmtId="14" fontId="1" fillId="0" borderId="0" xfId="0" applyNumberFormat="1" applyFont="1" applyAlignment="1" applyProtection="1">
      <alignment horizontal="center" vertical="center" wrapText="1"/>
      <protection locked="0"/>
    </xf>
    <xf numFmtId="164" fontId="1" fillId="0" borderId="11" xfId="0" applyNumberFormat="1" applyFont="1" applyBorder="1" applyAlignment="1" applyProtection="1">
      <alignment horizontal="center" vertical="center"/>
      <protection locked="0"/>
    </xf>
    <xf numFmtId="165" fontId="1" fillId="0" borderId="2" xfId="0" applyNumberFormat="1" applyFont="1" applyBorder="1" applyAlignment="1" applyProtection="1">
      <alignment horizontal="right" vertical="center"/>
      <protection locked="0"/>
    </xf>
    <xf numFmtId="0" fontId="1" fillId="0" borderId="2" xfId="0" applyFont="1" applyBorder="1" applyAlignment="1" applyProtection="1">
      <alignment vertical="center"/>
      <protection locked="0"/>
    </xf>
    <xf numFmtId="165" fontId="1" fillId="0" borderId="19" xfId="0" applyNumberFormat="1" applyFont="1" applyBorder="1" applyAlignment="1" applyProtection="1">
      <alignment horizontal="right" vertical="center"/>
      <protection locked="0"/>
    </xf>
    <xf numFmtId="0" fontId="1" fillId="0" borderId="52" xfId="0" applyFont="1" applyBorder="1" applyAlignment="1" applyProtection="1">
      <alignment horizontal="center" vertical="center"/>
      <protection locked="0"/>
    </xf>
    <xf numFmtId="165" fontId="1" fillId="0" borderId="48" xfId="0" applyNumberFormat="1" applyFont="1" applyBorder="1" applyAlignment="1" applyProtection="1">
      <alignment horizontal="right" vertical="center"/>
      <protection locked="0"/>
    </xf>
    <xf numFmtId="0" fontId="1" fillId="0" borderId="15" xfId="0" applyFont="1" applyBorder="1" applyAlignment="1" applyProtection="1">
      <alignment horizontal="center" vertical="center"/>
      <protection locked="0"/>
    </xf>
    <xf numFmtId="164" fontId="1" fillId="0" borderId="5" xfId="0" applyNumberFormat="1" applyFont="1" applyBorder="1" applyAlignment="1" applyProtection="1">
      <alignment horizontal="center" vertical="center"/>
      <protection locked="0"/>
    </xf>
    <xf numFmtId="165" fontId="1" fillId="0" borderId="12" xfId="0" applyNumberFormat="1" applyFont="1" applyBorder="1" applyAlignment="1" applyProtection="1">
      <alignment horizontal="right" vertical="center"/>
      <protection locked="0"/>
    </xf>
    <xf numFmtId="49" fontId="34" fillId="0" borderId="0" xfId="0" applyNumberFormat="1" applyFont="1" applyAlignment="1" applyProtection="1">
      <alignment vertical="center"/>
      <protection locked="0"/>
    </xf>
    <xf numFmtId="0" fontId="1" fillId="0" borderId="4" xfId="2" applyFont="1" applyBorder="1" applyAlignment="1" applyProtection="1">
      <alignment vertical="center" wrapText="1"/>
      <protection locked="0"/>
    </xf>
    <xf numFmtId="0" fontId="8" fillId="0" borderId="0" xfId="0" applyFont="1" applyAlignment="1" applyProtection="1">
      <alignment vertical="center" wrapText="1"/>
      <protection locked="0"/>
    </xf>
    <xf numFmtId="0" fontId="15" fillId="0" borderId="0" xfId="0" applyFont="1" applyAlignment="1" applyProtection="1">
      <alignment vertical="center" wrapText="1"/>
      <protection locked="0"/>
    </xf>
    <xf numFmtId="49" fontId="1" fillId="0" borderId="10" xfId="0" applyNumberFormat="1" applyFont="1" applyBorder="1" applyAlignment="1" applyProtection="1">
      <alignment vertical="center" wrapText="1"/>
      <protection locked="0"/>
    </xf>
    <xf numFmtId="49" fontId="1" fillId="0" borderId="4" xfId="0" applyNumberFormat="1" applyFont="1" applyBorder="1" applyAlignment="1" applyProtection="1">
      <alignment vertical="center" wrapText="1"/>
      <protection locked="0"/>
    </xf>
    <xf numFmtId="49" fontId="19" fillId="0" borderId="0" xfId="0" applyNumberFormat="1" applyFont="1" applyAlignment="1">
      <alignment horizontal="center" vertical="center"/>
    </xf>
    <xf numFmtId="49" fontId="19" fillId="0" borderId="0" xfId="0" applyNumberFormat="1" applyFont="1" applyAlignment="1">
      <alignment vertical="center"/>
    </xf>
    <xf numFmtId="165" fontId="1" fillId="0" borderId="2" xfId="0" applyNumberFormat="1" applyFont="1" applyBorder="1" applyAlignment="1" applyProtection="1">
      <alignment horizontal="right" vertical="center" indent="6"/>
      <protection locked="0"/>
    </xf>
    <xf numFmtId="165" fontId="1" fillId="0" borderId="6" xfId="0" applyNumberFormat="1" applyFont="1" applyBorder="1" applyAlignment="1" applyProtection="1">
      <alignment horizontal="right" vertical="center"/>
      <protection locked="0"/>
    </xf>
    <xf numFmtId="0" fontId="1" fillId="0" borderId="2" xfId="0" applyFont="1" applyBorder="1" applyAlignment="1" applyProtection="1">
      <alignment horizontal="center" vertical="center" wrapText="1"/>
      <protection locked="0"/>
    </xf>
    <xf numFmtId="49" fontId="1" fillId="0" borderId="5" xfId="0" applyNumberFormat="1"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2" xfId="0" applyFont="1" applyBorder="1" applyAlignment="1" applyProtection="1">
      <alignment horizontal="left" vertical="center"/>
      <protection locked="0"/>
    </xf>
    <xf numFmtId="0" fontId="1" fillId="0" borderId="49" xfId="0" applyFont="1" applyBorder="1" applyAlignment="1" applyProtection="1">
      <alignment horizontal="center" vertical="center"/>
      <protection locked="0"/>
    </xf>
    <xf numFmtId="49" fontId="1" fillId="0" borderId="30" xfId="0" applyNumberFormat="1" applyFont="1" applyBorder="1" applyAlignment="1" applyProtection="1">
      <alignment horizontal="right" vertical="center" wrapText="1"/>
      <protection locked="0"/>
    </xf>
    <xf numFmtId="49" fontId="1" fillId="0" borderId="0" xfId="0" applyNumberFormat="1" applyFont="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49" fontId="1" fillId="0" borderId="0" xfId="0" applyNumberFormat="1" applyFont="1" applyAlignment="1" applyProtection="1">
      <alignment vertical="center"/>
      <protection locked="0"/>
    </xf>
    <xf numFmtId="0" fontId="1" fillId="0" borderId="1" xfId="0" applyFont="1" applyBorder="1" applyAlignment="1" applyProtection="1">
      <alignment horizontal="left" vertical="center" wrapText="1"/>
      <protection locked="0"/>
    </xf>
    <xf numFmtId="49" fontId="1" fillId="0" borderId="2" xfId="0" applyNumberFormat="1" applyFont="1" applyBorder="1" applyAlignment="1" applyProtection="1">
      <alignment horizontal="center" vertical="center"/>
      <protection locked="0"/>
    </xf>
    <xf numFmtId="164" fontId="1" fillId="0" borderId="2" xfId="0" applyNumberFormat="1" applyFont="1" applyBorder="1" applyAlignment="1" applyProtection="1">
      <alignment horizontal="center" vertical="center"/>
      <protection locked="0"/>
    </xf>
    <xf numFmtId="164" fontId="1" fillId="0" borderId="3" xfId="0" applyNumberFormat="1" applyFont="1" applyBorder="1" applyAlignment="1" applyProtection="1">
      <alignment horizontal="center" vertical="center"/>
      <protection locked="0"/>
    </xf>
    <xf numFmtId="0" fontId="1" fillId="0" borderId="10" xfId="0" applyFont="1" applyBorder="1" applyAlignment="1" applyProtection="1">
      <alignment horizontal="left" vertical="center" wrapText="1"/>
      <protection locked="0"/>
    </xf>
    <xf numFmtId="49" fontId="1" fillId="0" borderId="11" xfId="0" applyNumberFormat="1" applyFont="1" applyBorder="1" applyAlignment="1" applyProtection="1">
      <alignment horizontal="center" vertical="center"/>
      <protection locked="0"/>
    </xf>
    <xf numFmtId="164" fontId="1" fillId="0" borderId="12" xfId="0" applyNumberFormat="1" applyFont="1" applyBorder="1" applyAlignment="1" applyProtection="1">
      <alignment horizontal="center" vertical="center"/>
      <protection locked="0"/>
    </xf>
    <xf numFmtId="0" fontId="1" fillId="0" borderId="60" xfId="0" applyFont="1" applyBorder="1" applyAlignment="1" applyProtection="1">
      <alignment horizontal="left" vertical="center" wrapText="1"/>
      <protection locked="0"/>
    </xf>
    <xf numFmtId="49" fontId="1" fillId="0" borderId="53" xfId="0" applyNumberFormat="1" applyFont="1" applyBorder="1" applyAlignment="1" applyProtection="1">
      <alignment horizontal="center" vertical="center"/>
      <protection locked="0"/>
    </xf>
    <xf numFmtId="164" fontId="1" fillId="0" borderId="53" xfId="0" applyNumberFormat="1" applyFont="1" applyBorder="1" applyAlignment="1" applyProtection="1">
      <alignment horizontal="center" vertical="center"/>
      <protection locked="0"/>
    </xf>
    <xf numFmtId="164" fontId="1" fillId="0" borderId="56" xfId="0" applyNumberFormat="1" applyFont="1" applyBorder="1" applyAlignment="1" applyProtection="1">
      <alignment horizontal="center" vertical="center"/>
      <protection locked="0"/>
    </xf>
    <xf numFmtId="49" fontId="1" fillId="0" borderId="40" xfId="0" applyNumberFormat="1" applyFont="1" applyBorder="1" applyAlignment="1" applyProtection="1">
      <alignment horizontal="right" vertical="center" wrapText="1"/>
      <protection locked="0"/>
    </xf>
    <xf numFmtId="0" fontId="1" fillId="0" borderId="1" xfId="0" applyFont="1" applyBorder="1" applyAlignment="1" applyProtection="1">
      <alignment vertical="center"/>
      <protection locked="0"/>
    </xf>
    <xf numFmtId="165" fontId="1" fillId="0" borderId="3" xfId="0" applyNumberFormat="1" applyFont="1" applyBorder="1" applyAlignment="1" applyProtection="1">
      <alignment horizontal="right" vertical="center"/>
      <protection locked="0"/>
    </xf>
    <xf numFmtId="0" fontId="1" fillId="0" borderId="18" xfId="0" applyFont="1" applyBorder="1" applyAlignment="1" applyProtection="1">
      <alignment horizontal="center" vertical="center"/>
      <protection locked="0"/>
    </xf>
    <xf numFmtId="0" fontId="1" fillId="0" borderId="1" xfId="0" applyFont="1" applyBorder="1" applyAlignment="1">
      <alignment vertical="center" wrapText="1"/>
    </xf>
    <xf numFmtId="0" fontId="1" fillId="0" borderId="10" xfId="0" applyFont="1" applyBorder="1" applyAlignment="1">
      <alignment vertical="center" wrapText="1"/>
    </xf>
    <xf numFmtId="0" fontId="1" fillId="0" borderId="4" xfId="0" applyFont="1" applyBorder="1" applyAlignment="1" applyProtection="1">
      <alignment horizontal="left" vertical="center" wrapText="1"/>
      <protection locked="0"/>
    </xf>
    <xf numFmtId="164" fontId="1" fillId="0" borderId="6" xfId="0" applyNumberFormat="1" applyFont="1" applyBorder="1" applyAlignment="1" applyProtection="1">
      <alignment horizontal="center" vertical="center"/>
      <protection locked="0"/>
    </xf>
    <xf numFmtId="49" fontId="18" fillId="0" borderId="0" xfId="0" applyNumberFormat="1" applyFont="1" applyAlignment="1" applyProtection="1">
      <alignment vertical="center"/>
      <protection locked="0"/>
    </xf>
    <xf numFmtId="49" fontId="1" fillId="0" borderId="1" xfId="0" applyNumberFormat="1" applyFont="1" applyBorder="1" applyAlignment="1" applyProtection="1">
      <alignment vertical="center" wrapText="1"/>
      <protection locked="0"/>
    </xf>
    <xf numFmtId="49" fontId="1" fillId="0" borderId="11" xfId="0" applyNumberFormat="1" applyFont="1" applyBorder="1" applyAlignment="1" applyProtection="1">
      <alignment vertical="center" wrapText="1"/>
      <protection locked="0"/>
    </xf>
    <xf numFmtId="0" fontId="30" fillId="0" borderId="0" xfId="0" applyFont="1" applyAlignment="1" applyProtection="1">
      <alignment vertical="center" wrapText="1"/>
      <protection locked="0"/>
    </xf>
    <xf numFmtId="49" fontId="1" fillId="0" borderId="30" xfId="0" applyNumberFormat="1" applyFont="1" applyBorder="1" applyAlignment="1" applyProtection="1">
      <alignment vertical="center" wrapText="1"/>
      <protection locked="0"/>
    </xf>
    <xf numFmtId="165" fontId="1" fillId="0" borderId="11" xfId="0" applyNumberFormat="1" applyFont="1" applyBorder="1" applyAlignment="1">
      <alignment horizontal="right" vertical="center"/>
    </xf>
    <xf numFmtId="0" fontId="1" fillId="0" borderId="10" xfId="0" applyFont="1" applyBorder="1" applyAlignment="1" applyProtection="1">
      <alignment vertical="center" wrapText="1"/>
      <protection locked="0"/>
    </xf>
    <xf numFmtId="49" fontId="1" fillId="0" borderId="18" xfId="0" applyNumberFormat="1" applyFont="1" applyBorder="1" applyAlignment="1" applyProtection="1">
      <alignment horizontal="left" wrapText="1"/>
      <protection locked="0"/>
    </xf>
    <xf numFmtId="49" fontId="1" fillId="0" borderId="16" xfId="0" applyNumberFormat="1" applyFont="1" applyBorder="1" applyAlignment="1" applyProtection="1">
      <alignment horizontal="left" wrapText="1"/>
      <protection locked="0"/>
    </xf>
    <xf numFmtId="49" fontId="1" fillId="0" borderId="17" xfId="0" applyNumberFormat="1" applyFont="1" applyBorder="1" applyAlignment="1" applyProtection="1">
      <alignment horizontal="left" wrapText="1"/>
      <protection locked="0"/>
    </xf>
    <xf numFmtId="0" fontId="1" fillId="5" borderId="35" xfId="0" applyFont="1" applyFill="1" applyBorder="1" applyAlignment="1" applyProtection="1">
      <alignment horizontal="center" vertical="center"/>
      <protection locked="0"/>
    </xf>
    <xf numFmtId="0" fontId="1" fillId="5" borderId="36" xfId="0" applyFont="1" applyFill="1" applyBorder="1" applyAlignment="1" applyProtection="1">
      <alignment horizontal="center" vertical="center"/>
      <protection locked="0"/>
    </xf>
    <xf numFmtId="0" fontId="1" fillId="5" borderId="10" xfId="0" applyFont="1" applyFill="1" applyBorder="1" applyAlignment="1" applyProtection="1">
      <alignment horizontal="center" vertical="center"/>
      <protection locked="0"/>
    </xf>
    <xf numFmtId="0" fontId="1" fillId="5" borderId="38" xfId="0" applyFont="1" applyFill="1" applyBorder="1" applyAlignment="1" applyProtection="1">
      <alignment horizontal="center" vertical="center"/>
      <protection locked="0"/>
    </xf>
    <xf numFmtId="0" fontId="1" fillId="5" borderId="12" xfId="0" applyFont="1" applyFill="1" applyBorder="1" applyAlignment="1" applyProtection="1">
      <alignment horizontal="center" vertical="center"/>
      <protection locked="0"/>
    </xf>
    <xf numFmtId="0" fontId="1" fillId="5" borderId="37" xfId="0" applyFont="1" applyFill="1" applyBorder="1" applyAlignment="1" applyProtection="1">
      <alignment horizontal="center" vertical="center"/>
      <protection locked="0"/>
    </xf>
    <xf numFmtId="0" fontId="1" fillId="0" borderId="0" xfId="0" applyFont="1" applyAlignment="1" applyProtection="1">
      <alignment horizontal="left" wrapText="1"/>
      <protection locked="0"/>
    </xf>
    <xf numFmtId="0" fontId="1" fillId="5" borderId="13" xfId="0" applyFont="1" applyFill="1" applyBorder="1" applyAlignment="1" applyProtection="1">
      <alignment vertical="center" wrapText="1"/>
      <protection locked="0"/>
    </xf>
    <xf numFmtId="0" fontId="1" fillId="5" borderId="14" xfId="0" applyFont="1" applyFill="1" applyBorder="1" applyAlignment="1" applyProtection="1">
      <alignment vertical="center" wrapText="1"/>
      <protection locked="0"/>
    </xf>
    <xf numFmtId="0" fontId="1" fillId="5" borderId="20" xfId="0" applyFont="1" applyFill="1" applyBorder="1" applyAlignment="1" applyProtection="1">
      <alignment vertical="center" wrapText="1"/>
      <protection locked="0"/>
    </xf>
    <xf numFmtId="0" fontId="1" fillId="5" borderId="0" xfId="0" applyFont="1" applyFill="1" applyAlignment="1" applyProtection="1">
      <alignment vertical="center" wrapText="1"/>
      <protection locked="0"/>
    </xf>
    <xf numFmtId="0" fontId="4" fillId="0" borderId="0" xfId="0" applyFont="1" applyAlignment="1" applyProtection="1">
      <alignment horizontal="left"/>
      <protection locked="0"/>
    </xf>
    <xf numFmtId="0" fontId="1" fillId="0" borderId="0" xfId="0" applyFont="1" applyAlignment="1" applyProtection="1">
      <alignment horizontal="left" vertical="top" wrapText="1"/>
      <protection locked="0"/>
    </xf>
    <xf numFmtId="0" fontId="1" fillId="0" borderId="13" xfId="0" applyFont="1" applyBorder="1" applyAlignment="1" applyProtection="1">
      <alignment vertical="center" wrapText="1"/>
      <protection locked="0"/>
    </xf>
    <xf numFmtId="0" fontId="1" fillId="0" borderId="14" xfId="0" applyFont="1" applyBorder="1" applyAlignment="1" applyProtection="1">
      <alignment vertical="center" wrapText="1"/>
      <protection locked="0"/>
    </xf>
    <xf numFmtId="0" fontId="1" fillId="0" borderId="20" xfId="0" applyFont="1" applyBorder="1" applyAlignment="1" applyProtection="1">
      <alignment vertical="center" wrapText="1"/>
      <protection locked="0"/>
    </xf>
    <xf numFmtId="0" fontId="1" fillId="0" borderId="0" xfId="0" applyFont="1" applyAlignment="1" applyProtection="1">
      <alignment vertical="center" wrapText="1"/>
      <protection locked="0"/>
    </xf>
    <xf numFmtId="0" fontId="4" fillId="0" borderId="0" xfId="0" applyFont="1" applyAlignment="1" applyProtection="1">
      <alignment horizontal="left" vertical="top" wrapText="1"/>
      <protection locked="0"/>
    </xf>
    <xf numFmtId="0" fontId="1" fillId="0" borderId="0" xfId="0" applyFont="1" applyAlignment="1" applyProtection="1">
      <alignment horizontal="left"/>
      <protection locked="0"/>
    </xf>
    <xf numFmtId="0" fontId="1" fillId="0" borderId="0" xfId="0" applyFont="1" applyAlignment="1">
      <alignment horizontal="left" wrapText="1"/>
    </xf>
    <xf numFmtId="0" fontId="4" fillId="0" borderId="0" xfId="0" applyFont="1" applyAlignment="1" applyProtection="1">
      <alignment horizontal="left" wrapText="1"/>
      <protection locked="0"/>
    </xf>
    <xf numFmtId="0" fontId="20" fillId="0" borderId="0" xfId="0" applyFont="1" applyAlignment="1" applyProtection="1">
      <alignment horizontal="left" wrapText="1"/>
      <protection locked="0"/>
    </xf>
    <xf numFmtId="0" fontId="1" fillId="0" borderId="0" xfId="0" applyFont="1" applyAlignment="1" applyProtection="1">
      <alignment horizontal="left" wrapText="1" indent="5"/>
      <protection locked="0"/>
    </xf>
    <xf numFmtId="0" fontId="20" fillId="0" borderId="0" xfId="0" applyFont="1" applyAlignment="1">
      <alignment horizontal="left" wrapText="1"/>
    </xf>
    <xf numFmtId="0" fontId="4" fillId="0" borderId="0" xfId="0" applyFont="1" applyAlignment="1">
      <alignment horizontal="left" wrapText="1"/>
    </xf>
    <xf numFmtId="0" fontId="4" fillId="0" borderId="0" xfId="0" applyFont="1" applyAlignment="1">
      <alignment horizontal="center"/>
    </xf>
    <xf numFmtId="0" fontId="4" fillId="0" borderId="25" xfId="0" applyFont="1" applyBorder="1" applyAlignment="1">
      <alignment horizontal="center"/>
    </xf>
    <xf numFmtId="0" fontId="4" fillId="0" borderId="0" xfId="0" applyFont="1" applyAlignment="1" applyProtection="1">
      <alignment horizontal="left" wrapText="1" indent="5"/>
      <protection locked="0"/>
    </xf>
    <xf numFmtId="0" fontId="1" fillId="0" borderId="0" xfId="0" applyFont="1" applyAlignment="1" applyProtection="1">
      <alignment horizontal="left" vertical="top" wrapText="1" indent="2"/>
      <protection locked="0"/>
    </xf>
    <xf numFmtId="0" fontId="19" fillId="5" borderId="0" xfId="0" applyFont="1" applyFill="1" applyAlignment="1">
      <alignment horizontal="justify" vertical="center"/>
    </xf>
    <xf numFmtId="0" fontId="1" fillId="5" borderId="0" xfId="0" applyFont="1" applyFill="1" applyAlignment="1">
      <alignment horizontal="justify" vertical="center"/>
    </xf>
    <xf numFmtId="0" fontId="1" fillId="5" borderId="0" xfId="0" applyFont="1" applyFill="1" applyAlignment="1">
      <alignment horizontal="center" wrapText="1"/>
    </xf>
    <xf numFmtId="0" fontId="19" fillId="5" borderId="0" xfId="0" applyFont="1" applyFill="1" applyAlignment="1">
      <alignment horizontal="center" vertical="center"/>
    </xf>
    <xf numFmtId="0" fontId="1" fillId="5" borderId="0" xfId="0" applyFont="1" applyFill="1" applyAlignment="1">
      <alignment horizontal="center" vertical="center" wrapText="1"/>
    </xf>
    <xf numFmtId="0" fontId="1" fillId="0" borderId="30" xfId="0" applyFont="1" applyBorder="1" applyAlignment="1" applyProtection="1">
      <alignment horizontal="left"/>
      <protection locked="0"/>
    </xf>
    <xf numFmtId="0" fontId="1" fillId="0" borderId="25" xfId="0" applyFont="1" applyBorder="1" applyAlignment="1" applyProtection="1">
      <alignment horizontal="left"/>
      <protection locked="0"/>
    </xf>
    <xf numFmtId="0" fontId="1" fillId="0" borderId="26" xfId="0" applyFont="1" applyBorder="1" applyAlignment="1" applyProtection="1">
      <alignment horizontal="left"/>
      <protection locked="0"/>
    </xf>
    <xf numFmtId="0" fontId="1" fillId="0" borderId="21" xfId="0" applyFont="1" applyBorder="1" applyAlignment="1" applyProtection="1">
      <alignment horizontal="left"/>
      <protection locked="0"/>
    </xf>
    <xf numFmtId="0" fontId="1" fillId="0" borderId="28" xfId="0" applyFont="1" applyBorder="1" applyAlignment="1" applyProtection="1">
      <alignment horizontal="left"/>
      <protection locked="0"/>
    </xf>
    <xf numFmtId="0" fontId="1" fillId="0" borderId="29" xfId="0" applyFont="1" applyBorder="1" applyAlignment="1" applyProtection="1">
      <alignment horizontal="left"/>
      <protection locked="0"/>
    </xf>
    <xf numFmtId="0" fontId="1" fillId="0" borderId="22" xfId="0" applyFont="1" applyBorder="1" applyAlignment="1" applyProtection="1">
      <alignment horizontal="left"/>
      <protection locked="0"/>
    </xf>
    <xf numFmtId="0" fontId="1" fillId="0" borderId="34" xfId="0" applyFont="1" applyBorder="1" applyAlignment="1" applyProtection="1">
      <alignment horizontal="left"/>
      <protection locked="0"/>
    </xf>
    <xf numFmtId="0" fontId="1" fillId="0" borderId="23" xfId="0" applyFont="1" applyBorder="1" applyAlignment="1" applyProtection="1">
      <alignment horizontal="left"/>
      <protection locked="0"/>
    </xf>
    <xf numFmtId="49" fontId="25" fillId="0" borderId="22" xfId="0" applyNumberFormat="1" applyFont="1" applyBorder="1" applyAlignment="1" applyProtection="1">
      <alignment horizontal="left"/>
      <protection locked="0"/>
    </xf>
    <xf numFmtId="49" fontId="1" fillId="0" borderId="34" xfId="0" applyNumberFormat="1" applyFont="1" applyBorder="1" applyAlignment="1" applyProtection="1">
      <alignment horizontal="left"/>
      <protection locked="0"/>
    </xf>
    <xf numFmtId="49" fontId="1" fillId="0" borderId="23" xfId="0" applyNumberFormat="1" applyFont="1" applyBorder="1" applyAlignment="1" applyProtection="1">
      <alignment horizontal="left"/>
      <protection locked="0"/>
    </xf>
    <xf numFmtId="0" fontId="25" fillId="2" borderId="21" xfId="0" applyFont="1" applyFill="1" applyBorder="1" applyAlignment="1" applyProtection="1">
      <alignment horizontal="left"/>
      <protection locked="0"/>
    </xf>
    <xf numFmtId="0" fontId="1" fillId="2" borderId="28" xfId="0" applyFont="1" applyFill="1" applyBorder="1" applyAlignment="1" applyProtection="1">
      <alignment horizontal="left"/>
      <protection locked="0"/>
    </xf>
    <xf numFmtId="0" fontId="1" fillId="0" borderId="29" xfId="0" applyFont="1" applyBorder="1" applyAlignment="1">
      <alignment horizontal="left"/>
    </xf>
    <xf numFmtId="49" fontId="1" fillId="0" borderId="51" xfId="0" applyNumberFormat="1" applyFont="1" applyBorder="1" applyAlignment="1" applyProtection="1">
      <alignment horizontal="left"/>
      <protection locked="0"/>
    </xf>
    <xf numFmtId="49" fontId="1" fillId="0" borderId="54" xfId="0" applyNumberFormat="1" applyFont="1" applyBorder="1" applyAlignment="1" applyProtection="1">
      <alignment horizontal="left"/>
      <protection locked="0"/>
    </xf>
    <xf numFmtId="49" fontId="1" fillId="0" borderId="55" xfId="0" applyNumberFormat="1" applyFont="1" applyBorder="1" applyAlignment="1" applyProtection="1">
      <alignment horizontal="left"/>
      <protection locked="0"/>
    </xf>
    <xf numFmtId="0" fontId="1" fillId="0" borderId="33" xfId="0" applyFont="1" applyBorder="1" applyProtection="1">
      <protection locked="0"/>
    </xf>
    <xf numFmtId="0" fontId="1" fillId="0" borderId="32" xfId="0" applyFont="1" applyBorder="1" applyProtection="1">
      <protection locked="0"/>
    </xf>
    <xf numFmtId="49" fontId="1" fillId="0" borderId="22" xfId="0" applyNumberFormat="1" applyFont="1" applyBorder="1" applyAlignment="1" applyProtection="1">
      <alignment horizontal="left"/>
      <protection locked="0"/>
    </xf>
    <xf numFmtId="3" fontId="26" fillId="10" borderId="22" xfId="0" applyNumberFormat="1" applyFont="1" applyFill="1" applyBorder="1" applyAlignment="1" applyProtection="1">
      <alignment horizontal="left"/>
      <protection locked="0"/>
    </xf>
    <xf numFmtId="3" fontId="26" fillId="10" borderId="34" xfId="0" applyNumberFormat="1" applyFont="1" applyFill="1" applyBorder="1" applyAlignment="1" applyProtection="1">
      <alignment horizontal="left"/>
      <protection locked="0"/>
    </xf>
    <xf numFmtId="3" fontId="26" fillId="10" borderId="23" xfId="0" applyNumberFormat="1" applyFont="1" applyFill="1" applyBorder="1" applyAlignment="1" applyProtection="1">
      <alignment horizontal="left"/>
      <protection locked="0"/>
    </xf>
    <xf numFmtId="0" fontId="1" fillId="2" borderId="22" xfId="0" applyFont="1" applyFill="1" applyBorder="1" applyAlignment="1">
      <alignment horizontal="left"/>
    </xf>
    <xf numFmtId="0" fontId="1" fillId="0" borderId="23" xfId="0" applyFont="1" applyBorder="1" applyAlignment="1">
      <alignment horizontal="left"/>
    </xf>
    <xf numFmtId="164" fontId="1" fillId="5" borderId="22" xfId="0" applyNumberFormat="1" applyFont="1" applyFill="1" applyBorder="1" applyAlignment="1" applyProtection="1">
      <alignment horizontal="left"/>
      <protection locked="0"/>
    </xf>
    <xf numFmtId="164" fontId="1" fillId="5" borderId="34" xfId="0" applyNumberFormat="1" applyFont="1" applyFill="1" applyBorder="1" applyAlignment="1" applyProtection="1">
      <alignment horizontal="left"/>
      <protection locked="0"/>
    </xf>
    <xf numFmtId="164" fontId="1" fillId="5" borderId="23" xfId="0" applyNumberFormat="1" applyFont="1" applyFill="1" applyBorder="1" applyAlignment="1" applyProtection="1">
      <alignment horizontal="left"/>
      <protection locked="0"/>
    </xf>
    <xf numFmtId="164" fontId="1" fillId="0" borderId="22" xfId="0" applyNumberFormat="1" applyFont="1" applyBorder="1" applyAlignment="1" applyProtection="1">
      <alignment horizontal="left"/>
      <protection locked="0"/>
    </xf>
    <xf numFmtId="164" fontId="1" fillId="0" borderId="34" xfId="0" applyNumberFormat="1" applyFont="1" applyBorder="1" applyAlignment="1" applyProtection="1">
      <alignment horizontal="left"/>
      <protection locked="0"/>
    </xf>
    <xf numFmtId="164" fontId="1" fillId="0" borderId="23" xfId="0" applyNumberFormat="1" applyFont="1" applyBorder="1" applyAlignment="1" applyProtection="1">
      <alignment horizontal="left"/>
      <protection locked="0"/>
    </xf>
    <xf numFmtId="14" fontId="1" fillId="0" borderId="22" xfId="0" applyNumberFormat="1" applyFont="1" applyBorder="1" applyAlignment="1" applyProtection="1">
      <alignment horizontal="left"/>
      <protection locked="0"/>
    </xf>
    <xf numFmtId="0" fontId="1" fillId="0" borderId="22" xfId="1" applyFont="1" applyBorder="1" applyAlignment="1" applyProtection="1">
      <alignment horizontal="left"/>
      <protection locked="0"/>
    </xf>
    <xf numFmtId="0" fontId="1" fillId="0" borderId="22" xfId="0" applyFont="1" applyBorder="1" applyAlignment="1">
      <alignment horizontal="center"/>
    </xf>
    <xf numFmtId="0" fontId="1" fillId="0" borderId="34" xfId="0" applyFont="1" applyBorder="1" applyAlignment="1">
      <alignment horizontal="center"/>
    </xf>
    <xf numFmtId="0" fontId="1" fillId="0" borderId="23" xfId="0" applyFont="1" applyBorder="1" applyAlignment="1">
      <alignment horizontal="center"/>
    </xf>
    <xf numFmtId="0" fontId="7" fillId="2" borderId="30" xfId="0" applyFont="1" applyFill="1" applyBorder="1"/>
    <xf numFmtId="0" fontId="7" fillId="2" borderId="25" xfId="0" applyFont="1" applyFill="1" applyBorder="1"/>
    <xf numFmtId="0" fontId="7" fillId="2" borderId="26" xfId="0" applyFont="1" applyFill="1" applyBorder="1"/>
    <xf numFmtId="0" fontId="1" fillId="0" borderId="25" xfId="0" applyFont="1" applyBorder="1" applyProtection="1">
      <protection locked="0"/>
    </xf>
    <xf numFmtId="0" fontId="1" fillId="0" borderId="26" xfId="0" applyFont="1" applyBorder="1" applyProtection="1">
      <protection locked="0"/>
    </xf>
    <xf numFmtId="0" fontId="1" fillId="7" borderId="22" xfId="0" applyFont="1" applyFill="1" applyBorder="1" applyAlignment="1">
      <alignment horizontal="center"/>
    </xf>
    <xf numFmtId="0" fontId="1" fillId="0" borderId="34" xfId="0" applyFont="1" applyBorder="1"/>
    <xf numFmtId="0" fontId="1" fillId="0" borderId="23" xfId="0" applyFont="1" applyBorder="1"/>
    <xf numFmtId="0" fontId="7" fillId="2" borderId="24" xfId="0" applyFont="1" applyFill="1" applyBorder="1"/>
    <xf numFmtId="0" fontId="7" fillId="2" borderId="0" xfId="0" applyFont="1" applyFill="1"/>
    <xf numFmtId="0" fontId="7" fillId="2" borderId="27" xfId="0" applyFont="1" applyFill="1" applyBorder="1"/>
    <xf numFmtId="0" fontId="1" fillId="4" borderId="24" xfId="0" applyFont="1" applyFill="1" applyBorder="1"/>
    <xf numFmtId="0" fontId="1" fillId="0" borderId="0" xfId="0" applyFont="1"/>
    <xf numFmtId="0" fontId="1" fillId="0" borderId="44" xfId="0" applyFont="1" applyBorder="1" applyProtection="1">
      <protection locked="0"/>
    </xf>
    <xf numFmtId="0" fontId="1" fillId="0" borderId="3" xfId="0" applyFont="1" applyBorder="1" applyProtection="1">
      <protection locked="0"/>
    </xf>
    <xf numFmtId="0" fontId="1" fillId="0" borderId="30" xfId="0" applyFont="1" applyBorder="1" applyProtection="1">
      <protection locked="0"/>
    </xf>
    <xf numFmtId="49" fontId="1" fillId="0" borderId="33" xfId="0" applyNumberFormat="1" applyFont="1" applyBorder="1" applyProtection="1">
      <protection locked="0"/>
    </xf>
    <xf numFmtId="49" fontId="1" fillId="0" borderId="32" xfId="0" applyNumberFormat="1" applyFont="1" applyBorder="1" applyProtection="1">
      <protection locked="0"/>
    </xf>
    <xf numFmtId="0" fontId="1" fillId="0" borderId="15" xfId="0" applyFont="1" applyBorder="1" applyProtection="1">
      <protection locked="0"/>
    </xf>
    <xf numFmtId="0" fontId="1" fillId="0" borderId="6" xfId="0" applyFont="1" applyBorder="1" applyProtection="1">
      <protection locked="0"/>
    </xf>
    <xf numFmtId="0" fontId="1" fillId="0" borderId="52" xfId="0" applyFont="1" applyBorder="1" applyProtection="1">
      <protection locked="0"/>
    </xf>
    <xf numFmtId="0" fontId="1" fillId="0" borderId="12" xfId="0" applyFont="1" applyBorder="1" applyProtection="1">
      <protection locked="0"/>
    </xf>
    <xf numFmtId="0" fontId="1" fillId="0" borderId="33" xfId="0" applyFont="1" applyBorder="1" applyAlignment="1" applyProtection="1">
      <alignment wrapText="1" shrinkToFit="1"/>
      <protection locked="0"/>
    </xf>
    <xf numFmtId="0" fontId="1" fillId="0" borderId="32" xfId="0" applyFont="1" applyBorder="1" applyAlignment="1" applyProtection="1">
      <alignment wrapText="1" shrinkToFit="1"/>
      <protection locked="0"/>
    </xf>
    <xf numFmtId="0" fontId="1"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5" xfId="0" applyFont="1" applyBorder="1" applyAlignment="1">
      <alignment horizontal="center" vertical="center" wrapText="1"/>
    </xf>
    <xf numFmtId="0" fontId="8" fillId="3" borderId="22" xfId="0" applyFont="1" applyFill="1" applyBorder="1" applyAlignment="1">
      <alignment horizontal="left" vertical="center"/>
    </xf>
    <xf numFmtId="0" fontId="1" fillId="0" borderId="34" xfId="0" applyFont="1" applyBorder="1" applyAlignment="1">
      <alignment horizontal="left" vertical="center"/>
    </xf>
    <xf numFmtId="0" fontId="1" fillId="0" borderId="23" xfId="0" applyFont="1" applyBorder="1" applyAlignment="1">
      <alignment horizontal="left" vertical="center"/>
    </xf>
    <xf numFmtId="0" fontId="1" fillId="2" borderId="5"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0" borderId="8" xfId="0" applyFont="1" applyBorder="1" applyAlignment="1">
      <alignment horizontal="center" vertical="center" wrapText="1"/>
    </xf>
    <xf numFmtId="0" fontId="1" fillId="2" borderId="49" xfId="0" applyFont="1" applyFill="1" applyBorder="1" applyAlignment="1">
      <alignment horizontal="center" vertical="center" wrapText="1"/>
    </xf>
    <xf numFmtId="0" fontId="1" fillId="2" borderId="48"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0" borderId="11" xfId="0" applyFont="1" applyBorder="1" applyAlignment="1" applyProtection="1">
      <alignment horizontal="center" vertical="center" wrapText="1"/>
      <protection locked="0"/>
    </xf>
    <xf numFmtId="0" fontId="1" fillId="2" borderId="46" xfId="0" applyFont="1" applyFill="1" applyBorder="1" applyAlignment="1">
      <alignment vertical="center" wrapText="1"/>
    </xf>
    <xf numFmtId="0" fontId="1" fillId="2" borderId="47" xfId="0" applyFont="1" applyFill="1" applyBorder="1" applyAlignment="1">
      <alignment vertical="center" wrapText="1"/>
    </xf>
    <xf numFmtId="0" fontId="1" fillId="0" borderId="11" xfId="0" applyFont="1" applyBorder="1" applyAlignment="1" applyProtection="1">
      <alignment vertical="center"/>
      <protection locked="0"/>
    </xf>
    <xf numFmtId="0" fontId="1" fillId="0" borderId="12" xfId="0" applyFont="1" applyBorder="1" applyAlignment="1" applyProtection="1">
      <alignment vertical="center"/>
      <protection locked="0"/>
    </xf>
    <xf numFmtId="0" fontId="1" fillId="0" borderId="2" xfId="0" applyFont="1" applyBorder="1" applyAlignment="1" applyProtection="1">
      <alignment vertical="center"/>
      <protection locked="0"/>
    </xf>
    <xf numFmtId="0" fontId="1" fillId="0" borderId="3" xfId="0" applyFont="1" applyBorder="1" applyAlignment="1" applyProtection="1">
      <alignment vertical="center"/>
      <protection locked="0"/>
    </xf>
    <xf numFmtId="0" fontId="1" fillId="0" borderId="5" xfId="2" applyFont="1" applyBorder="1" applyAlignment="1" applyProtection="1">
      <alignment vertical="center"/>
      <protection locked="0"/>
    </xf>
    <xf numFmtId="0" fontId="1" fillId="0" borderId="5" xfId="0" applyFont="1" applyBorder="1" applyAlignment="1" applyProtection="1">
      <alignment vertical="center"/>
      <protection locked="0"/>
    </xf>
    <xf numFmtId="0" fontId="1" fillId="0" borderId="6" xfId="0" applyFont="1" applyBorder="1" applyAlignment="1" applyProtection="1">
      <alignment vertical="center"/>
      <protection locked="0"/>
    </xf>
    <xf numFmtId="49" fontId="1" fillId="2" borderId="2" xfId="0" applyNumberFormat="1" applyFont="1" applyFill="1" applyBorder="1" applyAlignment="1">
      <alignment vertical="center"/>
    </xf>
    <xf numFmtId="0" fontId="1" fillId="0" borderId="2" xfId="0" applyFont="1" applyBorder="1" applyAlignment="1">
      <alignment vertical="center"/>
    </xf>
    <xf numFmtId="0" fontId="1" fillId="0" borderId="5" xfId="0" applyFont="1" applyBorder="1" applyAlignment="1" applyProtection="1">
      <alignment vertical="center" wrapText="1" shrinkToFit="1"/>
      <protection locked="0"/>
    </xf>
    <xf numFmtId="49" fontId="1" fillId="0" borderId="11" xfId="0" applyNumberFormat="1" applyFont="1" applyBorder="1" applyAlignment="1" applyProtection="1">
      <alignment vertical="center"/>
      <protection locked="0"/>
    </xf>
    <xf numFmtId="49" fontId="1" fillId="0" borderId="2" xfId="0" applyNumberFormat="1" applyFont="1" applyBorder="1" applyAlignment="1" applyProtection="1">
      <alignment vertical="center"/>
      <protection locked="0"/>
    </xf>
    <xf numFmtId="49" fontId="1" fillId="0" borderId="3" xfId="0" applyNumberFormat="1" applyFont="1" applyBorder="1" applyAlignment="1" applyProtection="1">
      <alignment vertical="center"/>
      <protection locked="0"/>
    </xf>
    <xf numFmtId="0" fontId="1" fillId="0" borderId="19" xfId="0" applyFont="1" applyBorder="1" applyAlignment="1">
      <alignment vertical="center" wrapText="1"/>
    </xf>
    <xf numFmtId="0" fontId="1" fillId="0" borderId="38" xfId="0" applyFont="1" applyBorder="1" applyAlignment="1">
      <alignment vertical="center" wrapText="1"/>
    </xf>
    <xf numFmtId="0" fontId="1" fillId="0" borderId="52" xfId="0" applyFont="1" applyBorder="1" applyAlignment="1">
      <alignment vertical="center" wrapText="1"/>
    </xf>
    <xf numFmtId="49" fontId="1" fillId="0" borderId="12" xfId="0" applyNumberFormat="1" applyFont="1" applyBorder="1" applyAlignment="1" applyProtection="1">
      <alignment vertical="center"/>
      <protection locked="0"/>
    </xf>
    <xf numFmtId="0" fontId="1" fillId="0" borderId="49" xfId="0" applyFont="1" applyBorder="1" applyAlignment="1">
      <alignment vertical="center" wrapText="1"/>
    </xf>
    <xf numFmtId="0" fontId="1" fillId="0" borderId="70" xfId="0" applyFont="1" applyBorder="1" applyAlignment="1">
      <alignment vertical="center" wrapText="1"/>
    </xf>
    <xf numFmtId="0" fontId="1" fillId="0" borderId="44" xfId="0" applyFont="1" applyBorder="1" applyAlignment="1">
      <alignment vertical="center" wrapText="1"/>
    </xf>
    <xf numFmtId="0" fontId="1" fillId="0" borderId="11" xfId="0" applyFont="1" applyBorder="1" applyAlignment="1" applyProtection="1">
      <alignment vertical="center" wrapText="1" shrinkToFit="1"/>
      <protection locked="0"/>
    </xf>
    <xf numFmtId="0" fontId="1" fillId="2" borderId="2" xfId="0" applyFont="1" applyFill="1" applyBorder="1" applyAlignment="1">
      <alignment vertical="center"/>
    </xf>
    <xf numFmtId="0" fontId="1" fillId="0" borderId="3" xfId="0" applyFont="1" applyBorder="1" applyAlignment="1">
      <alignment vertical="center"/>
    </xf>
    <xf numFmtId="49" fontId="1" fillId="0" borderId="5" xfId="0" applyNumberFormat="1" applyFont="1" applyBorder="1" applyAlignment="1" applyProtection="1">
      <alignment horizontal="center" vertical="center"/>
      <protection locked="0"/>
    </xf>
    <xf numFmtId="49" fontId="1" fillId="0" borderId="6" xfId="0" applyNumberFormat="1" applyFont="1" applyBorder="1" applyAlignment="1" applyProtection="1">
      <alignment horizontal="center" vertical="center"/>
      <protection locked="0"/>
    </xf>
    <xf numFmtId="0" fontId="1" fillId="2" borderId="2" xfId="0" applyFont="1" applyFill="1" applyBorder="1" applyAlignment="1">
      <alignment vertical="center" wrapText="1"/>
    </xf>
    <xf numFmtId="49" fontId="1" fillId="0" borderId="5" xfId="0" applyNumberFormat="1" applyFont="1" applyBorder="1" applyAlignment="1" applyProtection="1">
      <alignment vertical="center"/>
      <protection locked="0"/>
    </xf>
    <xf numFmtId="49" fontId="1" fillId="0" borderId="11" xfId="0" applyNumberFormat="1" applyFont="1" applyBorder="1" applyAlignment="1" applyProtection="1">
      <alignment horizontal="center" vertical="center"/>
      <protection locked="0"/>
    </xf>
    <xf numFmtId="49" fontId="1" fillId="0" borderId="2" xfId="0" applyNumberFormat="1" applyFont="1" applyBorder="1" applyAlignment="1" applyProtection="1">
      <alignment horizontal="center" vertical="center"/>
      <protection locked="0"/>
    </xf>
    <xf numFmtId="0" fontId="1" fillId="0" borderId="2" xfId="0" applyFont="1" applyBorder="1" applyAlignment="1" applyProtection="1">
      <alignment horizontal="center" vertical="center" wrapText="1"/>
      <protection locked="0"/>
    </xf>
    <xf numFmtId="49" fontId="1" fillId="0" borderId="34" xfId="0" applyNumberFormat="1" applyFont="1" applyBorder="1" applyAlignment="1" applyProtection="1">
      <alignment vertical="center" wrapText="1"/>
      <protection locked="0"/>
    </xf>
    <xf numFmtId="0" fontId="1" fillId="0" borderId="34" xfId="0" applyFont="1" applyBorder="1" applyAlignment="1" applyProtection="1">
      <alignment vertical="center" wrapText="1"/>
      <protection locked="0"/>
    </xf>
    <xf numFmtId="0" fontId="1" fillId="0" borderId="23" xfId="0" applyFont="1" applyBorder="1" applyAlignment="1" applyProtection="1">
      <alignment vertical="center" wrapText="1"/>
      <protection locked="0"/>
    </xf>
    <xf numFmtId="49" fontId="1" fillId="2" borderId="30" xfId="0" applyNumberFormat="1" applyFont="1" applyFill="1" applyBorder="1" applyAlignment="1">
      <alignment vertical="center"/>
    </xf>
    <xf numFmtId="0" fontId="1" fillId="0" borderId="26" xfId="0" applyFont="1" applyBorder="1" applyAlignment="1">
      <alignment vertical="center"/>
    </xf>
    <xf numFmtId="0" fontId="1" fillId="2" borderId="30" xfId="0" applyFont="1" applyFill="1" applyBorder="1" applyAlignment="1" applyProtection="1">
      <alignment vertical="center" wrapText="1"/>
      <protection locked="0"/>
    </xf>
    <xf numFmtId="0" fontId="1" fillId="0" borderId="25" xfId="0" applyFont="1" applyBorder="1" applyAlignment="1" applyProtection="1">
      <alignment vertical="center" wrapText="1"/>
      <protection locked="0"/>
    </xf>
    <xf numFmtId="0" fontId="1" fillId="0" borderId="26" xfId="0" applyFont="1" applyBorder="1" applyAlignment="1" applyProtection="1">
      <alignment vertical="center" wrapText="1"/>
      <protection locked="0"/>
    </xf>
    <xf numFmtId="49" fontId="1" fillId="2" borderId="24" xfId="0" applyNumberFormat="1" applyFont="1" applyFill="1" applyBorder="1" applyAlignment="1">
      <alignment vertical="center"/>
    </xf>
    <xf numFmtId="0" fontId="1" fillId="0" borderId="27" xfId="0" applyFont="1" applyBorder="1" applyAlignment="1">
      <alignment vertical="center"/>
    </xf>
    <xf numFmtId="0" fontId="1" fillId="2" borderId="24" xfId="0" applyFont="1" applyFill="1" applyBorder="1" applyAlignment="1" applyProtection="1">
      <alignment vertical="center" wrapText="1"/>
      <protection locked="0"/>
    </xf>
    <xf numFmtId="0" fontId="1" fillId="0" borderId="27" xfId="0" applyFont="1" applyBorder="1" applyAlignment="1" applyProtection="1">
      <alignment vertical="center" wrapText="1"/>
      <protection locked="0"/>
    </xf>
    <xf numFmtId="0" fontId="1" fillId="2" borderId="21" xfId="0" applyFont="1" applyFill="1" applyBorder="1" applyAlignment="1">
      <alignment vertical="center"/>
    </xf>
    <xf numFmtId="0" fontId="1" fillId="2" borderId="29" xfId="0" applyFont="1" applyFill="1" applyBorder="1" applyAlignment="1">
      <alignment vertical="center"/>
    </xf>
    <xf numFmtId="1" fontId="1" fillId="2" borderId="24" xfId="0" applyNumberFormat="1" applyFont="1" applyFill="1" applyBorder="1" applyAlignment="1" applyProtection="1">
      <alignment horizontal="left" vertical="center" wrapText="1"/>
      <protection locked="0"/>
    </xf>
    <xf numFmtId="1" fontId="1" fillId="0" borderId="0" xfId="0" applyNumberFormat="1" applyFont="1" applyAlignment="1" applyProtection="1">
      <alignment horizontal="left" vertical="center" wrapText="1"/>
      <protection locked="0"/>
    </xf>
    <xf numFmtId="1" fontId="1" fillId="0" borderId="27" xfId="0" applyNumberFormat="1" applyFont="1" applyBorder="1" applyAlignment="1" applyProtection="1">
      <alignment horizontal="left" vertical="center" wrapText="1"/>
      <protection locked="0"/>
    </xf>
    <xf numFmtId="0" fontId="1" fillId="2" borderId="24" xfId="0" applyFont="1" applyFill="1" applyBorder="1" applyAlignment="1" applyProtection="1">
      <alignment horizontal="left" vertical="center" wrapText="1"/>
      <protection locked="0"/>
    </xf>
    <xf numFmtId="0" fontId="1" fillId="0" borderId="0" xfId="0" applyFont="1" applyAlignment="1" applyProtection="1">
      <alignment horizontal="left" vertical="center" wrapText="1"/>
      <protection locked="0"/>
    </xf>
    <xf numFmtId="0" fontId="1" fillId="0" borderId="27" xfId="0" applyFont="1" applyBorder="1" applyAlignment="1" applyProtection="1">
      <alignment horizontal="left" vertical="center" wrapText="1"/>
      <protection locked="0"/>
    </xf>
    <xf numFmtId="164" fontId="1" fillId="2" borderId="21" xfId="0" applyNumberFormat="1" applyFont="1" applyFill="1" applyBorder="1" applyAlignment="1">
      <alignment horizontal="left" vertical="center" wrapText="1"/>
    </xf>
    <xf numFmtId="164" fontId="1" fillId="2" borderId="28" xfId="0" applyNumberFormat="1" applyFont="1" applyFill="1" applyBorder="1" applyAlignment="1">
      <alignment horizontal="left" vertical="center" wrapText="1"/>
    </xf>
    <xf numFmtId="164" fontId="1" fillId="2" borderId="29" xfId="0" applyNumberFormat="1" applyFont="1" applyFill="1" applyBorder="1" applyAlignment="1">
      <alignment horizontal="left" vertical="center" wrapText="1"/>
    </xf>
    <xf numFmtId="0" fontId="1" fillId="2" borderId="7" xfId="0" applyFont="1" applyFill="1" applyBorder="1" applyAlignment="1">
      <alignment vertical="center" wrapText="1" shrinkToFit="1"/>
    </xf>
    <xf numFmtId="0" fontId="1" fillId="0" borderId="8" xfId="0" applyFont="1" applyBorder="1" applyAlignment="1">
      <alignment vertical="center" wrapText="1"/>
    </xf>
    <xf numFmtId="0" fontId="1" fillId="0" borderId="9" xfId="0" applyFont="1" applyBorder="1" applyAlignment="1">
      <alignment vertical="center" wrapText="1"/>
    </xf>
    <xf numFmtId="0" fontId="8" fillId="3" borderId="34" xfId="0" applyFont="1" applyFill="1" applyBorder="1" applyAlignment="1">
      <alignment horizontal="left" vertical="center"/>
    </xf>
    <xf numFmtId="0" fontId="8" fillId="3" borderId="23" xfId="0" applyFont="1" applyFill="1" applyBorder="1" applyAlignment="1">
      <alignment horizontal="left" vertical="center"/>
    </xf>
    <xf numFmtId="0" fontId="24" fillId="2" borderId="21" xfId="0" applyFont="1" applyFill="1" applyBorder="1" applyAlignment="1">
      <alignment vertical="center"/>
    </xf>
    <xf numFmtId="0" fontId="1" fillId="0" borderId="28" xfId="0" applyFont="1" applyBorder="1" applyAlignment="1">
      <alignment vertical="center"/>
    </xf>
    <xf numFmtId="0" fontId="1" fillId="0" borderId="29" xfId="0" applyFont="1" applyBorder="1" applyAlignment="1">
      <alignment vertical="center"/>
    </xf>
    <xf numFmtId="0" fontId="8" fillId="0" borderId="0" xfId="0" applyFont="1" applyAlignment="1">
      <alignment horizontal="center" vertical="center" wrapText="1"/>
    </xf>
    <xf numFmtId="0" fontId="1" fillId="2" borderId="46" xfId="0" applyFont="1" applyFill="1" applyBorder="1" applyAlignment="1">
      <alignment horizontal="center" vertical="center" wrapText="1"/>
    </xf>
    <xf numFmtId="0" fontId="1" fillId="2" borderId="62" xfId="0" applyFont="1" applyFill="1" applyBorder="1" applyAlignment="1">
      <alignment horizontal="center" vertical="center" wrapText="1"/>
    </xf>
    <xf numFmtId="0" fontId="1" fillId="2" borderId="64" xfId="0" applyFont="1" applyFill="1" applyBorder="1" applyAlignment="1">
      <alignment horizontal="center" vertical="center" wrapText="1"/>
    </xf>
    <xf numFmtId="0" fontId="1" fillId="2" borderId="65"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63" xfId="0" applyFont="1" applyFill="1" applyBorder="1" applyAlignment="1">
      <alignment horizontal="center" vertical="center" wrapText="1"/>
    </xf>
    <xf numFmtId="0" fontId="1" fillId="2" borderId="22" xfId="0" applyFont="1" applyFill="1" applyBorder="1" applyAlignment="1">
      <alignment horizontal="left" vertical="center"/>
    </xf>
    <xf numFmtId="0" fontId="1" fillId="2" borderId="34" xfId="0" applyFont="1" applyFill="1" applyBorder="1" applyAlignment="1">
      <alignment horizontal="left" vertical="center"/>
    </xf>
    <xf numFmtId="0" fontId="1" fillId="2" borderId="23" xfId="0" applyFont="1" applyFill="1" applyBorder="1" applyAlignment="1">
      <alignment horizontal="left" vertical="center"/>
    </xf>
    <xf numFmtId="0" fontId="24" fillId="2" borderId="22" xfId="0" applyFont="1" applyFill="1" applyBorder="1" applyAlignment="1">
      <alignment horizontal="left" vertical="center" wrapText="1"/>
    </xf>
    <xf numFmtId="0" fontId="24" fillId="2" borderId="34" xfId="0" applyFont="1" applyFill="1" applyBorder="1" applyAlignment="1">
      <alignment horizontal="left" vertical="center" wrapText="1"/>
    </xf>
    <xf numFmtId="0" fontId="24" fillId="2" borderId="61" xfId="0" applyFont="1" applyFill="1" applyBorder="1" applyAlignment="1">
      <alignment horizontal="left" vertical="center" wrapText="1"/>
    </xf>
    <xf numFmtId="0" fontId="24" fillId="2" borderId="30" xfId="0" applyFont="1" applyFill="1" applyBorder="1" applyAlignment="1">
      <alignment horizontal="left" vertical="center" wrapText="1"/>
    </xf>
    <xf numFmtId="0" fontId="24" fillId="2" borderId="25" xfId="0" applyFont="1" applyFill="1" applyBorder="1" applyAlignment="1">
      <alignment horizontal="left" vertical="center" wrapText="1"/>
    </xf>
    <xf numFmtId="0" fontId="24" fillId="2" borderId="64" xfId="0" applyFont="1" applyFill="1" applyBorder="1" applyAlignment="1">
      <alignment horizontal="left" vertical="center" wrapText="1"/>
    </xf>
    <xf numFmtId="0" fontId="1" fillId="2" borderId="18"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8" fillId="3" borderId="7" xfId="0" applyFont="1" applyFill="1" applyBorder="1" applyAlignment="1">
      <alignment horizontal="left" vertical="center"/>
    </xf>
    <xf numFmtId="0" fontId="1" fillId="0" borderId="8" xfId="0" applyFont="1" applyBorder="1" applyAlignment="1">
      <alignment horizontal="left" vertical="center"/>
    </xf>
    <xf numFmtId="0" fontId="1" fillId="0" borderId="5" xfId="0" applyFont="1" applyBorder="1" applyAlignment="1" applyProtection="1">
      <alignment horizontal="center" vertical="center" wrapText="1"/>
      <protection locked="0"/>
    </xf>
    <xf numFmtId="49" fontId="1" fillId="2" borderId="22" xfId="0" applyNumberFormat="1" applyFont="1" applyFill="1" applyBorder="1" applyAlignment="1">
      <alignment horizontal="left" vertical="center"/>
    </xf>
    <xf numFmtId="49" fontId="1" fillId="2" borderId="34" xfId="0" applyNumberFormat="1" applyFont="1" applyFill="1" applyBorder="1" applyAlignment="1">
      <alignment horizontal="left" vertical="center"/>
    </xf>
    <xf numFmtId="49" fontId="1" fillId="2" borderId="23" xfId="0" applyNumberFormat="1" applyFont="1" applyFill="1" applyBorder="1" applyAlignment="1">
      <alignment horizontal="left" vertical="center"/>
    </xf>
    <xf numFmtId="0" fontId="1" fillId="0" borderId="48" xfId="0" applyFont="1" applyBorder="1" applyAlignment="1" applyProtection="1">
      <alignment horizontal="left" vertical="center"/>
      <protection locked="0"/>
    </xf>
    <xf numFmtId="0" fontId="1" fillId="0" borderId="57" xfId="0" applyFont="1" applyBorder="1" applyAlignment="1" applyProtection="1">
      <alignment horizontal="left" vertical="center"/>
      <protection locked="0"/>
    </xf>
    <xf numFmtId="0" fontId="1" fillId="0" borderId="48" xfId="0" applyFont="1" applyBorder="1" applyAlignment="1" applyProtection="1">
      <alignment horizontal="left" vertical="center" wrapText="1"/>
      <protection locked="0"/>
    </xf>
    <xf numFmtId="0" fontId="1" fillId="0" borderId="57" xfId="0" applyFont="1" applyBorder="1" applyAlignment="1" applyProtection="1">
      <alignment horizontal="left" vertical="center" wrapText="1"/>
      <protection locked="0"/>
    </xf>
    <xf numFmtId="0" fontId="1" fillId="0" borderId="49" xfId="0" applyFont="1" applyBorder="1" applyAlignment="1" applyProtection="1">
      <alignment horizontal="left" vertical="center"/>
      <protection locked="0"/>
    </xf>
    <xf numFmtId="0" fontId="1" fillId="0" borderId="58" xfId="0" applyFont="1" applyBorder="1" applyAlignment="1" applyProtection="1">
      <alignment horizontal="left" vertical="center"/>
      <protection locked="0"/>
    </xf>
    <xf numFmtId="0" fontId="1" fillId="0" borderId="19" xfId="0" applyFont="1" applyBorder="1" applyAlignment="1" applyProtection="1">
      <alignment horizontal="left" vertical="center"/>
      <protection locked="0"/>
    </xf>
    <xf numFmtId="0" fontId="1" fillId="0" borderId="32" xfId="0" applyFont="1" applyBorder="1" applyAlignment="1" applyProtection="1">
      <alignment horizontal="left" vertical="center"/>
      <protection locked="0"/>
    </xf>
    <xf numFmtId="0" fontId="1" fillId="2" borderId="53" xfId="0" applyFont="1" applyFill="1" applyBorder="1" applyAlignment="1">
      <alignment horizontal="center" vertical="center" wrapText="1"/>
    </xf>
    <xf numFmtId="0" fontId="1" fillId="2" borderId="56" xfId="0" applyFont="1" applyFill="1" applyBorder="1" applyAlignment="1">
      <alignment horizontal="center" vertical="center" wrapText="1"/>
    </xf>
    <xf numFmtId="0" fontId="1" fillId="2" borderId="8" xfId="0" applyFont="1" applyFill="1" applyBorder="1" applyAlignment="1">
      <alignment horizontal="center" vertical="center"/>
    </xf>
    <xf numFmtId="49" fontId="8" fillId="0" borderId="0" xfId="0" applyNumberFormat="1" applyFont="1" applyAlignment="1">
      <alignment horizontal="center" vertical="center" wrapText="1"/>
    </xf>
    <xf numFmtId="49" fontId="1" fillId="0" borderId="24" xfId="0" applyNumberFormat="1" applyFont="1" applyBorder="1" applyAlignment="1" applyProtection="1">
      <alignment horizontal="left" vertical="center" wrapText="1"/>
      <protection locked="0"/>
    </xf>
    <xf numFmtId="0" fontId="1" fillId="0" borderId="25" xfId="0" applyFont="1" applyBorder="1" applyAlignment="1">
      <alignment vertical="center"/>
    </xf>
    <xf numFmtId="0" fontId="19" fillId="2" borderId="46" xfId="0" applyFont="1" applyFill="1" applyBorder="1" applyAlignment="1">
      <alignment horizontal="center" vertical="center" wrapText="1"/>
    </xf>
    <xf numFmtId="0" fontId="19" fillId="2" borderId="53" xfId="0" applyFont="1" applyFill="1" applyBorder="1" applyAlignment="1">
      <alignment horizontal="center" vertical="center" wrapText="1"/>
    </xf>
    <xf numFmtId="49" fontId="1" fillId="0" borderId="21" xfId="0" applyNumberFormat="1" applyFont="1" applyBorder="1" applyAlignment="1" applyProtection="1">
      <alignment horizontal="left" vertical="center" wrapText="1"/>
      <protection locked="0"/>
    </xf>
    <xf numFmtId="0" fontId="1" fillId="0" borderId="28" xfId="0" applyFont="1" applyBorder="1" applyAlignment="1" applyProtection="1">
      <alignment horizontal="left" vertical="center" wrapText="1"/>
      <protection locked="0"/>
    </xf>
    <xf numFmtId="0" fontId="1" fillId="0" borderId="29" xfId="0" applyFont="1" applyBorder="1" applyAlignment="1" applyProtection="1">
      <alignment horizontal="left" vertical="center" wrapText="1"/>
      <protection locked="0"/>
    </xf>
    <xf numFmtId="0" fontId="8" fillId="3"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11" xfId="0" applyFont="1" applyBorder="1" applyAlignment="1">
      <alignment horizontal="center" vertical="center" wrapText="1"/>
    </xf>
    <xf numFmtId="49" fontId="1" fillId="2" borderId="21" xfId="0" applyNumberFormat="1" applyFont="1" applyFill="1" applyBorder="1" applyAlignment="1">
      <alignment vertical="center"/>
    </xf>
    <xf numFmtId="49" fontId="1" fillId="0" borderId="30" xfId="0" applyNumberFormat="1" applyFont="1" applyBorder="1" applyAlignment="1" applyProtection="1">
      <alignment horizontal="left" vertical="center" wrapText="1"/>
      <protection locked="0"/>
    </xf>
    <xf numFmtId="0" fontId="1" fillId="0" borderId="25" xfId="0" applyFont="1" applyBorder="1" applyAlignment="1" applyProtection="1">
      <alignment horizontal="left" vertical="center" wrapText="1"/>
      <protection locked="0"/>
    </xf>
    <xf numFmtId="0" fontId="1" fillId="0" borderId="26" xfId="0" applyFont="1" applyBorder="1" applyAlignment="1" applyProtection="1">
      <alignment horizontal="left" vertical="center" wrapText="1"/>
      <protection locked="0"/>
    </xf>
    <xf numFmtId="0" fontId="1" fillId="0" borderId="19" xfId="0" applyFont="1" applyBorder="1" applyAlignment="1" applyProtection="1">
      <alignment horizontal="left" vertical="center" wrapText="1"/>
      <protection locked="0"/>
    </xf>
    <xf numFmtId="0" fontId="1" fillId="0" borderId="32" xfId="0" applyFont="1" applyBorder="1" applyAlignment="1" applyProtection="1">
      <alignment horizontal="left" vertical="center" wrapText="1"/>
      <protection locked="0"/>
    </xf>
    <xf numFmtId="0" fontId="1" fillId="6" borderId="22" xfId="0" applyFont="1" applyFill="1" applyBorder="1" applyAlignment="1">
      <alignment horizontal="center" vertical="center"/>
    </xf>
    <xf numFmtId="0" fontId="1" fillId="6" borderId="34" xfId="0" applyFont="1" applyFill="1" applyBorder="1" applyAlignment="1">
      <alignment horizontal="center" vertical="center"/>
    </xf>
    <xf numFmtId="0" fontId="1" fillId="6" borderId="23" xfId="0" applyFont="1" applyFill="1" applyBorder="1" applyAlignment="1">
      <alignment horizontal="center" vertical="center"/>
    </xf>
    <xf numFmtId="0" fontId="1" fillId="2" borderId="59" xfId="0" applyFont="1" applyFill="1" applyBorder="1" applyAlignment="1">
      <alignment horizontal="center" vertical="center" wrapText="1"/>
    </xf>
    <xf numFmtId="0" fontId="1" fillId="2" borderId="60" xfId="0" applyFont="1" applyFill="1" applyBorder="1" applyAlignment="1">
      <alignment horizontal="center" vertical="center" wrapText="1"/>
    </xf>
    <xf numFmtId="0" fontId="1" fillId="0" borderId="49" xfId="0" applyFont="1" applyBorder="1" applyAlignment="1" applyProtection="1">
      <alignment horizontal="left" vertical="center" wrapText="1"/>
      <protection locked="0"/>
    </xf>
    <xf numFmtId="0" fontId="1" fillId="0" borderId="58" xfId="0" applyFont="1" applyBorder="1" applyAlignment="1" applyProtection="1">
      <alignment horizontal="left" vertical="center" wrapText="1"/>
      <protection locked="0"/>
    </xf>
    <xf numFmtId="49" fontId="1" fillId="0" borderId="53" xfId="0" applyNumberFormat="1" applyFont="1" applyBorder="1" applyAlignment="1" applyProtection="1">
      <alignment horizontal="center" vertical="center"/>
      <protection locked="0"/>
    </xf>
    <xf numFmtId="0" fontId="1" fillId="0" borderId="53" xfId="0" applyFont="1" applyBorder="1" applyAlignment="1" applyProtection="1">
      <alignment horizontal="center" vertical="center" wrapText="1"/>
      <protection locked="0"/>
    </xf>
    <xf numFmtId="0" fontId="8" fillId="3" borderId="30" xfId="0" applyFont="1" applyFill="1" applyBorder="1" applyAlignment="1">
      <alignment horizontal="left" vertical="center"/>
    </xf>
    <xf numFmtId="0" fontId="8" fillId="3" borderId="26" xfId="0" applyFont="1" applyFill="1" applyBorder="1" applyAlignment="1">
      <alignment horizontal="left" vertical="center"/>
    </xf>
    <xf numFmtId="0" fontId="1" fillId="0" borderId="25" xfId="0" applyFont="1" applyBorder="1" applyAlignment="1">
      <alignment horizontal="left" vertical="center"/>
    </xf>
    <xf numFmtId="0" fontId="1" fillId="0" borderId="26" xfId="0" applyFont="1" applyBorder="1" applyAlignment="1">
      <alignment horizontal="left" vertical="center"/>
    </xf>
    <xf numFmtId="0" fontId="18" fillId="2" borderId="3" xfId="0" applyFont="1" applyFill="1" applyBorder="1" applyAlignment="1">
      <alignment horizontal="center" vertical="center" wrapText="1"/>
    </xf>
    <xf numFmtId="0" fontId="18" fillId="2" borderId="12" xfId="0"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1" fillId="0" borderId="60" xfId="0" applyFont="1" applyBorder="1" applyAlignment="1">
      <alignment horizontal="center" vertical="center"/>
    </xf>
    <xf numFmtId="0" fontId="1" fillId="0" borderId="53" xfId="0" applyFont="1" applyBorder="1" applyAlignment="1">
      <alignment horizontal="center" vertical="center"/>
    </xf>
    <xf numFmtId="0" fontId="1" fillId="0" borderId="56" xfId="0" applyFont="1" applyBorder="1" applyAlignment="1">
      <alignment horizontal="center" vertical="center"/>
    </xf>
    <xf numFmtId="0" fontId="1" fillId="0" borderId="2" xfId="0" applyFont="1" applyBorder="1" applyAlignment="1" applyProtection="1">
      <alignment vertical="center" wrapText="1" shrinkToFit="1"/>
      <protection locked="0"/>
    </xf>
    <xf numFmtId="49" fontId="4" fillId="0" borderId="12" xfId="0" applyNumberFormat="1" applyFont="1" applyBorder="1" applyAlignment="1" applyProtection="1">
      <alignment vertical="center"/>
      <protection locked="0"/>
    </xf>
    <xf numFmtId="0" fontId="1" fillId="0" borderId="19" xfId="0" applyFont="1" applyBorder="1" applyAlignment="1" applyProtection="1">
      <alignment vertical="center" wrapText="1" shrinkToFit="1"/>
      <protection locked="0"/>
    </xf>
    <xf numFmtId="0" fontId="1" fillId="0" borderId="38" xfId="0" applyFont="1" applyBorder="1" applyAlignment="1" applyProtection="1">
      <alignment vertical="center" wrapText="1" shrinkToFit="1"/>
      <protection locked="0"/>
    </xf>
    <xf numFmtId="0" fontId="1" fillId="0" borderId="52" xfId="0" applyFont="1" applyBorder="1" applyAlignment="1" applyProtection="1">
      <alignment vertical="center" wrapText="1" shrinkToFit="1"/>
      <protection locked="0"/>
    </xf>
    <xf numFmtId="49" fontId="1" fillId="0" borderId="19" xfId="0" applyNumberFormat="1" applyFont="1" applyBorder="1" applyAlignment="1" applyProtection="1">
      <alignment vertical="center"/>
      <protection locked="0"/>
    </xf>
    <xf numFmtId="49" fontId="1" fillId="0" borderId="52" xfId="0" applyNumberFormat="1" applyFont="1" applyBorder="1" applyAlignment="1" applyProtection="1">
      <alignment vertical="center"/>
      <protection locked="0"/>
    </xf>
    <xf numFmtId="49" fontId="1" fillId="0" borderId="19" xfId="0" applyNumberFormat="1" applyFont="1" applyBorder="1" applyAlignment="1" applyProtection="1">
      <alignment horizontal="center" vertical="center"/>
      <protection locked="0"/>
    </xf>
    <xf numFmtId="49" fontId="4" fillId="0" borderId="52" xfId="0" applyNumberFormat="1" applyFont="1" applyBorder="1" applyAlignment="1" applyProtection="1">
      <alignment horizontal="center" vertical="center"/>
      <protection locked="0"/>
    </xf>
    <xf numFmtId="49" fontId="1" fillId="0" borderId="30" xfId="0" applyNumberFormat="1" applyFont="1" applyBorder="1" applyAlignment="1" applyProtection="1">
      <alignment vertical="center" wrapText="1"/>
      <protection locked="0"/>
    </xf>
    <xf numFmtId="0" fontId="1" fillId="0" borderId="49" xfId="0" applyFont="1" applyBorder="1" applyAlignment="1" applyProtection="1">
      <alignment horizontal="center" vertical="center" wrapText="1"/>
      <protection locked="0"/>
    </xf>
    <xf numFmtId="0" fontId="1" fillId="0" borderId="70" xfId="0" applyFont="1" applyBorder="1" applyAlignment="1" applyProtection="1">
      <alignment horizontal="center" vertical="center" wrapText="1"/>
      <protection locked="0"/>
    </xf>
    <xf numFmtId="0" fontId="1" fillId="0" borderId="44" xfId="0" applyFont="1" applyBorder="1" applyAlignment="1" applyProtection="1">
      <alignment horizontal="center" vertical="center" wrapText="1"/>
      <protection locked="0"/>
    </xf>
    <xf numFmtId="0" fontId="1" fillId="0" borderId="11" xfId="0" applyFont="1" applyBorder="1" applyAlignment="1" applyProtection="1">
      <alignment vertical="center" wrapText="1"/>
      <protection locked="0"/>
    </xf>
    <xf numFmtId="0" fontId="1" fillId="0" borderId="12" xfId="0" applyFont="1" applyBorder="1" applyAlignment="1" applyProtection="1">
      <alignment vertical="center" wrapText="1"/>
      <protection locked="0"/>
    </xf>
    <xf numFmtId="0" fontId="1" fillId="0" borderId="19" xfId="0" applyFont="1" applyBorder="1" applyAlignment="1" applyProtection="1">
      <alignment vertical="center" wrapText="1"/>
      <protection locked="0"/>
    </xf>
    <xf numFmtId="0" fontId="1" fillId="0" borderId="38" xfId="0" applyFont="1" applyBorder="1" applyAlignment="1" applyProtection="1">
      <alignment vertical="center" wrapText="1"/>
      <protection locked="0"/>
    </xf>
    <xf numFmtId="0" fontId="1" fillId="0" borderId="52" xfId="0" applyFont="1" applyBorder="1" applyAlignment="1" applyProtection="1">
      <alignment vertical="center" wrapText="1"/>
      <protection locked="0"/>
    </xf>
    <xf numFmtId="0" fontId="1" fillId="0" borderId="32" xfId="0" applyFont="1" applyBorder="1" applyAlignment="1" applyProtection="1">
      <alignment vertical="center" wrapText="1"/>
      <protection locked="0"/>
    </xf>
    <xf numFmtId="0" fontId="1" fillId="0" borderId="22" xfId="0" applyFont="1" applyBorder="1" applyAlignment="1" applyProtection="1">
      <alignment horizontal="center"/>
      <protection locked="0"/>
    </xf>
    <xf numFmtId="0" fontId="1" fillId="0" borderId="34"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8" borderId="22" xfId="0" applyFont="1" applyFill="1" applyBorder="1" applyAlignment="1">
      <alignment horizontal="center" vertical="center"/>
    </xf>
    <xf numFmtId="0" fontId="1" fillId="8" borderId="34" xfId="0" applyFont="1" applyFill="1" applyBorder="1" applyAlignment="1">
      <alignment horizontal="center" vertical="center"/>
    </xf>
    <xf numFmtId="0" fontId="1" fillId="8" borderId="23" xfId="0" applyFont="1" applyFill="1" applyBorder="1" applyAlignment="1">
      <alignment horizontal="center" vertical="center"/>
    </xf>
    <xf numFmtId="164" fontId="26" fillId="12" borderId="22" xfId="0" applyNumberFormat="1" applyFont="1" applyFill="1" applyBorder="1" applyAlignment="1" applyProtection="1">
      <alignment horizontal="left"/>
      <protection locked="0"/>
    </xf>
    <xf numFmtId="164" fontId="26" fillId="12" borderId="34" xfId="0" applyNumberFormat="1" applyFont="1" applyFill="1" applyBorder="1" applyAlignment="1" applyProtection="1">
      <alignment horizontal="left"/>
      <protection locked="0"/>
    </xf>
    <xf numFmtId="164" fontId="26" fillId="12" borderId="71" xfId="0" applyNumberFormat="1" applyFont="1" applyFill="1" applyBorder="1" applyAlignment="1" applyProtection="1">
      <alignment horizontal="left"/>
      <protection locked="0"/>
    </xf>
    <xf numFmtId="0" fontId="35" fillId="10" borderId="10" xfId="0" applyFont="1" applyFill="1" applyBorder="1" applyAlignment="1" applyProtection="1">
      <alignment vertical="center"/>
      <protection locked="0"/>
    </xf>
    <xf numFmtId="0" fontId="35" fillId="10" borderId="11" xfId="0" applyFont="1" applyFill="1" applyBorder="1" applyAlignment="1" applyProtection="1">
      <alignment horizontal="left" vertical="center"/>
      <protection locked="0"/>
    </xf>
    <xf numFmtId="0" fontId="35" fillId="10" borderId="11" xfId="0" applyFont="1" applyFill="1" applyBorder="1" applyAlignment="1" applyProtection="1">
      <alignment horizontal="center" vertical="center"/>
      <protection locked="0"/>
    </xf>
    <xf numFmtId="165" fontId="35" fillId="10" borderId="11" xfId="0" applyNumberFormat="1" applyFont="1" applyFill="1" applyBorder="1" applyAlignment="1" applyProtection="1">
      <alignment horizontal="right" vertical="center"/>
      <protection locked="0"/>
    </xf>
    <xf numFmtId="164" fontId="35" fillId="10" borderId="11" xfId="0" applyNumberFormat="1" applyFont="1" applyFill="1" applyBorder="1" applyAlignment="1" applyProtection="1">
      <alignment horizontal="center" vertical="center"/>
      <protection locked="0"/>
    </xf>
    <xf numFmtId="0" fontId="35" fillId="10" borderId="12" xfId="0" applyFont="1" applyFill="1" applyBorder="1" applyAlignment="1" applyProtection="1">
      <alignment horizontal="center" vertical="center"/>
      <protection locked="0"/>
    </xf>
    <xf numFmtId="0" fontId="26" fillId="10" borderId="10" xfId="0" applyFont="1" applyFill="1" applyBorder="1" applyAlignment="1" applyProtection="1">
      <alignment vertical="center"/>
      <protection locked="0"/>
    </xf>
    <xf numFmtId="0" fontId="26" fillId="10" borderId="11" xfId="0" applyFont="1" applyFill="1" applyBorder="1" applyAlignment="1" applyProtection="1">
      <alignment horizontal="left" vertical="center"/>
      <protection locked="0"/>
    </xf>
    <xf numFmtId="0" fontId="26" fillId="10" borderId="11" xfId="0" applyFont="1" applyFill="1" applyBorder="1" applyAlignment="1" applyProtection="1">
      <alignment horizontal="center" vertical="center"/>
      <protection locked="0"/>
    </xf>
    <xf numFmtId="165" fontId="26" fillId="10" borderId="11" xfId="0" applyNumberFormat="1" applyFont="1" applyFill="1" applyBorder="1" applyAlignment="1" applyProtection="1">
      <alignment horizontal="right" vertical="center"/>
      <protection locked="0"/>
    </xf>
    <xf numFmtId="164" fontId="26" fillId="10" borderId="11" xfId="0" applyNumberFormat="1" applyFont="1" applyFill="1" applyBorder="1" applyAlignment="1" applyProtection="1">
      <alignment horizontal="center" vertical="center"/>
      <protection locked="0"/>
    </xf>
    <xf numFmtId="0" fontId="26" fillId="10" borderId="12" xfId="0" applyFont="1" applyFill="1" applyBorder="1" applyAlignment="1" applyProtection="1">
      <alignment horizontal="center" vertical="center"/>
      <protection locked="0"/>
    </xf>
    <xf numFmtId="165" fontId="35" fillId="10" borderId="19" xfId="0" applyNumberFormat="1" applyFont="1" applyFill="1" applyBorder="1" applyAlignment="1" applyProtection="1">
      <alignment horizontal="right" vertical="center"/>
      <protection locked="0"/>
    </xf>
    <xf numFmtId="0" fontId="35" fillId="10" borderId="10" xfId="0" applyFont="1" applyFill="1" applyBorder="1" applyAlignment="1" applyProtection="1">
      <alignment horizontal="center" vertical="center"/>
      <protection locked="0"/>
    </xf>
    <xf numFmtId="0" fontId="35" fillId="10" borderId="52" xfId="0" applyFont="1" applyFill="1" applyBorder="1" applyAlignment="1" applyProtection="1">
      <alignment horizontal="center" vertical="center"/>
      <protection locked="0"/>
    </xf>
    <xf numFmtId="165" fontId="26" fillId="10" borderId="12" xfId="0" applyNumberFormat="1" applyFont="1" applyFill="1" applyBorder="1" applyAlignment="1" applyProtection="1">
      <alignment horizontal="right" vertical="center"/>
      <protection locked="0"/>
    </xf>
    <xf numFmtId="0" fontId="26" fillId="10" borderId="10" xfId="0" applyFont="1" applyFill="1" applyBorder="1" applyAlignment="1" applyProtection="1">
      <alignment horizontal="center" vertical="center"/>
      <protection locked="0"/>
    </xf>
    <xf numFmtId="165" fontId="35" fillId="10" borderId="10" xfId="0" applyNumberFormat="1" applyFont="1" applyFill="1" applyBorder="1" applyAlignment="1" applyProtection="1">
      <alignment horizontal="center" vertical="center"/>
      <protection locked="0"/>
    </xf>
    <xf numFmtId="0" fontId="14" fillId="0" borderId="22" xfId="5" applyFont="1" applyFill="1" applyBorder="1" applyAlignment="1" applyProtection="1">
      <alignment horizontal="left"/>
      <protection locked="0"/>
    </xf>
    <xf numFmtId="0" fontId="14" fillId="0" borderId="30" xfId="5" applyFont="1" applyBorder="1" applyProtection="1">
      <protection locked="0"/>
    </xf>
    <xf numFmtId="0" fontId="1" fillId="0" borderId="59" xfId="4" applyFont="1" applyBorder="1" applyAlignment="1" applyProtection="1">
      <alignment vertical="center" wrapText="1"/>
      <protection locked="0"/>
    </xf>
    <xf numFmtId="0" fontId="1" fillId="0" borderId="2" xfId="4" applyFont="1" applyBorder="1" applyAlignment="1" applyProtection="1">
      <alignment vertical="center"/>
      <protection locked="0"/>
    </xf>
    <xf numFmtId="0" fontId="1" fillId="0" borderId="45" xfId="4" applyFont="1" applyBorder="1" applyAlignment="1" applyProtection="1">
      <alignment vertical="center" wrapText="1"/>
      <protection locked="0"/>
    </xf>
    <xf numFmtId="0" fontId="1" fillId="0" borderId="11" xfId="4" applyFont="1" applyBorder="1" applyAlignment="1" applyProtection="1">
      <alignment vertical="center"/>
      <protection locked="0"/>
    </xf>
    <xf numFmtId="0" fontId="1" fillId="0" borderId="11" xfId="4" applyFont="1" applyBorder="1" applyAlignment="1" applyProtection="1">
      <alignment vertical="center" wrapText="1"/>
      <protection locked="0"/>
    </xf>
    <xf numFmtId="0" fontId="1" fillId="0" borderId="10" xfId="4" applyFont="1" applyBorder="1" applyAlignment="1" applyProtection="1">
      <alignment vertical="center" wrapText="1"/>
      <protection locked="0"/>
    </xf>
    <xf numFmtId="0" fontId="1" fillId="0" borderId="19" xfId="4" applyFont="1" applyBorder="1" applyAlignment="1" applyProtection="1">
      <alignment vertical="center"/>
      <protection locked="0"/>
    </xf>
    <xf numFmtId="0" fontId="1" fillId="0" borderId="38" xfId="4" applyFont="1" applyBorder="1" applyAlignment="1" applyProtection="1">
      <alignment vertical="center"/>
      <protection locked="0"/>
    </xf>
    <xf numFmtId="0" fontId="1" fillId="0" borderId="32" xfId="4" applyFont="1" applyBorder="1" applyAlignment="1" applyProtection="1">
      <alignment vertical="center"/>
      <protection locked="0"/>
    </xf>
    <xf numFmtId="0" fontId="1" fillId="0" borderId="12" xfId="4" applyFont="1" applyBorder="1" applyAlignment="1" applyProtection="1">
      <alignment vertical="center"/>
      <protection locked="0"/>
    </xf>
    <xf numFmtId="0" fontId="1" fillId="0" borderId="1" xfId="4" applyFont="1" applyBorder="1" applyAlignment="1" applyProtection="1">
      <alignment vertical="center" wrapText="1"/>
      <protection locked="0"/>
    </xf>
    <xf numFmtId="0" fontId="1" fillId="0" borderId="11" xfId="4" applyFont="1" applyBorder="1" applyAlignment="1" applyProtection="1">
      <alignment vertical="center" wrapText="1"/>
      <protection locked="0"/>
    </xf>
    <xf numFmtId="0" fontId="1" fillId="0" borderId="4" xfId="4" applyFont="1" applyBorder="1" applyAlignment="1" applyProtection="1">
      <alignment vertical="center" wrapText="1"/>
      <protection locked="0"/>
    </xf>
    <xf numFmtId="0" fontId="1" fillId="0" borderId="5" xfId="4" applyFont="1" applyBorder="1" applyAlignment="1" applyProtection="1">
      <alignment vertical="center"/>
      <protection locked="0"/>
    </xf>
    <xf numFmtId="0" fontId="1" fillId="0" borderId="10" xfId="7" applyFont="1" applyBorder="1" applyAlignment="1" applyProtection="1">
      <alignment vertical="center"/>
      <protection locked="0"/>
    </xf>
    <xf numFmtId="0" fontId="1" fillId="0" borderId="11" xfId="7" applyFont="1" applyBorder="1" applyAlignment="1" applyProtection="1">
      <alignment vertical="center"/>
      <protection locked="0"/>
    </xf>
    <xf numFmtId="0" fontId="1" fillId="0" borderId="11" xfId="7" applyFont="1" applyBorder="1" applyAlignment="1" applyProtection="1">
      <alignment horizontal="left" vertical="center"/>
      <protection locked="0"/>
    </xf>
    <xf numFmtId="0" fontId="1" fillId="0" borderId="11" xfId="7" applyFont="1" applyBorder="1" applyAlignment="1" applyProtection="1">
      <alignment horizontal="center" vertical="center"/>
      <protection locked="0"/>
    </xf>
    <xf numFmtId="165" fontId="1" fillId="0" borderId="11" xfId="7" applyNumberFormat="1" applyFont="1" applyBorder="1" applyAlignment="1" applyProtection="1">
      <alignment horizontal="right" vertical="center"/>
      <protection locked="0"/>
    </xf>
    <xf numFmtId="0" fontId="1" fillId="0" borderId="12" xfId="7" applyFont="1" applyBorder="1" applyAlignment="1" applyProtection="1">
      <alignment horizontal="center" vertical="center"/>
      <protection locked="0"/>
    </xf>
    <xf numFmtId="164" fontId="1" fillId="0" borderId="11" xfId="7" applyNumberFormat="1" applyFont="1" applyBorder="1" applyAlignment="1" applyProtection="1">
      <alignment horizontal="center" vertical="center"/>
      <protection locked="0"/>
    </xf>
    <xf numFmtId="0" fontId="1" fillId="0" borderId="10" xfId="8" applyFont="1" applyBorder="1" applyAlignment="1" applyProtection="1">
      <alignment vertical="center"/>
      <protection locked="0"/>
    </xf>
    <xf numFmtId="0" fontId="1" fillId="0" borderId="11" xfId="8" applyFont="1" applyBorder="1" applyAlignment="1">
      <alignment horizontal="center"/>
    </xf>
    <xf numFmtId="0" fontId="1" fillId="0" borderId="11" xfId="8" applyFont="1" applyBorder="1" applyAlignment="1" applyProtection="1">
      <alignment horizontal="center" vertical="center"/>
      <protection locked="0"/>
    </xf>
    <xf numFmtId="0" fontId="1" fillId="0" borderId="11" xfId="8" applyFont="1" applyBorder="1" applyAlignment="1" applyProtection="1">
      <alignment horizontal="left" vertical="center"/>
      <protection locked="0"/>
    </xf>
    <xf numFmtId="165" fontId="1" fillId="0" borderId="11" xfId="8" applyNumberFormat="1" applyFont="1" applyBorder="1" applyAlignment="1" applyProtection="1">
      <alignment horizontal="right" vertical="center"/>
      <protection locked="0"/>
    </xf>
    <xf numFmtId="164" fontId="1" fillId="0" borderId="11" xfId="8" applyNumberFormat="1" applyFont="1" applyBorder="1" applyAlignment="1" applyProtection="1">
      <alignment horizontal="center" vertical="center"/>
      <protection locked="0"/>
    </xf>
    <xf numFmtId="0" fontId="1" fillId="0" borderId="12" xfId="8" applyFont="1" applyBorder="1" applyAlignment="1" applyProtection="1">
      <alignment horizontal="center" vertical="center"/>
      <protection locked="0"/>
    </xf>
    <xf numFmtId="0" fontId="1" fillId="0" borderId="0" xfId="8" applyFont="1" applyAlignment="1" applyProtection="1">
      <alignment vertical="center"/>
      <protection locked="0"/>
    </xf>
    <xf numFmtId="165" fontId="1" fillId="0" borderId="19" xfId="8" applyNumberFormat="1" applyFont="1" applyBorder="1" applyAlignment="1" applyProtection="1">
      <alignment horizontal="right" vertical="center"/>
      <protection locked="0"/>
    </xf>
    <xf numFmtId="0" fontId="1" fillId="0" borderId="10" xfId="8" applyFont="1" applyBorder="1" applyAlignment="1" applyProtection="1">
      <alignment horizontal="center" vertical="center"/>
      <protection locked="0"/>
    </xf>
    <xf numFmtId="0" fontId="1" fillId="0" borderId="52" xfId="8" applyFont="1" applyBorder="1" applyAlignment="1" applyProtection="1">
      <alignment horizontal="center" vertical="center"/>
      <protection locked="0"/>
    </xf>
  </cellXfs>
  <cellStyles count="9">
    <cellStyle name="Hyperlink" xfId="5" builtinId="8"/>
    <cellStyle name="Normal" xfId="0" builtinId="0"/>
    <cellStyle name="Normal 10" xfId="7" xr:uid="{1C0C6340-A051-407D-A27E-73F3BB57C5A6}"/>
    <cellStyle name="Normal 2 2" xfId="8" xr:uid="{F683038F-7697-42E1-AF27-CA0E2E94CCAD}"/>
    <cellStyle name="Normal_Sheet1" xfId="1" xr:uid="{00000000-0005-0000-0000-000002000000}"/>
    <cellStyle name="Normal_Template ~ Proposal Liberty Container Line" xfId="2" xr:uid="{00000000-0005-0000-0000-000004000000}"/>
    <cellStyle name="Normal_Template ~ Proposal Liberty Container Line 2" xfId="4" xr:uid="{00000000-0005-0000-0000-000005000000}"/>
    <cellStyle name="Percent" xfId="3" builtinId="5"/>
    <cellStyle name="Percent 2" xfId="6" xr:uid="{E9BFAE23-DEAD-4696-A5E5-B35FFBE045E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139700</xdr:colOff>
      <xdr:row>64</xdr:row>
      <xdr:rowOff>25400</xdr:rowOff>
    </xdr:from>
    <xdr:to>
      <xdr:col>0</xdr:col>
      <xdr:colOff>1811655</xdr:colOff>
      <xdr:row>66</xdr:row>
      <xdr:rowOff>20955</xdr:rowOff>
    </xdr:to>
    <xdr:pic>
      <xdr:nvPicPr>
        <xdr:cNvPr id="2" name="Picture 1">
          <a:extLst>
            <a:ext uri="{FF2B5EF4-FFF2-40B4-BE49-F238E27FC236}">
              <a16:creationId xmlns:a16="http://schemas.microsoft.com/office/drawing/2014/main" id="{D3EABAE6-F14D-40CA-A93B-C4E338773D1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7866" b="12298"/>
        <a:stretch/>
      </xdr:blipFill>
      <xdr:spPr>
        <a:xfrm>
          <a:off x="139700" y="9029700"/>
          <a:ext cx="1680845" cy="325120"/>
        </a:xfrm>
        <a:prstGeom prst="rect">
          <a:avLst/>
        </a:prstGeom>
      </xdr:spPr>
    </xdr:pic>
    <xdr:clientData/>
  </xdr:twoCellAnchor>
  <xdr:twoCellAnchor editAs="oneCell">
    <xdr:from>
      <xdr:col>0</xdr:col>
      <xdr:colOff>171450</xdr:colOff>
      <xdr:row>28</xdr:row>
      <xdr:rowOff>123825</xdr:rowOff>
    </xdr:from>
    <xdr:to>
      <xdr:col>0</xdr:col>
      <xdr:colOff>1808480</xdr:colOff>
      <xdr:row>30</xdr:row>
      <xdr:rowOff>134620</xdr:rowOff>
    </xdr:to>
    <xdr:pic>
      <xdr:nvPicPr>
        <xdr:cNvPr id="3" name="Picture 2">
          <a:extLst>
            <a:ext uri="{FF2B5EF4-FFF2-40B4-BE49-F238E27FC236}">
              <a16:creationId xmlns:a16="http://schemas.microsoft.com/office/drawing/2014/main" id="{DD3C6145-C899-4242-AB85-C6A30166133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7866" b="12298"/>
        <a:stretch/>
      </xdr:blipFill>
      <xdr:spPr>
        <a:xfrm>
          <a:off x="171450" y="6877050"/>
          <a:ext cx="1644650" cy="3346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76200</xdr:rowOff>
    </xdr:from>
    <xdr:to>
      <xdr:col>4</xdr:col>
      <xdr:colOff>474980</xdr:colOff>
      <xdr:row>11</xdr:row>
      <xdr:rowOff>54081</xdr:rowOff>
    </xdr:to>
    <xdr:pic>
      <xdr:nvPicPr>
        <xdr:cNvPr id="2" name="Picture 1">
          <a:extLst>
            <a:ext uri="{FF2B5EF4-FFF2-40B4-BE49-F238E27FC236}">
              <a16:creationId xmlns:a16="http://schemas.microsoft.com/office/drawing/2014/main" id="{36E09E64-EC00-7041-DC97-D443F8A9916D}"/>
            </a:ext>
          </a:extLst>
        </xdr:cNvPr>
        <xdr:cNvPicPr>
          <a:picLocks noChangeAspect="1"/>
        </xdr:cNvPicPr>
      </xdr:nvPicPr>
      <xdr:blipFill>
        <a:blip xmlns:r="http://schemas.openxmlformats.org/officeDocument/2006/relationships" r:embed="rId1"/>
        <a:stretch>
          <a:fillRect/>
        </a:stretch>
      </xdr:blipFill>
      <xdr:spPr>
        <a:xfrm>
          <a:off x="47625" y="590550"/>
          <a:ext cx="4359275" cy="1587606"/>
        </a:xfrm>
        <a:prstGeom prst="rect">
          <a:avLst/>
        </a:prstGeom>
      </xdr:spPr>
    </xdr:pic>
    <xdr:clientData/>
  </xdr:twoCellAnchor>
  <xdr:twoCellAnchor editAs="oneCell">
    <xdr:from>
      <xdr:col>5</xdr:col>
      <xdr:colOff>180975</xdr:colOff>
      <xdr:row>1</xdr:row>
      <xdr:rowOff>76200</xdr:rowOff>
    </xdr:from>
    <xdr:to>
      <xdr:col>11</xdr:col>
      <xdr:colOff>3032</xdr:colOff>
      <xdr:row>12</xdr:row>
      <xdr:rowOff>132338</xdr:rowOff>
    </xdr:to>
    <xdr:pic>
      <xdr:nvPicPr>
        <xdr:cNvPr id="3" name="Picture 2">
          <a:extLst>
            <a:ext uri="{FF2B5EF4-FFF2-40B4-BE49-F238E27FC236}">
              <a16:creationId xmlns:a16="http://schemas.microsoft.com/office/drawing/2014/main" id="{93B47BC9-1DCF-F448-38D5-D0584BFC7724}"/>
            </a:ext>
          </a:extLst>
        </xdr:cNvPr>
        <xdr:cNvPicPr>
          <a:picLocks noChangeAspect="1"/>
        </xdr:cNvPicPr>
      </xdr:nvPicPr>
      <xdr:blipFill>
        <a:blip xmlns:r="http://schemas.openxmlformats.org/officeDocument/2006/relationships" r:embed="rId2"/>
        <a:stretch>
          <a:fillRect/>
        </a:stretch>
      </xdr:blipFill>
      <xdr:spPr>
        <a:xfrm>
          <a:off x="4724400" y="590550"/>
          <a:ext cx="3521567" cy="18449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220000" mc:Ignorable="a14" a14:legacySpreadsheetColorIndex="34"/>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220000" mc:Ignorable="a14" a14:legacySpreadsheetColorIndex="34"/>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cda.sdu@usa.cma-cgm.com" TargetMode="External"/><Relationship Id="rId1" Type="http://schemas.openxmlformats.org/officeDocument/2006/relationships/hyperlink" Target="mailto:neil@primefreight.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externalLinkPath" Target="25-1042-34%20UPS%20Ocean%20Freight%20Services%20Inc%20GSBTMB.xlsx" TargetMode="External"/><Relationship Id="rId1" Type="http://schemas.openxmlformats.org/officeDocument/2006/relationships/externalLinkPath" Target="25-1042-34%20UPS%20Ocean%20Freight%20Services%20Inc%20GSBTMB.xls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externalLinkPath" Target="25-1042-34%20UPS%20Ocean%20Freight%20Services%20Inc%20GSBTMB.xlsx" TargetMode="External"/><Relationship Id="rId1" Type="http://schemas.openxmlformats.org/officeDocument/2006/relationships/externalLinkPath" Target="25-1042-34%20UPS%20Ocean%20Freight%20Services%20Inc%20GSBTMB.xlsx"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N430"/>
  <sheetViews>
    <sheetView showGridLines="0" zoomScaleNormal="100" zoomScaleSheetLayoutView="100" workbookViewId="0">
      <selection sqref="A1:B1"/>
    </sheetView>
  </sheetViews>
  <sheetFormatPr defaultColWidth="9.109375" defaultRowHeight="13.2" outlineLevelRow="1" x14ac:dyDescent="0.25"/>
  <cols>
    <col min="1" max="1" width="38.109375" style="28" customWidth="1"/>
    <col min="2" max="2" width="52" style="28" customWidth="1"/>
    <col min="3" max="16384" width="9.109375" style="28"/>
  </cols>
  <sheetData>
    <row r="1" spans="1:2" outlineLevel="1" x14ac:dyDescent="0.25">
      <c r="A1" s="427" t="str">
        <f>CONCATENATE("AMENDMENT ",Cover!B2," TO SERVICE CONTRACT ",Cover!B1)</f>
        <v>AMENDMENT 58 TO SERVICE CONTRACT 25-3117</v>
      </c>
      <c r="B1" s="427"/>
    </row>
    <row r="2" spans="1:2" ht="8.1" customHeight="1" outlineLevel="1" x14ac:dyDescent="0.25"/>
    <row r="3" spans="1:2" ht="85.5" customHeight="1" outlineLevel="1" x14ac:dyDescent="0.25">
      <c r="A3" s="421" t="str">
        <f>CONCATENATE("     This Amendment to the Service Contract (the “Amendment”) is made as of the date of filing of the Amendment with the Federal Maritime Commission (the “Effective Date”), by and between CMA CGM S.A. (hereinafter referred to as “Carrier”) and ",IF(Cover!B7="","__________",Cover!B7)," (hereinafter referred to as “Merchant”).")</f>
        <v xml:space="preserve">     This Amendment to the Service Contract (the “Amendment”) is made as of the date of filing of the Amendment with the Federal Maritime Commission (the “Effective Date”), by and between CMA CGM S.A. (hereinafter referred to as “Carrier”) and LOGISTIQUE PRIME FREIGHT INC (hereinafter referred to as “Merchant”).</v>
      </c>
      <c r="B3" s="421"/>
    </row>
    <row r="4" spans="1:2" ht="8.1" customHeight="1" outlineLevel="1" x14ac:dyDescent="0.25"/>
    <row r="5" spans="1:2" ht="23.25" customHeight="1" outlineLevel="1" x14ac:dyDescent="0.25">
      <c r="A5" s="426" t="s">
        <v>1635</v>
      </c>
      <c r="B5" s="421"/>
    </row>
    <row r="6" spans="1:2" ht="8.1" customHeight="1" outlineLevel="1" x14ac:dyDescent="0.25"/>
    <row r="7" spans="1:2" ht="30.75" customHeight="1" outlineLevel="1" x14ac:dyDescent="0.25">
      <c r="A7" s="421" t="s">
        <v>1636</v>
      </c>
      <c r="B7" s="421"/>
    </row>
    <row r="8" spans="1:2" ht="8.1" customHeight="1" outlineLevel="1" x14ac:dyDescent="0.25"/>
    <row r="9" spans="1:2" outlineLevel="1" x14ac:dyDescent="0.25">
      <c r="A9" s="421" t="s">
        <v>972</v>
      </c>
      <c r="B9" s="421"/>
    </row>
    <row r="10" spans="1:2" ht="8.1" customHeight="1" outlineLevel="1" x14ac:dyDescent="0.25"/>
    <row r="11" spans="1:2" outlineLevel="1" x14ac:dyDescent="0.25">
      <c r="A11" s="67" t="s">
        <v>231</v>
      </c>
      <c r="B11" s="67" t="s">
        <v>232</v>
      </c>
    </row>
    <row r="12" spans="1:2" outlineLevel="1" x14ac:dyDescent="0.25">
      <c r="A12" s="28" t="s">
        <v>230</v>
      </c>
      <c r="B12" s="28" t="s">
        <v>469</v>
      </c>
    </row>
    <row r="13" spans="1:2" outlineLevel="1" x14ac:dyDescent="0.25">
      <c r="A13" s="334">
        <v>6</v>
      </c>
      <c r="B13" s="20" t="s">
        <v>1709</v>
      </c>
    </row>
    <row r="14" spans="1:2" outlineLevel="1" x14ac:dyDescent="0.25">
      <c r="A14" s="334"/>
      <c r="B14" s="20"/>
    </row>
    <row r="15" spans="1:2" outlineLevel="1" x14ac:dyDescent="0.25">
      <c r="A15" s="68"/>
      <c r="B15" s="69"/>
    </row>
    <row r="16" spans="1:2" outlineLevel="1" x14ac:dyDescent="0.25">
      <c r="A16" s="68"/>
      <c r="B16" s="69"/>
    </row>
    <row r="17" spans="1:2" outlineLevel="1" x14ac:dyDescent="0.25">
      <c r="A17" s="68"/>
      <c r="B17" s="69"/>
    </row>
    <row r="18" spans="1:2" outlineLevel="1" x14ac:dyDescent="0.25">
      <c r="A18" s="68"/>
      <c r="B18" s="69"/>
    </row>
    <row r="19" spans="1:2" outlineLevel="1" x14ac:dyDescent="0.25">
      <c r="A19" s="68"/>
      <c r="B19" s="69"/>
    </row>
    <row r="20" spans="1:2" outlineLevel="1" x14ac:dyDescent="0.25">
      <c r="A20" s="68"/>
      <c r="B20" s="69"/>
    </row>
    <row r="21" spans="1:2" outlineLevel="1" x14ac:dyDescent="0.25">
      <c r="A21" s="68"/>
      <c r="B21" s="69"/>
    </row>
    <row r="22" spans="1:2" ht="8.1" customHeight="1" outlineLevel="1" x14ac:dyDescent="0.25"/>
    <row r="23" spans="1:2" ht="47.25" customHeight="1" outlineLevel="1" x14ac:dyDescent="0.25">
      <c r="A23" s="426" t="s">
        <v>236</v>
      </c>
      <c r="B23" s="421"/>
    </row>
    <row r="24" spans="1:2" ht="8.1" customHeight="1" outlineLevel="1" x14ac:dyDescent="0.25"/>
    <row r="25" spans="1:2" ht="52.5" customHeight="1" outlineLevel="1" x14ac:dyDescent="0.25">
      <c r="A25" s="425" t="s">
        <v>1034</v>
      </c>
      <c r="B25" s="421"/>
    </row>
    <row r="26" spans="1:2" ht="8.1" customHeight="1" outlineLevel="1" x14ac:dyDescent="0.25"/>
    <row r="27" spans="1:2" ht="52.5" customHeight="1" outlineLevel="1" x14ac:dyDescent="0.25">
      <c r="A27" s="426" t="s">
        <v>1063</v>
      </c>
      <c r="B27" s="421"/>
    </row>
    <row r="28" spans="1:2" ht="8.1" customHeight="1" outlineLevel="1" x14ac:dyDescent="0.25"/>
    <row r="29" spans="1:2" outlineLevel="1" x14ac:dyDescent="0.25"/>
    <row r="30" spans="1:2" outlineLevel="1" x14ac:dyDescent="0.25"/>
    <row r="31" spans="1:2" outlineLevel="1" x14ac:dyDescent="0.25">
      <c r="A31" s="28" t="s">
        <v>39</v>
      </c>
      <c r="B31" s="70" t="s">
        <v>39</v>
      </c>
    </row>
    <row r="32" spans="1:2" outlineLevel="1" x14ac:dyDescent="0.25">
      <c r="A32" s="15" t="s">
        <v>40</v>
      </c>
      <c r="B32" s="71" t="s">
        <v>40</v>
      </c>
    </row>
    <row r="33" spans="1:2" outlineLevel="1" x14ac:dyDescent="0.25">
      <c r="B33" s="70"/>
    </row>
    <row r="34" spans="1:2" outlineLevel="1" x14ac:dyDescent="0.25">
      <c r="A34" s="28" t="s">
        <v>1710</v>
      </c>
      <c r="B34" s="28" t="s">
        <v>1708</v>
      </c>
    </row>
    <row r="35" spans="1:2" outlineLevel="1" x14ac:dyDescent="0.25">
      <c r="A35" s="28" t="s">
        <v>852</v>
      </c>
      <c r="B35" s="71" t="str">
        <f>IF(Cover!B9="","Name:  ________________________",Cover!B9)</f>
        <v>Neil Sabharwal</v>
      </c>
    </row>
    <row r="36" spans="1:2" outlineLevel="1" x14ac:dyDescent="0.25">
      <c r="A36" s="28" t="s">
        <v>1095</v>
      </c>
      <c r="B36" s="71" t="str">
        <f>IF(Cover!B10="","Title:  _________________________",Cover!B10)</f>
        <v>Managing Director</v>
      </c>
    </row>
    <row r="37" spans="1:2" outlineLevel="1" x14ac:dyDescent="0.25">
      <c r="A37" s="15" t="s">
        <v>310</v>
      </c>
    </row>
    <row r="38" spans="1:2" outlineLevel="1" x14ac:dyDescent="0.25">
      <c r="A38" s="15" t="s">
        <v>491</v>
      </c>
      <c r="B38" s="71" t="s">
        <v>490</v>
      </c>
    </row>
    <row r="39" spans="1:2" ht="34.5" customHeight="1" outlineLevel="1" thickBot="1" x14ac:dyDescent="0.3">
      <c r="A39" s="72" t="s">
        <v>38</v>
      </c>
      <c r="B39" s="73" t="str">
        <f>IF(Cover!B7="","(Merchant)",Cover!B7)</f>
        <v>LOGISTIQUE PRIME FREIGHT INC</v>
      </c>
    </row>
    <row r="40" spans="1:2" x14ac:dyDescent="0.25">
      <c r="A40" s="428" t="s">
        <v>38</v>
      </c>
      <c r="B40" s="428"/>
    </row>
    <row r="41" spans="1:2" ht="8.1" customHeight="1" x14ac:dyDescent="0.25"/>
    <row r="42" spans="1:2" x14ac:dyDescent="0.25">
      <c r="A42" s="15" t="s">
        <v>1637</v>
      </c>
      <c r="B42" s="74" t="str">
        <f>Cover!B1</f>
        <v>25-3117</v>
      </c>
    </row>
    <row r="43" spans="1:2" ht="8.1" customHeight="1" x14ac:dyDescent="0.25">
      <c r="B43" s="75"/>
    </row>
    <row r="44" spans="1:2" x14ac:dyDescent="0.25">
      <c r="A44" s="15" t="s">
        <v>796</v>
      </c>
      <c r="B44" s="76" t="s">
        <v>229</v>
      </c>
    </row>
    <row r="45" spans="1:2" ht="8.1" customHeight="1" x14ac:dyDescent="0.25"/>
    <row r="46" spans="1:2" ht="8.1" customHeight="1" thickBot="1" x14ac:dyDescent="0.3"/>
    <row r="47" spans="1:2" ht="8.25" customHeight="1" x14ac:dyDescent="0.25">
      <c r="A47" s="52"/>
      <c r="B47" s="52"/>
    </row>
    <row r="48" spans="1:2" ht="79.5" customHeight="1" x14ac:dyDescent="0.25">
      <c r="A48" s="421" t="str">
        <f>CONCATENATE("This Service Contract (“Contract”) will become effective (the “Effective Date”) upon date signed by both parties as required by 46 §CFR 530.8 and will expire on ",IF(Cover!B6="","__________",TEXT(Cover!B6,"mmmmmmmmm dd, yyyy")),".", "  In no event shall the Effective Date be earlier than thirty (30) days prior to the filing of the Contract with the Federal Maritime Commission (“FMC”).")</f>
        <v>This Service Contract (“Contract”) will become effective (the “Effective Date”) upon date signed by both parties as required by 46 §CFR 530.8 and will expire on December 31, 2025.  In no event shall the Effective Date be earlier than thirty (30) days prior to the filing of the Contract with the Federal Maritime Commission (“FMC”).</v>
      </c>
      <c r="B48" s="421"/>
    </row>
    <row r="49" spans="1:2" ht="8.1" customHeight="1" x14ac:dyDescent="0.25"/>
    <row r="50" spans="1:2" ht="66.75" customHeight="1" x14ac:dyDescent="0.25">
      <c r="A50" s="421" t="str">
        <f>CONCATENATE("This Contract is made by and between CMA CGM S.A., a French company having its registered office at Boulevard Jacques Saadé, 4 Quai d'Arenc, 13235 Marseille CEDEX 02, France (hereinafter referred to as “Carrier”) and ",IF(Cover!B7="","__________",Cover!B7),", (hereinafter referred to as “Merchant”) whereby the parties mutually agree to bind themselves to the terms and conditions set forth herein.")</f>
        <v>This Contract is made by and between CMA CGM S.A., a French company having its registered office at Boulevard Jacques Saadé, 4 Quai d'Arenc, 13235 Marseille CEDEX 02, France (hereinafter referred to as “Carrier”) and LOGISTIQUE PRIME FREIGHT INC, (hereinafter referred to as “Merchant”) whereby the parties mutually agree to bind themselves to the terms and conditions set forth herein.</v>
      </c>
      <c r="B50" s="421"/>
    </row>
    <row r="51" spans="1:2" ht="8.1" customHeight="1" x14ac:dyDescent="0.25"/>
    <row r="52" spans="1:2" ht="66.75" customHeight="1" x14ac:dyDescent="0.25">
      <c r="A52" s="421" t="str">
        <f>CONCATENATE("Pursuant to FMC Regulation 46 C.F.R. §530.6, by execution of this Contract, Merchant certifies its status and that of all of its affiliates authorized to use this Contract as: (1) ",IF(Cover!B19="YES","__X__","_____")," Owner of the Cargo ('Beneficial Cargo Owner' or 'BCO'), (2) ",IF(Cover!B21="YES","__X__","_____")," Non-Vessel Operating Common Carrier (NVOCC), or (3) ",IF(Cover!B20="YES","__X__","_____"), " Shipper's Association",".")</f>
        <v>Pursuant to FMC Regulation 46 C.F.R. §530.6, by execution of this Contract, Merchant certifies its status and that of all of its affiliates authorized to use this Contract as: (1) _____ Owner of the Cargo ('Beneficial Cargo Owner' or 'BCO'), (2) __X__ Non-Vessel Operating Common Carrier (NVOCC), or (3) _____ Shipper's Association.</v>
      </c>
      <c r="B52" s="421"/>
    </row>
    <row r="53" spans="1:2" ht="8.1" customHeight="1" x14ac:dyDescent="0.25"/>
    <row r="54" spans="1:2" ht="96.75" customHeight="1" x14ac:dyDescent="0.25">
      <c r="A54" s="414" t="str">
        <f>IF(Cover!B21="YES",CONCATENATE("For all Merchants certifying their status as a NVOCC, it is further certified that Merchant is a duly licensed and bonded NVOCC having a published tariff and surety bond number ",IF(Cover!B22="","__________",Cover!B22),", dated ",IF(Cover!B23="","__________",TEXT(Cover!B23,"mmmmmmmmm dd, yyyy")),", issued by ",IF(Cover!B24="","__________",Cover!B24)," on ",IF(Cover!F23="",IF(Cover!B23="","__________",TEXT(Cover!B23,"mmmmmmmmm dd, yyyy")),TEXT(Cover!F23,"mmmmmmmmm dd, yyyy")),", which has been filed with the FMC, that an appropriate tariff or tariffs have been filed with the FMC, and that copies of tariff pages have been provided to Carrier."),"")</f>
        <v>For all Merchants certifying their status as a NVOCC, it is further certified that Merchant is a duly licensed and bonded NVOCC having a published tariff and surety bond number KMS52005, dated October 16, 2024, issued by SOUTHWEST MARINE AND GENERAL INSURANCE COMPANY on October 16, 2024, which has been filed with the FMC, that an appropriate tariff or tariffs have been filed with the FMC, and that copies of tariff pages have been provided to Carrier.</v>
      </c>
      <c r="B54" s="414"/>
    </row>
    <row r="55" spans="1:2" ht="8.1" customHeight="1" x14ac:dyDescent="0.25"/>
    <row r="56" spans="1:2" ht="80.25" customHeight="1" x14ac:dyDescent="0.25">
      <c r="A56" s="421" t="s">
        <v>976</v>
      </c>
      <c r="B56" s="421"/>
    </row>
    <row r="57" spans="1:2" ht="8.1" customHeight="1" x14ac:dyDescent="0.25"/>
    <row r="58" spans="1:2" ht="79.5" customHeight="1" x14ac:dyDescent="0.25">
      <c r="A58" s="421" t="s">
        <v>1240</v>
      </c>
      <c r="B58" s="421"/>
    </row>
    <row r="59" spans="1:2" ht="8.1" customHeight="1" x14ac:dyDescent="0.25"/>
    <row r="60" spans="1:2" ht="44.25" customHeight="1" x14ac:dyDescent="0.25">
      <c r="A60" s="421" t="s">
        <v>1115</v>
      </c>
      <c r="B60" s="421"/>
    </row>
    <row r="61" spans="1:2" ht="8.1" customHeight="1" x14ac:dyDescent="0.25"/>
    <row r="62" spans="1:2" ht="34.5" customHeight="1" x14ac:dyDescent="0.25">
      <c r="A62" s="421" t="s">
        <v>1062</v>
      </c>
      <c r="B62" s="421"/>
    </row>
    <row r="63" spans="1:2" ht="8.1" customHeight="1" thickBot="1" x14ac:dyDescent="0.3"/>
    <row r="64" spans="1:2" ht="4.5" customHeight="1" thickTop="1" x14ac:dyDescent="0.25">
      <c r="A64" s="78"/>
      <c r="B64" s="78"/>
    </row>
    <row r="66" spans="1:2" x14ac:dyDescent="0.25">
      <c r="A66" s="28" t="s">
        <v>39</v>
      </c>
      <c r="B66" s="70" t="s">
        <v>39</v>
      </c>
    </row>
    <row r="67" spans="1:2" x14ac:dyDescent="0.25">
      <c r="A67" s="15" t="s">
        <v>40</v>
      </c>
      <c r="B67" s="71" t="s">
        <v>40</v>
      </c>
    </row>
    <row r="68" spans="1:2" x14ac:dyDescent="0.25">
      <c r="B68" s="70"/>
    </row>
    <row r="69" spans="1:2" x14ac:dyDescent="0.25">
      <c r="A69" s="28" t="s">
        <v>1638</v>
      </c>
      <c r="B69" s="70" t="s">
        <v>1651</v>
      </c>
    </row>
    <row r="70" spans="1:2" x14ac:dyDescent="0.25">
      <c r="A70" s="28" t="s">
        <v>852</v>
      </c>
      <c r="B70" s="71" t="str">
        <f>IF(Cover!B9="","Contact:",Cover!B9)</f>
        <v>Neil Sabharwal</v>
      </c>
    </row>
    <row r="71" spans="1:2" x14ac:dyDescent="0.25">
      <c r="A71" s="28" t="s">
        <v>1095</v>
      </c>
      <c r="B71" s="71" t="str">
        <f>IF(Cover!B10="","Title:",Cover!B10)</f>
        <v>Managing Director</v>
      </c>
    </row>
    <row r="72" spans="1:2" ht="8.1" customHeight="1" x14ac:dyDescent="0.25"/>
    <row r="73" spans="1:2" x14ac:dyDescent="0.25">
      <c r="A73" s="15" t="s">
        <v>850</v>
      </c>
      <c r="B73" s="70" t="s">
        <v>850</v>
      </c>
    </row>
    <row r="74" spans="1:2" x14ac:dyDescent="0.25">
      <c r="A74" s="15" t="s">
        <v>310</v>
      </c>
      <c r="B74" s="70"/>
    </row>
    <row r="75" spans="1:2" ht="16.5" customHeight="1" x14ac:dyDescent="0.25">
      <c r="A75" s="15" t="s">
        <v>851</v>
      </c>
      <c r="B75" s="70"/>
    </row>
    <row r="76" spans="1:2" ht="18.75" customHeight="1" x14ac:dyDescent="0.25">
      <c r="A76" s="1" t="s">
        <v>38</v>
      </c>
      <c r="B76" s="79" t="str">
        <f>IF(Cover!B7="","",Cover!B7)</f>
        <v>LOGISTIQUE PRIME FREIGHT INC</v>
      </c>
    </row>
    <row r="77" spans="1:2" ht="18" customHeight="1" x14ac:dyDescent="0.25">
      <c r="A77" s="15" t="s">
        <v>1094</v>
      </c>
      <c r="B77" s="79" t="str">
        <f>IF(Cover!B11="","",Cover!B11)</f>
        <v>4 PLACE DU COMMERCE SUITE 230, QUEBEC</v>
      </c>
    </row>
    <row r="78" spans="1:2" x14ac:dyDescent="0.25">
      <c r="A78" s="15" t="s">
        <v>492</v>
      </c>
      <c r="B78" s="79" t="str">
        <f>IF(Cover!B12="","",Cover!B12)</f>
        <v xml:space="preserve"> Montreal, Canada. H3E1J4.</v>
      </c>
    </row>
    <row r="79" spans="1:2" ht="8.1" customHeight="1" x14ac:dyDescent="0.25">
      <c r="B79" s="70"/>
    </row>
    <row r="80" spans="1:2" x14ac:dyDescent="0.25">
      <c r="A80" s="15" t="s">
        <v>411</v>
      </c>
      <c r="B80" s="71" t="str">
        <f>IF(Cover!B14="","Tel:     (required)",CONCATENATE("Tel: ",Cover!B14))</f>
        <v>Tel: 5146555430</v>
      </c>
    </row>
    <row r="81" spans="1:2" x14ac:dyDescent="0.25">
      <c r="A81" s="28" t="s">
        <v>1639</v>
      </c>
      <c r="B81" s="80" t="str">
        <f>IF(Cover!B16="","Email:     (required)",CONCATENATE("Email: ",Cover!B16))</f>
        <v>Email: neil@primefreight.com</v>
      </c>
    </row>
    <row r="82" spans="1:2" x14ac:dyDescent="0.25">
      <c r="B82" s="71"/>
    </row>
    <row r="83" spans="1:2" x14ac:dyDescent="0.25">
      <c r="A83" s="81" t="s">
        <v>977</v>
      </c>
    </row>
    <row r="84" spans="1:2" ht="5.25" customHeight="1" x14ac:dyDescent="0.25"/>
    <row r="85" spans="1:2" ht="204" customHeight="1" x14ac:dyDescent="0.25">
      <c r="A85" s="421" t="s">
        <v>1143</v>
      </c>
      <c r="B85" s="421"/>
    </row>
    <row r="86" spans="1:2" ht="9.75" customHeight="1" x14ac:dyDescent="0.25">
      <c r="B86" s="71"/>
    </row>
    <row r="87" spans="1:2" ht="111" customHeight="1" x14ac:dyDescent="0.25">
      <c r="A87" s="421" t="s">
        <v>1144</v>
      </c>
      <c r="B87" s="421"/>
    </row>
    <row r="88" spans="1:2" ht="9.75" customHeight="1" x14ac:dyDescent="0.25">
      <c r="B88" s="71"/>
    </row>
    <row r="89" spans="1:2" ht="111" customHeight="1" x14ac:dyDescent="0.25">
      <c r="A89" s="421" t="s">
        <v>1145</v>
      </c>
      <c r="B89" s="421"/>
    </row>
    <row r="90" spans="1:2" ht="10.5" customHeight="1" x14ac:dyDescent="0.25"/>
    <row r="91" spans="1:2" ht="10.5" customHeight="1" x14ac:dyDescent="0.25">
      <c r="A91" s="81"/>
    </row>
    <row r="92" spans="1:2" x14ac:dyDescent="0.25">
      <c r="A92" s="81" t="s">
        <v>1026</v>
      </c>
    </row>
    <row r="93" spans="1:2" ht="5.25" customHeight="1" x14ac:dyDescent="0.25"/>
    <row r="94" spans="1:2" ht="82.5" customHeight="1" x14ac:dyDescent="0.25">
      <c r="A94" s="421" t="s">
        <v>1146</v>
      </c>
      <c r="B94" s="421"/>
    </row>
    <row r="95" spans="1:2" ht="9" customHeight="1" x14ac:dyDescent="0.25"/>
    <row r="96" spans="1:2" ht="98.25" customHeight="1" x14ac:dyDescent="0.25">
      <c r="A96" s="421" t="s">
        <v>1147</v>
      </c>
      <c r="B96" s="421"/>
    </row>
    <row r="97" spans="1:2" ht="9" customHeight="1" x14ac:dyDescent="0.25"/>
    <row r="98" spans="1:2" ht="129.75" customHeight="1" x14ac:dyDescent="0.25">
      <c r="A98" s="421" t="s">
        <v>1148</v>
      </c>
      <c r="B98" s="421"/>
    </row>
    <row r="99" spans="1:2" ht="6.75" customHeight="1" x14ac:dyDescent="0.25"/>
    <row r="100" spans="1:2" ht="20.25" customHeight="1" x14ac:dyDescent="0.25">
      <c r="A100" s="422" t="s">
        <v>1027</v>
      </c>
      <c r="B100" s="423"/>
    </row>
    <row r="101" spans="1:2" ht="4.5" customHeight="1" x14ac:dyDescent="0.25"/>
    <row r="102" spans="1:2" ht="77.25" customHeight="1" x14ac:dyDescent="0.25">
      <c r="A102" s="421" t="s">
        <v>1149</v>
      </c>
      <c r="B102" s="421"/>
    </row>
    <row r="103" spans="1:2" ht="10.5" customHeight="1" x14ac:dyDescent="0.25"/>
    <row r="104" spans="1:2" ht="29.25" customHeight="1" x14ac:dyDescent="0.25">
      <c r="A104" s="421" t="s">
        <v>1150</v>
      </c>
      <c r="B104" s="421"/>
    </row>
    <row r="105" spans="1:2" ht="9.75" customHeight="1" x14ac:dyDescent="0.25"/>
    <row r="106" spans="1:2" x14ac:dyDescent="0.25">
      <c r="A106" s="413" t="s">
        <v>1028</v>
      </c>
      <c r="B106" s="413"/>
    </row>
    <row r="107" spans="1:2" ht="8.25" customHeight="1" x14ac:dyDescent="0.25"/>
    <row r="108" spans="1:2" ht="95.25" customHeight="1" x14ac:dyDescent="0.25">
      <c r="A108" s="408" t="s">
        <v>1151</v>
      </c>
      <c r="B108" s="408"/>
    </row>
    <row r="109" spans="1:2" ht="9.75" customHeight="1" x14ac:dyDescent="0.25"/>
    <row r="110" spans="1:2" ht="117.75" customHeight="1" x14ac:dyDescent="0.25">
      <c r="A110" s="408" t="s">
        <v>1138</v>
      </c>
      <c r="B110" s="408"/>
    </row>
    <row r="111" spans="1:2" ht="9.75" customHeight="1" x14ac:dyDescent="0.25"/>
    <row r="112" spans="1:2" ht="142.5" customHeight="1" x14ac:dyDescent="0.25">
      <c r="A112" s="408" t="s">
        <v>1139</v>
      </c>
      <c r="B112" s="408"/>
    </row>
    <row r="113" spans="1:2" ht="12" customHeight="1" x14ac:dyDescent="0.25"/>
    <row r="114" spans="1:2" x14ac:dyDescent="0.25">
      <c r="A114" s="81" t="s">
        <v>1029</v>
      </c>
    </row>
    <row r="115" spans="1:2" ht="6" customHeight="1" x14ac:dyDescent="0.25"/>
    <row r="116" spans="1:2" ht="35.25" customHeight="1" x14ac:dyDescent="0.25">
      <c r="A116" s="408" t="s">
        <v>1141</v>
      </c>
      <c r="B116" s="408"/>
    </row>
    <row r="117" spans="1:2" ht="8.25" customHeight="1" x14ac:dyDescent="0.25">
      <c r="A117" s="408"/>
      <c r="B117" s="408"/>
    </row>
    <row r="118" spans="1:2" ht="81.75" customHeight="1" x14ac:dyDescent="0.25">
      <c r="A118" s="408" t="s">
        <v>1140</v>
      </c>
      <c r="B118" s="408"/>
    </row>
    <row r="119" spans="1:2" ht="8.25" customHeight="1" x14ac:dyDescent="0.25">
      <c r="A119" s="408"/>
      <c r="B119" s="408"/>
    </row>
    <row r="120" spans="1:2" ht="31.5" customHeight="1" x14ac:dyDescent="0.25">
      <c r="A120" s="408" t="s">
        <v>1142</v>
      </c>
      <c r="B120" s="408"/>
    </row>
    <row r="121" spans="1:2" ht="12.75" customHeight="1" x14ac:dyDescent="0.25">
      <c r="A121" s="408"/>
      <c r="B121" s="408"/>
    </row>
    <row r="122" spans="1:2" ht="79.5" customHeight="1" x14ac:dyDescent="0.25">
      <c r="A122" s="408" t="s">
        <v>1241</v>
      </c>
      <c r="B122" s="408"/>
    </row>
    <row r="123" spans="1:2" ht="12.75" customHeight="1" x14ac:dyDescent="0.25">
      <c r="A123" s="408"/>
      <c r="B123" s="408"/>
    </row>
    <row r="124" spans="1:2" ht="48" customHeight="1" x14ac:dyDescent="0.25">
      <c r="A124" s="408" t="s">
        <v>978</v>
      </c>
      <c r="B124" s="408"/>
    </row>
    <row r="125" spans="1:2" ht="11.25" customHeight="1" x14ac:dyDescent="0.25"/>
    <row r="126" spans="1:2" x14ac:dyDescent="0.25">
      <c r="A126" s="81" t="s">
        <v>1030</v>
      </c>
    </row>
    <row r="127" spans="1:2" ht="6.75" customHeight="1" x14ac:dyDescent="0.25"/>
    <row r="128" spans="1:2" ht="81" customHeight="1" x14ac:dyDescent="0.25">
      <c r="A128" s="414" t="s">
        <v>979</v>
      </c>
      <c r="B128" s="414"/>
    </row>
    <row r="129" spans="1:2" ht="6.75" customHeight="1" x14ac:dyDescent="0.25"/>
    <row r="130" spans="1:2" ht="66.75" customHeight="1" x14ac:dyDescent="0.25">
      <c r="A130" s="414" t="s">
        <v>1152</v>
      </c>
      <c r="B130" s="414"/>
    </row>
    <row r="131" spans="1:2" ht="6.75" customHeight="1" x14ac:dyDescent="0.25"/>
    <row r="132" spans="1:2" ht="117.75" customHeight="1" x14ac:dyDescent="0.25">
      <c r="A132" s="414" t="s">
        <v>1153</v>
      </c>
      <c r="B132" s="414"/>
    </row>
    <row r="133" spans="1:2" ht="8.25" customHeight="1" x14ac:dyDescent="0.25"/>
    <row r="134" spans="1:2" ht="300.75" customHeight="1" x14ac:dyDescent="0.25">
      <c r="A134" s="414" t="s">
        <v>1230</v>
      </c>
      <c r="B134" s="414"/>
    </row>
    <row r="136" spans="1:2" x14ac:dyDescent="0.25">
      <c r="A136" s="81" t="s">
        <v>1031</v>
      </c>
    </row>
    <row r="137" spans="1:2" ht="9.75" customHeight="1" x14ac:dyDescent="0.25"/>
    <row r="138" spans="1:2" ht="51.75" customHeight="1" x14ac:dyDescent="0.25">
      <c r="A138" s="408" t="s">
        <v>1154</v>
      </c>
      <c r="B138" s="408"/>
    </row>
    <row r="139" spans="1:2" ht="9.75" customHeight="1" x14ac:dyDescent="0.25"/>
    <row r="140" spans="1:2" ht="141.75" customHeight="1" x14ac:dyDescent="0.25">
      <c r="A140" s="408" t="s">
        <v>1242</v>
      </c>
      <c r="B140" s="408"/>
    </row>
    <row r="142" spans="1:2" x14ac:dyDescent="0.25">
      <c r="A142" s="81" t="s">
        <v>1032</v>
      </c>
    </row>
    <row r="143" spans="1:2" ht="8.25" customHeight="1" x14ac:dyDescent="0.25"/>
    <row r="144" spans="1:2" ht="28.5" customHeight="1" x14ac:dyDescent="0.25">
      <c r="A144" s="408" t="s">
        <v>1033</v>
      </c>
      <c r="B144" s="408"/>
    </row>
    <row r="145" spans="1:2" ht="12" customHeight="1" x14ac:dyDescent="0.25"/>
    <row r="146" spans="1:2" x14ac:dyDescent="0.25">
      <c r="A146" s="81" t="s">
        <v>980</v>
      </c>
    </row>
    <row r="147" spans="1:2" ht="7.5" customHeight="1" x14ac:dyDescent="0.25"/>
    <row r="148" spans="1:2" ht="137.25" customHeight="1" x14ac:dyDescent="0.25">
      <c r="A148" s="408" t="s">
        <v>1155</v>
      </c>
      <c r="B148" s="408"/>
    </row>
    <row r="150" spans="1:2" x14ac:dyDescent="0.25">
      <c r="A150" s="81" t="s">
        <v>981</v>
      </c>
    </row>
    <row r="151" spans="1:2" ht="9" customHeight="1" x14ac:dyDescent="0.25"/>
    <row r="152" spans="1:2" ht="49.5" customHeight="1" x14ac:dyDescent="0.25">
      <c r="A152" s="414" t="s">
        <v>1156</v>
      </c>
      <c r="B152" s="414"/>
    </row>
    <row r="153" spans="1:2" ht="12.75" customHeight="1" x14ac:dyDescent="0.25"/>
    <row r="154" spans="1:2" ht="84.75" customHeight="1" x14ac:dyDescent="0.25">
      <c r="A154" s="414" t="s">
        <v>982</v>
      </c>
      <c r="B154" s="414"/>
    </row>
    <row r="155" spans="1:2" ht="9.75" customHeight="1" x14ac:dyDescent="0.25"/>
    <row r="156" spans="1:2" ht="113.25" customHeight="1" x14ac:dyDescent="0.25">
      <c r="A156" s="414" t="s">
        <v>1157</v>
      </c>
      <c r="B156" s="414"/>
    </row>
    <row r="157" spans="1:2" ht="10.5" customHeight="1" x14ac:dyDescent="0.25"/>
    <row r="158" spans="1:2" x14ac:dyDescent="0.25">
      <c r="A158" s="81" t="s">
        <v>983</v>
      </c>
    </row>
    <row r="159" spans="1:2" ht="9" customHeight="1" x14ac:dyDescent="0.25"/>
    <row r="160" spans="1:2" ht="93.75" customHeight="1" x14ac:dyDescent="0.25">
      <c r="A160" s="408" t="s">
        <v>984</v>
      </c>
      <c r="B160" s="408"/>
    </row>
    <row r="162" spans="1:2" x14ac:dyDescent="0.25">
      <c r="A162" s="413" t="s">
        <v>1116</v>
      </c>
      <c r="B162" s="413"/>
    </row>
    <row r="163" spans="1:2" ht="7.5" customHeight="1" x14ac:dyDescent="0.25"/>
    <row r="164" spans="1:2" ht="115.5" customHeight="1" x14ac:dyDescent="0.25">
      <c r="A164" s="408" t="s">
        <v>1158</v>
      </c>
      <c r="B164" s="408"/>
    </row>
    <row r="165" spans="1:2" ht="7.5" customHeight="1" x14ac:dyDescent="0.25"/>
    <row r="166" spans="1:2" ht="271.5" customHeight="1" x14ac:dyDescent="0.25">
      <c r="A166" s="408" t="s">
        <v>1159</v>
      </c>
      <c r="B166" s="408"/>
    </row>
    <row r="167" spans="1:2" ht="7.5" customHeight="1" x14ac:dyDescent="0.25"/>
    <row r="168" spans="1:2" ht="111" customHeight="1" x14ac:dyDescent="0.25">
      <c r="A168" s="408" t="s">
        <v>1160</v>
      </c>
      <c r="B168" s="408"/>
    </row>
    <row r="169" spans="1:2" ht="7.5" customHeight="1" x14ac:dyDescent="0.25"/>
    <row r="170" spans="1:2" ht="47.25" customHeight="1" x14ac:dyDescent="0.25">
      <c r="A170" s="408" t="s">
        <v>1161</v>
      </c>
      <c r="B170" s="408"/>
    </row>
    <row r="171" spans="1:2" ht="10.5" customHeight="1" x14ac:dyDescent="0.25"/>
    <row r="172" spans="1:2" ht="33.75" customHeight="1" x14ac:dyDescent="0.25">
      <c r="A172" s="414" t="s">
        <v>1162</v>
      </c>
      <c r="B172" s="414"/>
    </row>
    <row r="174" spans="1:2" x14ac:dyDescent="0.25">
      <c r="A174" s="81" t="s">
        <v>985</v>
      </c>
    </row>
    <row r="176" spans="1:2" ht="35.25" customHeight="1" x14ac:dyDescent="0.25">
      <c r="A176" s="414" t="s">
        <v>986</v>
      </c>
      <c r="B176" s="414"/>
    </row>
    <row r="177" spans="1:2" ht="10.5" customHeight="1" x14ac:dyDescent="0.25"/>
    <row r="178" spans="1:2" ht="50.25" customHeight="1" x14ac:dyDescent="0.25">
      <c r="A178" s="414" t="s">
        <v>1163</v>
      </c>
      <c r="B178" s="414"/>
    </row>
    <row r="179" spans="1:2" ht="10.5" customHeight="1" x14ac:dyDescent="0.25"/>
    <row r="180" spans="1:2" ht="125.25" customHeight="1" x14ac:dyDescent="0.25">
      <c r="A180" s="414" t="s">
        <v>1243</v>
      </c>
      <c r="B180" s="414"/>
    </row>
    <row r="181" spans="1:2" ht="10.5" customHeight="1" x14ac:dyDescent="0.25"/>
    <row r="182" spans="1:2" ht="33.75" customHeight="1" x14ac:dyDescent="0.25">
      <c r="A182" s="414" t="s">
        <v>987</v>
      </c>
      <c r="B182" s="414"/>
    </row>
    <row r="184" spans="1:2" x14ac:dyDescent="0.25">
      <c r="A184" s="81" t="s">
        <v>988</v>
      </c>
    </row>
    <row r="185" spans="1:2" ht="9" customHeight="1" x14ac:dyDescent="0.25"/>
    <row r="186" spans="1:2" ht="79.5" customHeight="1" x14ac:dyDescent="0.25">
      <c r="A186" s="408" t="s">
        <v>1164</v>
      </c>
      <c r="B186" s="408"/>
    </row>
    <row r="187" spans="1:2" ht="9" customHeight="1" x14ac:dyDescent="0.25"/>
    <row r="188" spans="1:2" ht="115.5" customHeight="1" x14ac:dyDescent="0.25">
      <c r="A188" s="408" t="s">
        <v>1165</v>
      </c>
      <c r="B188" s="408"/>
    </row>
    <row r="189" spans="1:2" ht="9" customHeight="1" x14ac:dyDescent="0.25"/>
    <row r="190" spans="1:2" ht="158.25" customHeight="1" x14ac:dyDescent="0.25">
      <c r="A190" s="408" t="s">
        <v>1640</v>
      </c>
      <c r="B190" s="408"/>
    </row>
    <row r="191" spans="1:2" ht="9" customHeight="1" x14ac:dyDescent="0.25"/>
    <row r="192" spans="1:2" ht="33" customHeight="1" x14ac:dyDescent="0.25">
      <c r="A192" s="408" t="s">
        <v>1117</v>
      </c>
      <c r="B192" s="408"/>
    </row>
    <row r="194" spans="1:2" ht="21" customHeight="1" x14ac:dyDescent="0.25">
      <c r="A194" s="81" t="s">
        <v>989</v>
      </c>
      <c r="B194" s="68"/>
    </row>
    <row r="195" spans="1:2" ht="11.25" customHeight="1" x14ac:dyDescent="0.25">
      <c r="A195" s="81"/>
      <c r="B195" s="68"/>
    </row>
    <row r="196" spans="1:2" ht="158.25" customHeight="1" x14ac:dyDescent="0.25">
      <c r="A196" s="408" t="s">
        <v>990</v>
      </c>
      <c r="B196" s="408"/>
    </row>
    <row r="197" spans="1:2" ht="7.5" customHeight="1" x14ac:dyDescent="0.25">
      <c r="A197" s="68"/>
      <c r="B197" s="68"/>
    </row>
    <row r="198" spans="1:2" ht="68.25" customHeight="1" x14ac:dyDescent="0.25">
      <c r="A198" s="414" t="s">
        <v>991</v>
      </c>
      <c r="B198" s="414"/>
    </row>
    <row r="199" spans="1:2" ht="7.5" customHeight="1" x14ac:dyDescent="0.25">
      <c r="A199" s="68"/>
      <c r="B199" s="68"/>
    </row>
    <row r="200" spans="1:2" x14ac:dyDescent="0.25">
      <c r="A200" s="81" t="s">
        <v>992</v>
      </c>
      <c r="B200" s="77"/>
    </row>
    <row r="201" spans="1:2" ht="6.75" customHeight="1" x14ac:dyDescent="0.25">
      <c r="A201" s="77"/>
      <c r="B201" s="77"/>
    </row>
    <row r="202" spans="1:2" ht="127.5" customHeight="1" x14ac:dyDescent="0.25">
      <c r="A202" s="414" t="s">
        <v>1244</v>
      </c>
      <c r="B202" s="414"/>
    </row>
    <row r="203" spans="1:2" ht="10.5" customHeight="1" x14ac:dyDescent="0.25"/>
    <row r="204" spans="1:2" x14ac:dyDescent="0.25">
      <c r="A204" s="81" t="s">
        <v>993</v>
      </c>
    </row>
    <row r="205" spans="1:2" ht="12" customHeight="1" x14ac:dyDescent="0.25"/>
    <row r="206" spans="1:2" ht="63" customHeight="1" x14ac:dyDescent="0.25">
      <c r="A206" s="408" t="s">
        <v>1166</v>
      </c>
      <c r="B206" s="408"/>
    </row>
    <row r="207" spans="1:2" ht="11.25" customHeight="1" x14ac:dyDescent="0.25">
      <c r="A207" s="77"/>
      <c r="B207" s="77"/>
    </row>
    <row r="208" spans="1:2" ht="13.5" customHeight="1" x14ac:dyDescent="0.25">
      <c r="A208" s="81" t="s">
        <v>994</v>
      </c>
    </row>
    <row r="209" spans="1:2" ht="10.5" customHeight="1" x14ac:dyDescent="0.25"/>
    <row r="210" spans="1:2" ht="82.5" customHeight="1" x14ac:dyDescent="0.25">
      <c r="A210" s="414" t="s">
        <v>1167</v>
      </c>
      <c r="B210" s="414"/>
    </row>
    <row r="211" spans="1:2" ht="9" customHeight="1" x14ac:dyDescent="0.25"/>
    <row r="212" spans="1:2" ht="156.75" customHeight="1" x14ac:dyDescent="0.25">
      <c r="A212" s="424" t="s">
        <v>1168</v>
      </c>
      <c r="B212" s="424"/>
    </row>
    <row r="213" spans="1:2" ht="8.25" customHeight="1" x14ac:dyDescent="0.25">
      <c r="A213" s="429"/>
      <c r="B213" s="429"/>
    </row>
    <row r="214" spans="1:2" ht="204" customHeight="1" x14ac:dyDescent="0.25">
      <c r="A214" s="424" t="s">
        <v>1169</v>
      </c>
      <c r="B214" s="424"/>
    </row>
    <row r="216" spans="1:2" x14ac:dyDescent="0.25">
      <c r="A216" s="81" t="s">
        <v>995</v>
      </c>
    </row>
    <row r="218" spans="1:2" ht="20.25" customHeight="1" x14ac:dyDescent="0.25">
      <c r="A218" s="414" t="s">
        <v>996</v>
      </c>
      <c r="B218" s="414"/>
    </row>
    <row r="219" spans="1:2" ht="137.25" customHeight="1" x14ac:dyDescent="0.25">
      <c r="A219" s="430" t="s">
        <v>997</v>
      </c>
      <c r="B219" s="430"/>
    </row>
    <row r="220" spans="1:2" ht="65.25" customHeight="1" x14ac:dyDescent="0.25">
      <c r="A220" s="408" t="s">
        <v>1641</v>
      </c>
      <c r="B220" s="408"/>
    </row>
    <row r="221" spans="1:2" ht="14.25" customHeight="1" x14ac:dyDescent="0.25">
      <c r="A221" s="77"/>
      <c r="B221" s="77"/>
    </row>
    <row r="222" spans="1:2" x14ac:dyDescent="0.25">
      <c r="A222" s="81" t="s">
        <v>998</v>
      </c>
    </row>
    <row r="223" spans="1:2" ht="10.5" customHeight="1" x14ac:dyDescent="0.25"/>
    <row r="224" spans="1:2" ht="130.5" customHeight="1" x14ac:dyDescent="0.25">
      <c r="A224" s="414" t="s">
        <v>1170</v>
      </c>
      <c r="B224" s="414"/>
    </row>
    <row r="225" spans="1:2" ht="10.5" customHeight="1" x14ac:dyDescent="0.25"/>
    <row r="226" spans="1:2" ht="154.5" customHeight="1" x14ac:dyDescent="0.25">
      <c r="A226" s="414" t="s">
        <v>1171</v>
      </c>
      <c r="B226" s="414"/>
    </row>
    <row r="227" spans="1:2" ht="147" customHeight="1" x14ac:dyDescent="0.25">
      <c r="A227" s="414" t="s">
        <v>999</v>
      </c>
      <c r="B227" s="414"/>
    </row>
    <row r="228" spans="1:2" ht="10.5" customHeight="1" x14ac:dyDescent="0.25"/>
    <row r="229" spans="1:2" ht="148.5" customHeight="1" x14ac:dyDescent="0.25">
      <c r="A229" s="414" t="s">
        <v>1172</v>
      </c>
      <c r="B229" s="414"/>
    </row>
    <row r="230" spans="1:2" ht="10.5" customHeight="1" x14ac:dyDescent="0.25"/>
    <row r="231" spans="1:2" ht="195" customHeight="1" x14ac:dyDescent="0.25">
      <c r="A231" s="414" t="s">
        <v>1173</v>
      </c>
      <c r="B231" s="414"/>
    </row>
    <row r="232" spans="1:2" ht="6" customHeight="1" x14ac:dyDescent="0.25"/>
    <row r="233" spans="1:2" ht="80.25" customHeight="1" x14ac:dyDescent="0.25">
      <c r="A233" s="414" t="s">
        <v>1035</v>
      </c>
      <c r="B233" s="414"/>
    </row>
    <row r="234" spans="1:2" ht="6.75" customHeight="1" x14ac:dyDescent="0.25"/>
    <row r="235" spans="1:2" ht="114" customHeight="1" x14ac:dyDescent="0.25">
      <c r="A235" s="414" t="s">
        <v>1000</v>
      </c>
      <c r="B235" s="414"/>
    </row>
    <row r="236" spans="1:2" ht="10.5" customHeight="1" x14ac:dyDescent="0.25"/>
    <row r="237" spans="1:2" ht="84" customHeight="1" x14ac:dyDescent="0.25">
      <c r="A237" s="414" t="s">
        <v>1174</v>
      </c>
      <c r="B237" s="414"/>
    </row>
    <row r="238" spans="1:2" ht="9" customHeight="1" x14ac:dyDescent="0.25"/>
    <row r="239" spans="1:2" ht="34.5" customHeight="1" x14ac:dyDescent="0.25">
      <c r="A239" s="414" t="s">
        <v>1001</v>
      </c>
      <c r="B239" s="414"/>
    </row>
    <row r="240" spans="1:2" ht="10.5" customHeight="1" x14ac:dyDescent="0.25"/>
    <row r="241" spans="1:2" ht="194.25" customHeight="1" x14ac:dyDescent="0.25">
      <c r="A241" s="414" t="s">
        <v>1175</v>
      </c>
      <c r="B241" s="414"/>
    </row>
    <row r="242" spans="1:2" ht="10.5" customHeight="1" x14ac:dyDescent="0.25"/>
    <row r="243" spans="1:2" ht="129" customHeight="1" x14ac:dyDescent="0.25">
      <c r="A243" s="414" t="s">
        <v>1002</v>
      </c>
      <c r="B243" s="414"/>
    </row>
    <row r="245" spans="1:2" x14ac:dyDescent="0.25">
      <c r="A245" s="81" t="s">
        <v>1003</v>
      </c>
    </row>
    <row r="246" spans="1:2" ht="11.25" customHeight="1" x14ac:dyDescent="0.25"/>
    <row r="247" spans="1:2" ht="333.75" customHeight="1" x14ac:dyDescent="0.25">
      <c r="A247" s="414" t="s">
        <v>1245</v>
      </c>
      <c r="B247" s="414"/>
    </row>
    <row r="248" spans="1:2" ht="7.5" customHeight="1" x14ac:dyDescent="0.25"/>
    <row r="249" spans="1:2" ht="72.75" customHeight="1" x14ac:dyDescent="0.25">
      <c r="A249" s="414" t="s">
        <v>1176</v>
      </c>
      <c r="B249" s="414"/>
    </row>
    <row r="250" spans="1:2" ht="11.25" customHeight="1" x14ac:dyDescent="0.25"/>
    <row r="251" spans="1:2" ht="51.75" customHeight="1" x14ac:dyDescent="0.25">
      <c r="A251" s="414" t="s">
        <v>1004</v>
      </c>
      <c r="B251" s="414"/>
    </row>
    <row r="252" spans="1:2" ht="11.25" customHeight="1" x14ac:dyDescent="0.25"/>
    <row r="253" spans="1:2" ht="69" customHeight="1" x14ac:dyDescent="0.25">
      <c r="A253" s="414" t="s">
        <v>1005</v>
      </c>
      <c r="B253" s="414"/>
    </row>
    <row r="254" spans="1:2" ht="11.25" customHeight="1" x14ac:dyDescent="0.25"/>
    <row r="255" spans="1:2" ht="53.25" customHeight="1" x14ac:dyDescent="0.25">
      <c r="A255" s="414" t="s">
        <v>1006</v>
      </c>
      <c r="B255" s="414"/>
    </row>
    <row r="256" spans="1:2" ht="11.25" customHeight="1" x14ac:dyDescent="0.25"/>
    <row r="257" spans="1:2" ht="64.5" customHeight="1" x14ac:dyDescent="0.25">
      <c r="A257" s="414" t="s">
        <v>1189</v>
      </c>
      <c r="B257" s="414"/>
    </row>
    <row r="258" spans="1:2" ht="11.25" customHeight="1" x14ac:dyDescent="0.25"/>
    <row r="259" spans="1:2" ht="34.5" customHeight="1" x14ac:dyDescent="0.25">
      <c r="A259" s="414" t="s">
        <v>1007</v>
      </c>
      <c r="B259" s="414"/>
    </row>
    <row r="260" spans="1:2" ht="11.25" customHeight="1" x14ac:dyDescent="0.25"/>
    <row r="261" spans="1:2" ht="13.5" customHeight="1" x14ac:dyDescent="0.25"/>
    <row r="262" spans="1:2" ht="21" customHeight="1" x14ac:dyDescent="0.25">
      <c r="A262" s="422" t="s">
        <v>1008</v>
      </c>
      <c r="B262" s="422"/>
    </row>
    <row r="263" spans="1:2" ht="11.25" customHeight="1" x14ac:dyDescent="0.25"/>
    <row r="264" spans="1:2" ht="102.75" customHeight="1" x14ac:dyDescent="0.25">
      <c r="A264" s="408" t="s">
        <v>1009</v>
      </c>
      <c r="B264" s="408"/>
    </row>
    <row r="265" spans="1:2" ht="11.25" customHeight="1" x14ac:dyDescent="0.25"/>
    <row r="266" spans="1:2" ht="114" customHeight="1" x14ac:dyDescent="0.25">
      <c r="A266" s="414" t="s">
        <v>1213</v>
      </c>
      <c r="B266" s="414"/>
    </row>
    <row r="267" spans="1:2" ht="8.25" customHeight="1" x14ac:dyDescent="0.25"/>
    <row r="268" spans="1:2" ht="97.5" customHeight="1" x14ac:dyDescent="0.25">
      <c r="A268" s="414" t="s">
        <v>1010</v>
      </c>
      <c r="B268" s="414"/>
    </row>
    <row r="269" spans="1:2" ht="10.5" customHeight="1" x14ac:dyDescent="0.25">
      <c r="A269" s="68"/>
      <c r="B269" s="68"/>
    </row>
    <row r="270" spans="1:2" ht="19.5" customHeight="1" x14ac:dyDescent="0.25">
      <c r="A270" s="82" t="s">
        <v>1011</v>
      </c>
      <c r="B270" s="68"/>
    </row>
    <row r="271" spans="1:2" ht="10.5" customHeight="1" x14ac:dyDescent="0.25">
      <c r="A271" s="82"/>
      <c r="B271" s="68"/>
    </row>
    <row r="272" spans="1:2" ht="69" customHeight="1" x14ac:dyDescent="0.25">
      <c r="A272" s="414" t="s">
        <v>1177</v>
      </c>
      <c r="B272" s="414"/>
    </row>
    <row r="273" spans="1:2" ht="12.75" customHeight="1" x14ac:dyDescent="0.25"/>
    <row r="274" spans="1:2" x14ac:dyDescent="0.25">
      <c r="A274" s="81" t="s">
        <v>1012</v>
      </c>
    </row>
    <row r="275" spans="1:2" ht="12" customHeight="1" x14ac:dyDescent="0.25"/>
    <row r="276" spans="1:2" ht="141" customHeight="1" x14ac:dyDescent="0.25">
      <c r="A276" s="408" t="s">
        <v>1178</v>
      </c>
      <c r="B276" s="408"/>
    </row>
    <row r="278" spans="1:2" x14ac:dyDescent="0.25">
      <c r="A278" s="81" t="s">
        <v>1013</v>
      </c>
    </row>
    <row r="279" spans="1:2" ht="6" customHeight="1" x14ac:dyDescent="0.25"/>
    <row r="280" spans="1:2" ht="22.5" customHeight="1" x14ac:dyDescent="0.25">
      <c r="A280" s="408" t="s">
        <v>1179</v>
      </c>
      <c r="B280" s="408"/>
    </row>
    <row r="281" spans="1:2" ht="7.5" customHeight="1" x14ac:dyDescent="0.25"/>
    <row r="282" spans="1:2" ht="159.75" customHeight="1" x14ac:dyDescent="0.25">
      <c r="A282" s="414" t="s">
        <v>1181</v>
      </c>
      <c r="B282" s="414"/>
    </row>
    <row r="283" spans="1:2" ht="7.5" customHeight="1" x14ac:dyDescent="0.25"/>
    <row r="284" spans="1:2" ht="49.5" customHeight="1" x14ac:dyDescent="0.25">
      <c r="A284" s="408" t="s">
        <v>1180</v>
      </c>
      <c r="B284" s="408"/>
    </row>
    <row r="285" spans="1:2" ht="7.5" customHeight="1" x14ac:dyDescent="0.25"/>
    <row r="286" spans="1:2" ht="30.75" customHeight="1" x14ac:dyDescent="0.25">
      <c r="A286" s="408" t="s">
        <v>1246</v>
      </c>
      <c r="B286" s="408"/>
    </row>
    <row r="288" spans="1:2" x14ac:dyDescent="0.25">
      <c r="A288" s="81" t="s">
        <v>1014</v>
      </c>
    </row>
    <row r="289" spans="1:2" ht="9" customHeight="1" x14ac:dyDescent="0.25"/>
    <row r="290" spans="1:2" ht="237" customHeight="1" x14ac:dyDescent="0.25">
      <c r="A290" s="408" t="s">
        <v>1182</v>
      </c>
      <c r="B290" s="408"/>
    </row>
    <row r="291" spans="1:2" ht="9" customHeight="1" x14ac:dyDescent="0.25"/>
    <row r="292" spans="1:2" ht="9" customHeight="1" x14ac:dyDescent="0.25"/>
    <row r="293" spans="1:2" ht="33.75" customHeight="1" x14ac:dyDescent="0.25">
      <c r="A293" s="408" t="s">
        <v>1183</v>
      </c>
      <c r="B293" s="408"/>
    </row>
    <row r="294" spans="1:2" ht="10.5" customHeight="1" x14ac:dyDescent="0.25"/>
    <row r="295" spans="1:2" x14ac:dyDescent="0.25">
      <c r="A295" s="81" t="s">
        <v>1015</v>
      </c>
    </row>
    <row r="296" spans="1:2" ht="9" customHeight="1" x14ac:dyDescent="0.25"/>
    <row r="297" spans="1:2" ht="52.5" customHeight="1" x14ac:dyDescent="0.25">
      <c r="A297" s="408" t="s">
        <v>1016</v>
      </c>
      <c r="B297" s="408"/>
    </row>
    <row r="298" spans="1:2" ht="9.75" customHeight="1" x14ac:dyDescent="0.25"/>
    <row r="299" spans="1:2" ht="51.75" customHeight="1" x14ac:dyDescent="0.25">
      <c r="A299" s="408" t="s">
        <v>1184</v>
      </c>
      <c r="B299" s="408"/>
    </row>
    <row r="300" spans="1:2" ht="12" customHeight="1" x14ac:dyDescent="0.25"/>
    <row r="301" spans="1:2" x14ac:dyDescent="0.25">
      <c r="A301" s="81" t="s">
        <v>1017</v>
      </c>
    </row>
    <row r="302" spans="1:2" ht="8.25" customHeight="1" x14ac:dyDescent="0.25">
      <c r="A302" s="420"/>
      <c r="B302" s="420"/>
    </row>
    <row r="303" spans="1:2" ht="66.75" customHeight="1" x14ac:dyDescent="0.25">
      <c r="A303" s="408" t="s">
        <v>1018</v>
      </c>
      <c r="B303" s="408"/>
    </row>
    <row r="304" spans="1:2" ht="12" customHeight="1" x14ac:dyDescent="0.25"/>
    <row r="305" spans="1:2" x14ac:dyDescent="0.25">
      <c r="A305" s="81" t="s">
        <v>1185</v>
      </c>
    </row>
    <row r="306" spans="1:2" ht="8.25" customHeight="1" x14ac:dyDescent="0.25">
      <c r="A306" s="420"/>
      <c r="B306" s="420"/>
    </row>
    <row r="307" spans="1:2" ht="194.25" customHeight="1" x14ac:dyDescent="0.25">
      <c r="A307" s="408" t="s">
        <v>1186</v>
      </c>
      <c r="B307" s="408"/>
    </row>
    <row r="308" spans="1:2" ht="8.25" customHeight="1" x14ac:dyDescent="0.25">
      <c r="A308" s="420"/>
      <c r="B308" s="420"/>
    </row>
    <row r="309" spans="1:2" ht="33.75" customHeight="1" x14ac:dyDescent="0.25">
      <c r="A309" s="408" t="s">
        <v>1187</v>
      </c>
      <c r="B309" s="408"/>
    </row>
    <row r="310" spans="1:2" ht="8.25" customHeight="1" x14ac:dyDescent="0.25">
      <c r="A310" s="420"/>
      <c r="B310" s="420"/>
    </row>
    <row r="311" spans="1:2" ht="66.75" customHeight="1" x14ac:dyDescent="0.25">
      <c r="A311" s="408" t="s">
        <v>1247</v>
      </c>
      <c r="B311" s="408"/>
    </row>
    <row r="312" spans="1:2" ht="8.25" customHeight="1" x14ac:dyDescent="0.25">
      <c r="A312" s="420"/>
      <c r="B312" s="420"/>
    </row>
    <row r="313" spans="1:2" ht="53.25" customHeight="1" x14ac:dyDescent="0.25">
      <c r="A313" s="408" t="s">
        <v>1188</v>
      </c>
      <c r="B313" s="408"/>
    </row>
    <row r="315" spans="1:2" x14ac:dyDescent="0.25">
      <c r="A315" s="81" t="s">
        <v>1118</v>
      </c>
    </row>
    <row r="316" spans="1:2" ht="8.25" customHeight="1" x14ac:dyDescent="0.25">
      <c r="A316" s="420"/>
      <c r="B316" s="420"/>
    </row>
    <row r="317" spans="1:2" ht="50.25" customHeight="1" x14ac:dyDescent="0.25">
      <c r="A317" s="408" t="s">
        <v>1248</v>
      </c>
      <c r="B317" s="408"/>
    </row>
    <row r="319" spans="1:2" x14ac:dyDescent="0.25">
      <c r="A319" s="81" t="s">
        <v>1250</v>
      </c>
    </row>
    <row r="320" spans="1:2" ht="8.25" customHeight="1" x14ac:dyDescent="0.25">
      <c r="A320" s="420"/>
      <c r="B320" s="420"/>
    </row>
    <row r="321" spans="1:2" ht="34.5" customHeight="1" x14ac:dyDescent="0.25">
      <c r="A321" s="408" t="s">
        <v>1251</v>
      </c>
      <c r="B321" s="408"/>
    </row>
    <row r="323" spans="1:2" x14ac:dyDescent="0.25">
      <c r="A323" s="81" t="s">
        <v>1252</v>
      </c>
    </row>
    <row r="324" spans="1:2" ht="8.25" customHeight="1" x14ac:dyDescent="0.25">
      <c r="A324" s="420"/>
      <c r="B324" s="420"/>
    </row>
    <row r="325" spans="1:2" ht="63.75" customHeight="1" x14ac:dyDescent="0.25">
      <c r="A325" s="408" t="s">
        <v>1253</v>
      </c>
      <c r="B325" s="408"/>
    </row>
    <row r="327" spans="1:2" x14ac:dyDescent="0.25">
      <c r="A327" s="81" t="s">
        <v>1249</v>
      </c>
    </row>
    <row r="328" spans="1:2" ht="8.25" customHeight="1" x14ac:dyDescent="0.25">
      <c r="A328" s="420"/>
      <c r="B328" s="420"/>
    </row>
    <row r="329" spans="1:2" ht="195.75" customHeight="1" x14ac:dyDescent="0.25">
      <c r="A329" s="408" t="s">
        <v>1127</v>
      </c>
      <c r="B329" s="408"/>
    </row>
    <row r="331" spans="1:2" x14ac:dyDescent="0.25">
      <c r="A331" s="413" t="s">
        <v>1642</v>
      </c>
      <c r="B331" s="413"/>
    </row>
    <row r="332" spans="1:2" x14ac:dyDescent="0.25">
      <c r="B332" s="83" t="str">
        <f>CONCATENATE(Cover!B1&amp;"-"&amp;Cover!B2)</f>
        <v>25-3117-58</v>
      </c>
    </row>
    <row r="333" spans="1:2" ht="55.5" customHeight="1" x14ac:dyDescent="0.25">
      <c r="A333" s="414" t="s">
        <v>1119</v>
      </c>
      <c r="B333" s="414"/>
    </row>
    <row r="334" spans="1:2" ht="105" customHeight="1" x14ac:dyDescent="0.25">
      <c r="A334" s="414" t="s">
        <v>1120</v>
      </c>
      <c r="B334" s="414"/>
    </row>
    <row r="335" spans="1:2" ht="5.25" customHeight="1" x14ac:dyDescent="0.25"/>
    <row r="336" spans="1:2" ht="37.5" customHeight="1" x14ac:dyDescent="0.25">
      <c r="A336" s="419" t="s">
        <v>1121</v>
      </c>
      <c r="B336" s="419"/>
    </row>
    <row r="337" spans="1:2" ht="13.8" thickBot="1" x14ac:dyDescent="0.3"/>
    <row r="338" spans="1:2" ht="27" thickBot="1" x14ac:dyDescent="0.3">
      <c r="A338" s="84" t="s">
        <v>1042</v>
      </c>
      <c r="B338" s="85"/>
    </row>
    <row r="339" spans="1:2" ht="12.75" customHeight="1" x14ac:dyDescent="0.25">
      <c r="A339" s="415" t="s">
        <v>1043</v>
      </c>
      <c r="B339" s="418"/>
    </row>
    <row r="340" spans="1:2" ht="12.75" customHeight="1" x14ac:dyDescent="0.25">
      <c r="A340" s="416"/>
      <c r="B340" s="418"/>
    </row>
    <row r="341" spans="1:2" ht="12.75" customHeight="1" x14ac:dyDescent="0.25">
      <c r="A341" s="416"/>
      <c r="B341" s="418"/>
    </row>
    <row r="342" spans="1:2" ht="24" customHeight="1" thickBot="1" x14ac:dyDescent="0.3">
      <c r="A342" s="417"/>
      <c r="B342" s="418"/>
    </row>
    <row r="343" spans="1:2" ht="12.75" customHeight="1" x14ac:dyDescent="0.25">
      <c r="A343" s="415" t="s">
        <v>1043</v>
      </c>
      <c r="B343" s="418"/>
    </row>
    <row r="344" spans="1:2" ht="12.75" customHeight="1" x14ac:dyDescent="0.25">
      <c r="A344" s="416"/>
      <c r="B344" s="418"/>
    </row>
    <row r="345" spans="1:2" ht="12.75" customHeight="1" x14ac:dyDescent="0.25">
      <c r="A345" s="416"/>
      <c r="B345" s="418"/>
    </row>
    <row r="346" spans="1:2" ht="31.5" customHeight="1" thickBot="1" x14ac:dyDescent="0.3">
      <c r="A346" s="417"/>
      <c r="B346" s="418"/>
    </row>
    <row r="347" spans="1:2" ht="12.75" customHeight="1" x14ac:dyDescent="0.25">
      <c r="A347" s="415" t="s">
        <v>1043</v>
      </c>
      <c r="B347" s="418"/>
    </row>
    <row r="348" spans="1:2" ht="12.75" customHeight="1" x14ac:dyDescent="0.25">
      <c r="A348" s="416"/>
      <c r="B348" s="418"/>
    </row>
    <row r="349" spans="1:2" ht="12.75" customHeight="1" x14ac:dyDescent="0.25">
      <c r="A349" s="416"/>
      <c r="B349" s="418"/>
    </row>
    <row r="350" spans="1:2" ht="28.5" customHeight="1" thickBot="1" x14ac:dyDescent="0.3">
      <c r="A350" s="417"/>
      <c r="B350" s="418"/>
    </row>
    <row r="351" spans="1:2" ht="12.75" customHeight="1" x14ac:dyDescent="0.25">
      <c r="A351" s="409" t="s">
        <v>1043</v>
      </c>
      <c r="B351" s="412"/>
    </row>
    <row r="352" spans="1:2" ht="12.75" customHeight="1" x14ac:dyDescent="0.25">
      <c r="A352" s="410"/>
      <c r="B352" s="412"/>
    </row>
    <row r="353" spans="1:14" ht="12.75" customHeight="1" x14ac:dyDescent="0.25">
      <c r="A353" s="410"/>
      <c r="B353" s="412"/>
    </row>
    <row r="354" spans="1:14" ht="30.75" customHeight="1" thickBot="1" x14ac:dyDescent="0.3">
      <c r="A354" s="411"/>
      <c r="B354" s="412"/>
      <c r="D354" s="295"/>
      <c r="E354" s="295"/>
      <c r="F354" s="295"/>
      <c r="G354" s="295"/>
    </row>
    <row r="355" spans="1:14" x14ac:dyDescent="0.25">
      <c r="A355" s="295"/>
      <c r="B355" s="295"/>
      <c r="D355" s="295"/>
      <c r="E355" s="295"/>
      <c r="F355" s="295"/>
      <c r="G355" s="295"/>
    </row>
    <row r="356" spans="1:14" s="15" customFormat="1" ht="27" customHeight="1" x14ac:dyDescent="0.25">
      <c r="A356" s="16"/>
      <c r="B356" s="16"/>
      <c r="C356" s="296"/>
      <c r="D356" s="16"/>
      <c r="E356" s="433"/>
      <c r="F356" s="433"/>
      <c r="G356" s="433"/>
      <c r="H356" s="296"/>
      <c r="I356" s="296"/>
      <c r="J356" s="296"/>
      <c r="K356" s="296"/>
      <c r="L356" s="296"/>
      <c r="M356" s="296"/>
      <c r="N356" s="296"/>
    </row>
    <row r="357" spans="1:14" s="299" customFormat="1" x14ac:dyDescent="0.25">
      <c r="A357" s="434" t="s">
        <v>1665</v>
      </c>
      <c r="B357" s="434"/>
      <c r="C357" s="297"/>
      <c r="D357" s="298"/>
      <c r="E357" s="298"/>
      <c r="F357" s="298"/>
      <c r="G357" s="298"/>
      <c r="H357" s="297"/>
      <c r="I357" s="297"/>
    </row>
    <row r="358" spans="1:14" s="296" customFormat="1" x14ac:dyDescent="0.25">
      <c r="A358" s="16"/>
      <c r="B358" s="16"/>
      <c r="D358" s="16"/>
      <c r="E358" s="16"/>
      <c r="F358" s="16"/>
      <c r="G358" s="16"/>
    </row>
    <row r="359" spans="1:14" s="296" customFormat="1" ht="148.5" customHeight="1" x14ac:dyDescent="0.25">
      <c r="A359" s="432" t="s">
        <v>1674</v>
      </c>
      <c r="B359" s="432"/>
      <c r="C359" s="300"/>
      <c r="D359" s="301"/>
      <c r="E359" s="435"/>
      <c r="F359" s="435"/>
      <c r="G359" s="435"/>
      <c r="H359" s="300"/>
      <c r="I359" s="300"/>
    </row>
    <row r="360" spans="1:14" s="296" customFormat="1" x14ac:dyDescent="0.25">
      <c r="A360" s="16"/>
      <c r="B360" s="16"/>
      <c r="D360" s="16"/>
      <c r="E360" s="16"/>
      <c r="F360" s="16"/>
      <c r="G360" s="16"/>
    </row>
    <row r="361" spans="1:14" s="296" customFormat="1" ht="14.1" customHeight="1" x14ac:dyDescent="0.25">
      <c r="A361" s="431" t="s">
        <v>1666</v>
      </c>
      <c r="B361" s="431"/>
      <c r="D361" s="16"/>
      <c r="E361" s="16"/>
      <c r="F361" s="16"/>
      <c r="G361" s="16"/>
    </row>
    <row r="362" spans="1:14" s="296" customFormat="1" ht="106.5" customHeight="1" x14ac:dyDescent="0.25">
      <c r="A362" s="432" t="s">
        <v>1667</v>
      </c>
      <c r="B362" s="432"/>
      <c r="C362" s="300"/>
      <c r="D362" s="301"/>
      <c r="E362" s="435"/>
      <c r="F362" s="435"/>
      <c r="G362" s="435"/>
      <c r="H362" s="300"/>
      <c r="I362" s="302"/>
    </row>
    <row r="363" spans="1:14" s="296" customFormat="1" ht="9" customHeight="1" x14ac:dyDescent="0.25">
      <c r="A363" s="16"/>
      <c r="B363" s="16"/>
      <c r="D363" s="16"/>
      <c r="E363" s="435"/>
      <c r="F363" s="435"/>
      <c r="G363" s="435"/>
    </row>
    <row r="364" spans="1:14" s="296" customFormat="1" ht="14.1" customHeight="1" x14ac:dyDescent="0.25">
      <c r="A364" s="431" t="s">
        <v>1668</v>
      </c>
      <c r="B364" s="431"/>
      <c r="D364" s="16"/>
      <c r="E364" s="435"/>
      <c r="F364" s="435"/>
      <c r="G364" s="435"/>
    </row>
    <row r="365" spans="1:14" s="296" customFormat="1" ht="72" customHeight="1" x14ac:dyDescent="0.25">
      <c r="A365" s="432" t="s">
        <v>1669</v>
      </c>
      <c r="B365" s="432"/>
      <c r="C365" s="300"/>
      <c r="D365" s="300"/>
      <c r="E365" s="300"/>
      <c r="F365" s="300"/>
      <c r="G365" s="300"/>
      <c r="H365" s="300"/>
      <c r="I365" s="302"/>
    </row>
    <row r="366" spans="1:14" s="296" customFormat="1" ht="9" customHeight="1" x14ac:dyDescent="0.25">
      <c r="A366" s="16"/>
      <c r="B366" s="16"/>
    </row>
    <row r="367" spans="1:14" s="296" customFormat="1" ht="14.1" customHeight="1" x14ac:dyDescent="0.25">
      <c r="A367" s="431" t="s">
        <v>1670</v>
      </c>
      <c r="B367" s="431"/>
    </row>
    <row r="368" spans="1:14" s="296" customFormat="1" ht="105.75" customHeight="1" x14ac:dyDescent="0.25">
      <c r="A368" s="432" t="s">
        <v>1671</v>
      </c>
      <c r="B368" s="432"/>
      <c r="C368" s="300"/>
      <c r="D368" s="300"/>
      <c r="E368" s="300"/>
      <c r="F368" s="300"/>
      <c r="G368" s="300"/>
      <c r="H368" s="300"/>
      <c r="I368" s="302"/>
    </row>
    <row r="369" spans="1:9" s="296" customFormat="1" ht="9.6" customHeight="1" x14ac:dyDescent="0.25">
      <c r="A369" s="16"/>
      <c r="B369" s="16"/>
    </row>
    <row r="370" spans="1:9" s="296" customFormat="1" ht="14.1" customHeight="1" x14ac:dyDescent="0.25">
      <c r="A370" s="431" t="s">
        <v>1672</v>
      </c>
      <c r="B370" s="431"/>
      <c r="C370" s="303"/>
    </row>
    <row r="371" spans="1:9" s="296" customFormat="1" ht="123" customHeight="1" x14ac:dyDescent="0.25">
      <c r="A371" s="432" t="s">
        <v>1673</v>
      </c>
      <c r="B371" s="432"/>
      <c r="C371" s="300"/>
      <c r="D371" s="300"/>
      <c r="E371" s="300"/>
      <c r="F371" s="300"/>
      <c r="G371" s="300"/>
      <c r="H371" s="300"/>
      <c r="I371" s="302"/>
    </row>
    <row r="372" spans="1:9" x14ac:dyDescent="0.25">
      <c r="A372" s="295"/>
      <c r="B372" s="295"/>
    </row>
    <row r="373" spans="1:9" x14ac:dyDescent="0.25">
      <c r="A373" s="295"/>
      <c r="B373" s="295"/>
    </row>
    <row r="374" spans="1:9" x14ac:dyDescent="0.25">
      <c r="A374" s="295"/>
      <c r="B374" s="295"/>
    </row>
    <row r="375" spans="1:9" x14ac:dyDescent="0.25">
      <c r="A375" s="295"/>
      <c r="B375" s="295"/>
    </row>
    <row r="376" spans="1:9" x14ac:dyDescent="0.25">
      <c r="A376" s="295"/>
      <c r="B376" s="295"/>
    </row>
    <row r="377" spans="1:9" x14ac:dyDescent="0.25">
      <c r="A377" s="295"/>
      <c r="B377" s="295"/>
    </row>
    <row r="378" spans="1:9" x14ac:dyDescent="0.25">
      <c r="A378" s="295"/>
      <c r="B378" s="295"/>
    </row>
    <row r="379" spans="1:9" x14ac:dyDescent="0.25">
      <c r="A379" s="295"/>
      <c r="B379" s="295"/>
    </row>
    <row r="380" spans="1:9" x14ac:dyDescent="0.25">
      <c r="A380" s="295"/>
      <c r="B380" s="295"/>
    </row>
    <row r="381" spans="1:9" x14ac:dyDescent="0.25">
      <c r="A381" s="295"/>
      <c r="B381" s="295"/>
    </row>
    <row r="382" spans="1:9" x14ac:dyDescent="0.25">
      <c r="A382" s="295"/>
      <c r="B382" s="295"/>
    </row>
    <row r="383" spans="1:9" x14ac:dyDescent="0.25">
      <c r="A383" s="295"/>
      <c r="B383" s="295"/>
    </row>
    <row r="384" spans="1:9" x14ac:dyDescent="0.25">
      <c r="A384" s="295"/>
      <c r="B384" s="295"/>
    </row>
    <row r="385" spans="1:2" x14ac:dyDescent="0.25">
      <c r="A385" s="295"/>
      <c r="B385" s="295"/>
    </row>
    <row r="386" spans="1:2" x14ac:dyDescent="0.25">
      <c r="A386" s="295"/>
      <c r="B386" s="295"/>
    </row>
    <row r="415" s="28" customFormat="1" ht="12.75" customHeight="1" x14ac:dyDescent="0.25"/>
    <row r="416" s="28" customFormat="1" ht="12.75" customHeight="1" x14ac:dyDescent="0.25"/>
    <row r="417" s="28" customFormat="1" ht="12.75" customHeight="1" x14ac:dyDescent="0.25"/>
    <row r="418" s="28" customFormat="1" ht="13.5" customHeight="1" x14ac:dyDescent="0.25"/>
    <row r="419" s="28" customFormat="1" ht="12.75" customHeight="1" x14ac:dyDescent="0.25"/>
    <row r="420" s="28" customFormat="1" ht="12.75" customHeight="1" x14ac:dyDescent="0.25"/>
    <row r="421" s="28" customFormat="1" ht="12.75" customHeight="1" x14ac:dyDescent="0.25"/>
    <row r="422" s="28" customFormat="1" ht="13.5" customHeight="1" x14ac:dyDescent="0.25"/>
    <row r="423" s="28" customFormat="1" ht="12.75" customHeight="1" x14ac:dyDescent="0.25"/>
    <row r="424" s="28" customFormat="1" ht="12.75" customHeight="1" x14ac:dyDescent="0.25"/>
    <row r="425" s="28" customFormat="1" ht="12.75" customHeight="1" x14ac:dyDescent="0.25"/>
    <row r="426" s="28" customFormat="1" ht="13.5" customHeight="1" x14ac:dyDescent="0.25"/>
    <row r="427" s="28" customFormat="1" ht="12.75" customHeight="1" x14ac:dyDescent="0.25"/>
    <row r="428" s="28" customFormat="1" ht="12.75" customHeight="1" x14ac:dyDescent="0.25"/>
    <row r="429" s="28" customFormat="1" ht="12.75" customHeight="1" x14ac:dyDescent="0.25"/>
    <row r="430" s="28" customFormat="1" ht="13.5" customHeight="1" x14ac:dyDescent="0.25"/>
  </sheetData>
  <sheetProtection formatCells="0" formatColumns="0" formatRows="0" insertColumns="0" insertRows="0" deleteColumns="0" deleteRows="0" sort="0" autoFilter="0"/>
  <protectedRanges>
    <protectedRange algorithmName="SHA-512" hashValue="rCqEn6ORNjRUzXezBJGjJ1AxRYUiDeqI6wE+WxuGqE2NZFxT7oZrHY2hmaGX9G2cBMir/w9Og4NdLFBIErAILQ==" saltValue="KQf2It1QCo3Dev+L3NpFvA==" spinCount="100000" sqref="A40:B52" name="Range1"/>
  </protectedRanges>
  <mergeCells count="151">
    <mergeCell ref="A367:B367"/>
    <mergeCell ref="A368:B368"/>
    <mergeCell ref="A370:B370"/>
    <mergeCell ref="A371:B371"/>
    <mergeCell ref="E356:G356"/>
    <mergeCell ref="A357:B357"/>
    <mergeCell ref="A359:B359"/>
    <mergeCell ref="E359:G359"/>
    <mergeCell ref="A361:B361"/>
    <mergeCell ref="A362:B362"/>
    <mergeCell ref="E362:G364"/>
    <mergeCell ref="A364:B364"/>
    <mergeCell ref="A365:B365"/>
    <mergeCell ref="A310:B310"/>
    <mergeCell ref="A311:B311"/>
    <mergeCell ref="A316:B316"/>
    <mergeCell ref="A219:B219"/>
    <mergeCell ref="A276:B276"/>
    <mergeCell ref="A262:B262"/>
    <mergeCell ref="A259:B259"/>
    <mergeCell ref="A253:B253"/>
    <mergeCell ref="A255:B255"/>
    <mergeCell ref="A257:B257"/>
    <mergeCell ref="A312:B312"/>
    <mergeCell ref="A286:B286"/>
    <mergeCell ref="A268:B268"/>
    <mergeCell ref="A272:B272"/>
    <mergeCell ref="A308:B308"/>
    <mergeCell ref="A309:B309"/>
    <mergeCell ref="A293:B293"/>
    <mergeCell ref="A249:B249"/>
    <mergeCell ref="A317:B317"/>
    <mergeCell ref="A302:B302"/>
    <mergeCell ref="A299:B299"/>
    <mergeCell ref="A284:B284"/>
    <mergeCell ref="A290:B290"/>
    <mergeCell ref="A297:B297"/>
    <mergeCell ref="A282:B282"/>
    <mergeCell ref="A188:B188"/>
    <mergeCell ref="A190:B190"/>
    <mergeCell ref="A226:B226"/>
    <mergeCell ref="A303:B303"/>
    <mergeCell ref="A224:B224"/>
    <mergeCell ref="A264:B264"/>
    <mergeCell ref="A266:B266"/>
    <mergeCell ref="A313:B313"/>
    <mergeCell ref="A306:B306"/>
    <mergeCell ref="A307:B307"/>
    <mergeCell ref="A227:B227"/>
    <mergeCell ref="A196:B196"/>
    <mergeCell ref="A198:B198"/>
    <mergeCell ref="A237:B237"/>
    <mergeCell ref="A239:B239"/>
    <mergeCell ref="A241:B241"/>
    <mergeCell ref="A233:B233"/>
    <mergeCell ref="A170:B170"/>
    <mergeCell ref="A166:B166"/>
    <mergeCell ref="A168:B168"/>
    <mergeCell ref="A182:B182"/>
    <mergeCell ref="A192:B192"/>
    <mergeCell ref="A128:B128"/>
    <mergeCell ref="A162:B162"/>
    <mergeCell ref="A164:B164"/>
    <mergeCell ref="A152:B152"/>
    <mergeCell ref="A1:B1"/>
    <mergeCell ref="A3:B3"/>
    <mergeCell ref="A5:B5"/>
    <mergeCell ref="A7:B7"/>
    <mergeCell ref="A9:B9"/>
    <mergeCell ref="A23:B23"/>
    <mergeCell ref="A40:B40"/>
    <mergeCell ref="A251:B251"/>
    <mergeCell ref="A280:B280"/>
    <mergeCell ref="A118:B118"/>
    <mergeCell ref="A120:B120"/>
    <mergeCell ref="A247:B247"/>
    <mergeCell ref="A214:B214"/>
    <mergeCell ref="A218:B218"/>
    <mergeCell ref="A213:B213"/>
    <mergeCell ref="A210:B210"/>
    <mergeCell ref="A160:B160"/>
    <mergeCell ref="A138:B138"/>
    <mergeCell ref="A148:B148"/>
    <mergeCell ref="A243:B243"/>
    <mergeCell ref="A154:B154"/>
    <mergeCell ref="A229:B229"/>
    <mergeCell ref="A231:B231"/>
    <mergeCell ref="A235:B235"/>
    <mergeCell ref="A25:B25"/>
    <mergeCell ref="A60:B60"/>
    <mergeCell ref="A48:B48"/>
    <mergeCell ref="A106:B106"/>
    <mergeCell ref="A52:B52"/>
    <mergeCell ref="A117:B117"/>
    <mergeCell ref="A124:B124"/>
    <mergeCell ref="A56:B56"/>
    <mergeCell ref="A58:B58"/>
    <mergeCell ref="A85:B85"/>
    <mergeCell ref="A89:B89"/>
    <mergeCell ref="A94:B94"/>
    <mergeCell ref="A96:B96"/>
    <mergeCell ref="A27:B27"/>
    <mergeCell ref="A121:B121"/>
    <mergeCell ref="A54:B54"/>
    <mergeCell ref="A123:B123"/>
    <mergeCell ref="A62:B62"/>
    <mergeCell ref="A104:B104"/>
    <mergeCell ref="A112:B112"/>
    <mergeCell ref="A110:B110"/>
    <mergeCell ref="A116:B116"/>
    <mergeCell ref="A50:B50"/>
    <mergeCell ref="A87:B87"/>
    <mergeCell ref="A98:B98"/>
    <mergeCell ref="A102:B102"/>
    <mergeCell ref="A108:B108"/>
    <mergeCell ref="A100:B100"/>
    <mergeCell ref="A320:B320"/>
    <mergeCell ref="A321:B321"/>
    <mergeCell ref="A324:B324"/>
    <mergeCell ref="A119:B119"/>
    <mergeCell ref="A122:B122"/>
    <mergeCell ref="A130:B130"/>
    <mergeCell ref="A132:B132"/>
    <mergeCell ref="A134:B134"/>
    <mergeCell ref="A140:B140"/>
    <mergeCell ref="A156:B156"/>
    <mergeCell ref="A144:B144"/>
    <mergeCell ref="A212:B212"/>
    <mergeCell ref="A206:B206"/>
    <mergeCell ref="A220:B220"/>
    <mergeCell ref="A176:B176"/>
    <mergeCell ref="A186:B186"/>
    <mergeCell ref="A172:B172"/>
    <mergeCell ref="A178:B178"/>
    <mergeCell ref="A180:B180"/>
    <mergeCell ref="A202:B202"/>
    <mergeCell ref="A325:B325"/>
    <mergeCell ref="A351:A354"/>
    <mergeCell ref="B351:B354"/>
    <mergeCell ref="A331:B331"/>
    <mergeCell ref="A333:B333"/>
    <mergeCell ref="A334:B334"/>
    <mergeCell ref="A339:A342"/>
    <mergeCell ref="B339:B342"/>
    <mergeCell ref="A343:A346"/>
    <mergeCell ref="B343:B346"/>
    <mergeCell ref="A347:A350"/>
    <mergeCell ref="B347:B350"/>
    <mergeCell ref="A336:B336"/>
    <mergeCell ref="A328:B328"/>
    <mergeCell ref="A329:B329"/>
  </mergeCells>
  <phoneticPr fontId="3" type="noConversion"/>
  <pageMargins left="0.25" right="0.25" top="0.25" bottom="0.25" header="0.5" footer="0.5"/>
  <pageSetup scale="86" orientation="portrait" r:id="rId1"/>
  <headerFooter alignWithMargins="0"/>
  <rowBreaks count="8" manualBreakCount="8">
    <brk id="39" max="16383" man="1"/>
    <brk id="82" max="16383" man="1"/>
    <brk id="105" max="16383" man="1"/>
    <brk id="112" max="16383" man="1"/>
    <brk id="145" max="16383" man="1"/>
    <brk id="183" max="16383" man="1"/>
    <brk id="261" max="16383" man="1"/>
    <brk id="27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I63"/>
  <sheetViews>
    <sheetView showGridLines="0" tabSelected="1" zoomScaleNormal="100" zoomScaleSheetLayoutView="75" workbookViewId="0"/>
  </sheetViews>
  <sheetFormatPr defaultColWidth="9.109375" defaultRowHeight="13.2" x14ac:dyDescent="0.25"/>
  <cols>
    <col min="1" max="1" width="64.5546875" style="15" customWidth="1"/>
    <col min="2" max="2" width="12.5546875" style="15" customWidth="1"/>
    <col min="3" max="3" width="71.5546875" style="15" customWidth="1"/>
    <col min="4" max="4" width="5.109375" style="15" customWidth="1"/>
    <col min="5" max="5" width="11" style="15" hidden="1" customWidth="1"/>
    <col min="6" max="6" width="4.44140625" style="15" customWidth="1"/>
    <col min="7" max="8" width="9.109375" style="15"/>
    <col min="9" max="9" width="5.109375" style="15" customWidth="1"/>
    <col min="10" max="16384" width="9.109375" style="15"/>
  </cols>
  <sheetData>
    <row r="1" spans="1:9" ht="18" customHeight="1" thickBot="1" x14ac:dyDescent="0.3">
      <c r="A1" s="86" t="s">
        <v>459</v>
      </c>
      <c r="B1" s="456" t="s">
        <v>1624</v>
      </c>
      <c r="C1" s="446"/>
      <c r="D1" s="447"/>
      <c r="F1" s="28"/>
      <c r="G1" s="87"/>
      <c r="H1" s="87"/>
      <c r="I1" s="87"/>
    </row>
    <row r="2" spans="1:9" ht="18" customHeight="1" thickBot="1" x14ac:dyDescent="0.3">
      <c r="A2" s="86" t="s">
        <v>460</v>
      </c>
      <c r="B2" s="457">
        <v>58</v>
      </c>
      <c r="C2" s="458"/>
      <c r="D2" s="459"/>
      <c r="G2" s="87"/>
      <c r="H2" s="87"/>
      <c r="I2" s="87"/>
    </row>
    <row r="3" spans="1:9" ht="18" customHeight="1" thickBot="1" x14ac:dyDescent="0.3">
      <c r="A3" s="86" t="s">
        <v>461</v>
      </c>
      <c r="B3" s="674">
        <v>45974</v>
      </c>
      <c r="C3" s="675"/>
      <c r="D3" s="676"/>
      <c r="G3" s="87"/>
      <c r="H3" s="87"/>
      <c r="I3" s="87"/>
    </row>
    <row r="4" spans="1:9" ht="13.8" thickBot="1" x14ac:dyDescent="0.3">
      <c r="A4" s="88" t="s">
        <v>1020</v>
      </c>
      <c r="B4" s="89">
        <f>MQC!E8</f>
        <v>150</v>
      </c>
      <c r="C4" s="460" t="s">
        <v>534</v>
      </c>
      <c r="D4" s="461"/>
      <c r="G4" s="87"/>
      <c r="H4" s="87"/>
      <c r="I4" s="87"/>
    </row>
    <row r="5" spans="1:9" ht="15.75" customHeight="1" thickBot="1" x14ac:dyDescent="0.3">
      <c r="A5" s="88" t="s">
        <v>1021</v>
      </c>
      <c r="B5" s="462">
        <v>45703</v>
      </c>
      <c r="C5" s="463"/>
      <c r="D5" s="464"/>
      <c r="G5" s="87"/>
      <c r="H5" s="87"/>
      <c r="I5" s="87"/>
    </row>
    <row r="6" spans="1:9" ht="18" customHeight="1" thickBot="1" x14ac:dyDescent="0.3">
      <c r="A6" s="90" t="s">
        <v>1022</v>
      </c>
      <c r="B6" s="465">
        <v>46022</v>
      </c>
      <c r="C6" s="466"/>
      <c r="D6" s="467"/>
      <c r="G6" s="87"/>
      <c r="H6" s="87"/>
      <c r="I6" s="87"/>
    </row>
    <row r="7" spans="1:9" ht="20.100000000000001" customHeight="1" thickBot="1" x14ac:dyDescent="0.3">
      <c r="A7" s="88" t="s">
        <v>1023</v>
      </c>
      <c r="B7" s="468" t="s">
        <v>1658</v>
      </c>
      <c r="C7" s="443"/>
      <c r="D7" s="444"/>
    </row>
    <row r="8" spans="1:9" ht="20.100000000000001" customHeight="1" thickBot="1" x14ac:dyDescent="0.3">
      <c r="A8" s="91" t="s">
        <v>151</v>
      </c>
      <c r="B8" s="456" t="s">
        <v>1625</v>
      </c>
      <c r="C8" s="446"/>
      <c r="D8" s="447"/>
    </row>
    <row r="9" spans="1:9" ht="18" customHeight="1" thickBot="1" x14ac:dyDescent="0.3">
      <c r="A9" s="92" t="s">
        <v>1643</v>
      </c>
      <c r="B9" s="442" t="s">
        <v>1626</v>
      </c>
      <c r="C9" s="443"/>
      <c r="D9" s="444"/>
    </row>
    <row r="10" spans="1:9" ht="18" customHeight="1" thickBot="1" x14ac:dyDescent="0.3">
      <c r="A10" s="93" t="s">
        <v>482</v>
      </c>
      <c r="B10" s="442" t="s">
        <v>1627</v>
      </c>
      <c r="C10" s="443"/>
      <c r="D10" s="444"/>
    </row>
    <row r="11" spans="1:9" ht="18" customHeight="1" thickBot="1" x14ac:dyDescent="0.3">
      <c r="A11" s="94" t="s">
        <v>462</v>
      </c>
      <c r="B11" s="442" t="s">
        <v>1657</v>
      </c>
      <c r="C11" s="443"/>
      <c r="D11" s="444"/>
      <c r="E11" s="76"/>
    </row>
    <row r="12" spans="1:9" ht="18" customHeight="1" x14ac:dyDescent="0.25">
      <c r="A12" s="94"/>
      <c r="B12" s="436" t="s">
        <v>1630</v>
      </c>
      <c r="C12" s="437"/>
      <c r="D12" s="438"/>
      <c r="E12" s="76"/>
    </row>
    <row r="13" spans="1:9" ht="18" customHeight="1" thickBot="1" x14ac:dyDescent="0.3">
      <c r="A13" s="95"/>
      <c r="B13" s="439"/>
      <c r="C13" s="440"/>
      <c r="D13" s="441"/>
      <c r="E13" s="76"/>
    </row>
    <row r="14" spans="1:9" ht="18" customHeight="1" thickBot="1" x14ac:dyDescent="0.3">
      <c r="A14" s="96" t="s">
        <v>463</v>
      </c>
      <c r="B14" s="442">
        <v>5146555430</v>
      </c>
      <c r="C14" s="443"/>
      <c r="D14" s="444"/>
    </row>
    <row r="15" spans="1:9" ht="18" customHeight="1" thickBot="1" x14ac:dyDescent="0.3">
      <c r="A15" s="97" t="s">
        <v>464</v>
      </c>
      <c r="B15" s="442"/>
      <c r="C15" s="443"/>
      <c r="D15" s="444"/>
    </row>
    <row r="16" spans="1:9" ht="18" customHeight="1" thickBot="1" x14ac:dyDescent="0.3">
      <c r="A16" s="86" t="s">
        <v>465</v>
      </c>
      <c r="B16" s="695" t="s">
        <v>1628</v>
      </c>
      <c r="C16" s="443"/>
      <c r="D16" s="444"/>
    </row>
    <row r="17" spans="1:6" ht="18" hidden="1" customHeight="1" thickBot="1" x14ac:dyDescent="0.3">
      <c r="A17" s="98" t="s">
        <v>560</v>
      </c>
      <c r="B17" s="451"/>
      <c r="C17" s="452"/>
      <c r="D17" s="453"/>
    </row>
    <row r="18" spans="1:6" ht="14.1" customHeight="1" thickBot="1" x14ac:dyDescent="0.3">
      <c r="A18" s="99" t="s">
        <v>1644</v>
      </c>
      <c r="B18" s="448" t="s">
        <v>478</v>
      </c>
      <c r="C18" s="449"/>
      <c r="D18" s="450"/>
    </row>
    <row r="19" spans="1:6" ht="18" customHeight="1" thickBot="1" x14ac:dyDescent="0.3">
      <c r="A19" s="100" t="s">
        <v>489</v>
      </c>
      <c r="B19" s="442"/>
      <c r="C19" s="443"/>
      <c r="D19" s="444"/>
    </row>
    <row r="20" spans="1:6" ht="18" customHeight="1" thickBot="1" x14ac:dyDescent="0.3">
      <c r="A20" s="100" t="s">
        <v>502</v>
      </c>
      <c r="B20" s="442"/>
      <c r="C20" s="443"/>
      <c r="D20" s="444"/>
    </row>
    <row r="21" spans="1:6" ht="18" customHeight="1" thickBot="1" x14ac:dyDescent="0.3">
      <c r="A21" s="101" t="s">
        <v>477</v>
      </c>
      <c r="B21" s="442" t="s">
        <v>393</v>
      </c>
      <c r="C21" s="443"/>
      <c r="D21" s="444"/>
    </row>
    <row r="22" spans="1:6" ht="14.25" customHeight="1" thickBot="1" x14ac:dyDescent="0.3">
      <c r="A22" s="102" t="s">
        <v>488</v>
      </c>
      <c r="B22" s="445" t="s">
        <v>1631</v>
      </c>
      <c r="C22" s="446"/>
      <c r="D22" s="447"/>
    </row>
    <row r="23" spans="1:6" ht="19.350000000000001" customHeight="1" thickBot="1" x14ac:dyDescent="0.3">
      <c r="A23" s="18" t="s">
        <v>535</v>
      </c>
      <c r="B23" s="465">
        <v>45581</v>
      </c>
      <c r="C23" s="466"/>
      <c r="D23" s="467"/>
      <c r="E23" s="19"/>
    </row>
    <row r="24" spans="1:6" ht="14.1" customHeight="1" thickBot="1" x14ac:dyDescent="0.3">
      <c r="A24" s="103" t="s">
        <v>536</v>
      </c>
      <c r="B24" s="469" t="s">
        <v>1633</v>
      </c>
      <c r="C24" s="443"/>
      <c r="D24" s="444"/>
      <c r="E24" s="19"/>
      <c r="F24" s="19"/>
    </row>
    <row r="25" spans="1:6" ht="50.25" customHeight="1" thickBot="1" x14ac:dyDescent="0.3">
      <c r="A25" s="104" t="s">
        <v>1645</v>
      </c>
      <c r="B25" s="445" t="s">
        <v>1632</v>
      </c>
      <c r="C25" s="446"/>
      <c r="D25" s="447"/>
    </row>
    <row r="26" spans="1:6" ht="50.1" customHeight="1" thickBot="1" x14ac:dyDescent="0.3">
      <c r="A26" s="120" t="s">
        <v>480</v>
      </c>
      <c r="B26" s="470"/>
      <c r="C26" s="471"/>
      <c r="D26" s="472"/>
    </row>
    <row r="27" spans="1:6" ht="17.25" customHeight="1" thickBot="1" x14ac:dyDescent="0.3">
      <c r="A27" s="105" t="s">
        <v>1646</v>
      </c>
      <c r="B27" s="442" t="s">
        <v>1707</v>
      </c>
      <c r="C27" s="443"/>
      <c r="D27" s="444"/>
    </row>
    <row r="28" spans="1:6" ht="5.25" customHeight="1" thickBot="1" x14ac:dyDescent="0.3">
      <c r="A28" s="106"/>
      <c r="B28" s="484"/>
      <c r="C28" s="485"/>
      <c r="D28" s="485"/>
    </row>
    <row r="29" spans="1:6" x14ac:dyDescent="0.25">
      <c r="A29" s="107" t="s">
        <v>157</v>
      </c>
      <c r="B29" s="473"/>
      <c r="C29" s="474"/>
      <c r="D29" s="475"/>
    </row>
    <row r="30" spans="1:6" ht="13.8" thickBot="1" x14ac:dyDescent="0.3">
      <c r="A30" s="108" t="s">
        <v>158</v>
      </c>
      <c r="B30" s="481" t="s">
        <v>159</v>
      </c>
      <c r="C30" s="482"/>
      <c r="D30" s="483"/>
    </row>
    <row r="31" spans="1:6" ht="13.8" thickBot="1" x14ac:dyDescent="0.3">
      <c r="A31" s="102" t="s">
        <v>537</v>
      </c>
      <c r="B31" s="488" t="s">
        <v>1629</v>
      </c>
      <c r="C31" s="476"/>
      <c r="D31" s="477"/>
    </row>
    <row r="32" spans="1:6" ht="13.8" thickBot="1" x14ac:dyDescent="0.3">
      <c r="A32" s="110"/>
      <c r="B32" s="696" t="s">
        <v>1634</v>
      </c>
      <c r="C32" s="476"/>
      <c r="D32" s="477"/>
    </row>
    <row r="33" spans="1:5" ht="13.8" thickBot="1" x14ac:dyDescent="0.3">
      <c r="A33" s="478" t="s">
        <v>468</v>
      </c>
      <c r="B33" s="479"/>
      <c r="C33" s="479"/>
      <c r="D33" s="480"/>
    </row>
    <row r="34" spans="1:5" s="28" customFormat="1" x14ac:dyDescent="0.25">
      <c r="A34" s="109" t="s">
        <v>114</v>
      </c>
      <c r="B34" s="111" t="s">
        <v>341</v>
      </c>
      <c r="C34" s="486" t="s">
        <v>483</v>
      </c>
      <c r="D34" s="487"/>
      <c r="E34" s="28" t="str">
        <f>A34</f>
        <v>CMDU#044</v>
      </c>
    </row>
    <row r="35" spans="1:5" s="28" customFormat="1" ht="13.5" customHeight="1" x14ac:dyDescent="0.25">
      <c r="A35" s="112" t="s">
        <v>114</v>
      </c>
      <c r="B35" s="112" t="s">
        <v>484</v>
      </c>
      <c r="C35" s="454" t="s">
        <v>518</v>
      </c>
      <c r="D35" s="455"/>
      <c r="E35" s="28" t="str">
        <f t="shared" ref="E35:E57" si="0">A35</f>
        <v>CMDU#044</v>
      </c>
    </row>
    <row r="36" spans="1:5" s="28" customFormat="1" x14ac:dyDescent="0.25">
      <c r="A36" s="113" t="s">
        <v>174</v>
      </c>
      <c r="B36" s="112" t="s">
        <v>473</v>
      </c>
      <c r="C36" s="454" t="s">
        <v>474</v>
      </c>
      <c r="D36" s="455"/>
      <c r="E36" s="28" t="str">
        <f t="shared" si="0"/>
        <v>CMDU#043 B1</v>
      </c>
    </row>
    <row r="37" spans="1:5" s="28" customFormat="1" x14ac:dyDescent="0.25">
      <c r="A37" s="113" t="s">
        <v>175</v>
      </c>
      <c r="B37" s="112" t="s">
        <v>475</v>
      </c>
      <c r="C37" s="454" t="s">
        <v>510</v>
      </c>
      <c r="D37" s="455"/>
      <c r="E37" s="28" t="str">
        <f t="shared" si="0"/>
        <v>CMDU#043 B2</v>
      </c>
    </row>
    <row r="38" spans="1:5" s="28" customFormat="1" x14ac:dyDescent="0.25">
      <c r="A38" s="113" t="s">
        <v>115</v>
      </c>
      <c r="B38" s="112" t="s">
        <v>487</v>
      </c>
      <c r="C38" s="454" t="s">
        <v>522</v>
      </c>
      <c r="D38" s="455"/>
      <c r="E38" s="28" t="str">
        <f t="shared" si="0"/>
        <v>CMDU#028</v>
      </c>
    </row>
    <row r="39" spans="1:5" s="28" customFormat="1" x14ac:dyDescent="0.25">
      <c r="A39" s="113" t="s">
        <v>115</v>
      </c>
      <c r="B39" s="112" t="s">
        <v>486</v>
      </c>
      <c r="C39" s="454" t="s">
        <v>523</v>
      </c>
      <c r="D39" s="455"/>
      <c r="E39" s="28" t="str">
        <f t="shared" si="0"/>
        <v>CMDU#028</v>
      </c>
    </row>
    <row r="40" spans="1:5" s="28" customFormat="1" x14ac:dyDescent="0.25">
      <c r="A40" s="113" t="s">
        <v>115</v>
      </c>
      <c r="B40" s="112" t="s">
        <v>524</v>
      </c>
      <c r="C40" s="454" t="s">
        <v>525</v>
      </c>
      <c r="D40" s="455"/>
      <c r="E40" s="28" t="str">
        <f t="shared" si="0"/>
        <v>CMDU#028</v>
      </c>
    </row>
    <row r="41" spans="1:5" s="28" customFormat="1" x14ac:dyDescent="0.25">
      <c r="A41" s="113" t="s">
        <v>115</v>
      </c>
      <c r="B41" s="112" t="s">
        <v>342</v>
      </c>
      <c r="C41" s="489" t="s">
        <v>343</v>
      </c>
      <c r="D41" s="490"/>
      <c r="E41" s="28" t="str">
        <f>A41</f>
        <v>CMDU#028</v>
      </c>
    </row>
    <row r="42" spans="1:5" s="28" customFormat="1" x14ac:dyDescent="0.25">
      <c r="A42" s="113" t="s">
        <v>176</v>
      </c>
      <c r="B42" s="112" t="s">
        <v>504</v>
      </c>
      <c r="C42" s="454" t="s">
        <v>511</v>
      </c>
      <c r="D42" s="455"/>
      <c r="E42" s="28" t="str">
        <f t="shared" si="0"/>
        <v>CMDU#029 D1</v>
      </c>
    </row>
    <row r="43" spans="1:5" s="28" customFormat="1" x14ac:dyDescent="0.25">
      <c r="A43" s="113" t="s">
        <v>177</v>
      </c>
      <c r="B43" s="112" t="s">
        <v>505</v>
      </c>
      <c r="C43" s="454" t="s">
        <v>512</v>
      </c>
      <c r="D43" s="455"/>
      <c r="E43" s="28" t="str">
        <f t="shared" si="0"/>
        <v>CMDU#029 D2</v>
      </c>
    </row>
    <row r="44" spans="1:5" s="28" customFormat="1" x14ac:dyDescent="0.25">
      <c r="A44" s="113" t="s">
        <v>1338</v>
      </c>
      <c r="B44" s="112" t="s">
        <v>1336</v>
      </c>
      <c r="C44" s="454" t="s">
        <v>1337</v>
      </c>
      <c r="D44" s="455"/>
      <c r="E44" s="28" t="str">
        <f>A44</f>
        <v>CMDU#029 D4</v>
      </c>
    </row>
    <row r="45" spans="1:5" s="28" customFormat="1" x14ac:dyDescent="0.25">
      <c r="A45" s="113" t="s">
        <v>797</v>
      </c>
      <c r="B45" s="112" t="s">
        <v>799</v>
      </c>
      <c r="C45" s="113" t="s">
        <v>798</v>
      </c>
      <c r="D45" s="114"/>
    </row>
    <row r="46" spans="1:5" s="28" customFormat="1" x14ac:dyDescent="0.25">
      <c r="A46" s="113" t="s">
        <v>115</v>
      </c>
      <c r="B46" s="112" t="s">
        <v>529</v>
      </c>
      <c r="C46" s="454" t="s">
        <v>533</v>
      </c>
      <c r="D46" s="455"/>
      <c r="E46" s="28" t="str">
        <f t="shared" si="0"/>
        <v>CMDU#028</v>
      </c>
    </row>
    <row r="47" spans="1:5" s="28" customFormat="1" x14ac:dyDescent="0.25">
      <c r="A47" s="113" t="s">
        <v>115</v>
      </c>
      <c r="B47" s="112" t="s">
        <v>315</v>
      </c>
      <c r="C47" s="113" t="s">
        <v>316</v>
      </c>
      <c r="D47" s="114"/>
      <c r="E47" s="28" t="str">
        <f t="shared" si="0"/>
        <v>CMDU#028</v>
      </c>
    </row>
    <row r="48" spans="1:5" s="28" customFormat="1" x14ac:dyDescent="0.25">
      <c r="A48" s="113" t="s">
        <v>178</v>
      </c>
      <c r="B48" s="112" t="s">
        <v>508</v>
      </c>
      <c r="C48" s="454" t="s">
        <v>506</v>
      </c>
      <c r="D48" s="455"/>
      <c r="E48" s="28" t="str">
        <f t="shared" si="0"/>
        <v>CMDU#029 F1</v>
      </c>
    </row>
    <row r="49" spans="1:5" s="28" customFormat="1" x14ac:dyDescent="0.25">
      <c r="A49" s="113" t="s">
        <v>179</v>
      </c>
      <c r="B49" s="112" t="s">
        <v>509</v>
      </c>
      <c r="C49" s="454" t="s">
        <v>507</v>
      </c>
      <c r="D49" s="455"/>
      <c r="E49" s="28" t="str">
        <f t="shared" si="0"/>
        <v>CMDU#029 F2</v>
      </c>
    </row>
    <row r="50" spans="1:5" s="28" customFormat="1" x14ac:dyDescent="0.25">
      <c r="A50" s="113" t="s">
        <v>432</v>
      </c>
      <c r="B50" s="112" t="s">
        <v>185</v>
      </c>
      <c r="C50" s="454" t="s">
        <v>184</v>
      </c>
      <c r="D50" s="455"/>
      <c r="E50" s="28" t="str">
        <f>A50</f>
        <v>CMDU#029 F3</v>
      </c>
    </row>
    <row r="51" spans="1:5" s="28" customFormat="1" x14ac:dyDescent="0.25">
      <c r="A51" s="113" t="s">
        <v>528</v>
      </c>
      <c r="B51" s="112" t="s">
        <v>485</v>
      </c>
      <c r="C51" s="454" t="s">
        <v>530</v>
      </c>
      <c r="D51" s="455"/>
      <c r="E51" s="28" t="str">
        <f t="shared" si="0"/>
        <v>CMDU#091</v>
      </c>
    </row>
    <row r="52" spans="1:5" s="28" customFormat="1" x14ac:dyDescent="0.25">
      <c r="A52" s="113" t="s">
        <v>180</v>
      </c>
      <c r="B52" s="112" t="s">
        <v>514</v>
      </c>
      <c r="C52" s="454" t="s">
        <v>519</v>
      </c>
      <c r="D52" s="455"/>
      <c r="E52" s="28" t="str">
        <f t="shared" si="0"/>
        <v>CMDU#090 H1</v>
      </c>
    </row>
    <row r="53" spans="1:5" s="28" customFormat="1" x14ac:dyDescent="0.25">
      <c r="A53" s="113" t="s">
        <v>181</v>
      </c>
      <c r="B53" s="112" t="s">
        <v>515</v>
      </c>
      <c r="C53" s="454" t="s">
        <v>520</v>
      </c>
      <c r="D53" s="455"/>
      <c r="E53" s="28" t="str">
        <f t="shared" si="0"/>
        <v>CMDU#090 H2</v>
      </c>
    </row>
    <row r="54" spans="1:5" s="28" customFormat="1" x14ac:dyDescent="0.25">
      <c r="A54" s="113" t="s">
        <v>114</v>
      </c>
      <c r="B54" s="112" t="s">
        <v>470</v>
      </c>
      <c r="C54" s="454" t="s">
        <v>521</v>
      </c>
      <c r="D54" s="455"/>
      <c r="E54" s="28" t="str">
        <f t="shared" si="0"/>
        <v>CMDU#044</v>
      </c>
    </row>
    <row r="55" spans="1:5" s="28" customFormat="1" x14ac:dyDescent="0.25">
      <c r="A55" s="113" t="s">
        <v>116</v>
      </c>
      <c r="B55" s="112" t="s">
        <v>471</v>
      </c>
      <c r="C55" s="454" t="s">
        <v>526</v>
      </c>
      <c r="D55" s="455"/>
      <c r="E55" s="28" t="str">
        <f t="shared" si="0"/>
        <v>CMDU#101</v>
      </c>
    </row>
    <row r="56" spans="1:5" s="117" customFormat="1" ht="25.5" customHeight="1" x14ac:dyDescent="0.25">
      <c r="A56" s="115" t="s">
        <v>182</v>
      </c>
      <c r="B56" s="116" t="s">
        <v>503</v>
      </c>
      <c r="C56" s="495" t="s">
        <v>513</v>
      </c>
      <c r="D56" s="496"/>
      <c r="E56" s="28" t="str">
        <f t="shared" si="0"/>
        <v>CMDU#043 J1</v>
      </c>
    </row>
    <row r="57" spans="1:5" s="28" customFormat="1" x14ac:dyDescent="0.25">
      <c r="A57" s="113" t="s">
        <v>183</v>
      </c>
      <c r="B57" s="112" t="s">
        <v>527</v>
      </c>
      <c r="C57" s="493" t="s">
        <v>150</v>
      </c>
      <c r="D57" s="494"/>
      <c r="E57" s="28" t="str">
        <f t="shared" si="0"/>
        <v>CMDU#043 N1</v>
      </c>
    </row>
    <row r="58" spans="1:5" s="28" customFormat="1" x14ac:dyDescent="0.25">
      <c r="A58" s="113" t="s">
        <v>753</v>
      </c>
      <c r="B58" s="112" t="s">
        <v>751</v>
      </c>
      <c r="C58" s="493" t="s">
        <v>752</v>
      </c>
      <c r="D58" s="494"/>
    </row>
    <row r="59" spans="1:5" s="28" customFormat="1" x14ac:dyDescent="0.25">
      <c r="A59" s="113" t="s">
        <v>756</v>
      </c>
      <c r="B59" s="112" t="s">
        <v>754</v>
      </c>
      <c r="C59" s="493" t="s">
        <v>755</v>
      </c>
      <c r="D59" s="494"/>
    </row>
    <row r="60" spans="1:5" s="28" customFormat="1" x14ac:dyDescent="0.25">
      <c r="A60" s="113" t="s">
        <v>758</v>
      </c>
      <c r="B60" s="112" t="s">
        <v>757</v>
      </c>
      <c r="C60" s="493" t="s">
        <v>759</v>
      </c>
      <c r="D60" s="494"/>
    </row>
    <row r="61" spans="1:5" x14ac:dyDescent="0.25">
      <c r="A61" s="113" t="s">
        <v>761</v>
      </c>
      <c r="B61" s="112" t="s">
        <v>760</v>
      </c>
      <c r="C61" s="493" t="s">
        <v>762</v>
      </c>
      <c r="D61" s="494"/>
    </row>
    <row r="62" spans="1:5" ht="13.8" thickBot="1" x14ac:dyDescent="0.3">
      <c r="A62" s="118"/>
      <c r="B62" s="119" t="s">
        <v>476</v>
      </c>
      <c r="C62" s="491" t="s">
        <v>476</v>
      </c>
      <c r="D62" s="492"/>
    </row>
    <row r="63" spans="1:5" x14ac:dyDescent="0.25">
      <c r="A63" s="28"/>
      <c r="B63" s="28"/>
      <c r="C63" s="28"/>
      <c r="D63" s="28"/>
    </row>
  </sheetData>
  <sheetProtection algorithmName="SHA-512" hashValue="xEVSTS7YWoZrtFKYvCkhipvaj2UH1Q9DVJG30pdURuUamVqCgkkEXvOzYGxiFtt0fip7XV0f9RSZLv4oeF90cw==" saltValue="EcqTw5fjJ8lC50TeK2C+eQ==" spinCount="100000" sheet="1" objects="1" scenarios="1" formatCells="0" formatColumns="0" formatRows="0" insertColumns="0" insertRows="0" deleteColumns="0" deleteRows="0" sort="0" autoFilter="0"/>
  <mergeCells count="59">
    <mergeCell ref="C62:D62"/>
    <mergeCell ref="C57:D57"/>
    <mergeCell ref="C54:D54"/>
    <mergeCell ref="C55:D55"/>
    <mergeCell ref="C58:D58"/>
    <mergeCell ref="C59:D59"/>
    <mergeCell ref="C56:D56"/>
    <mergeCell ref="C60:D60"/>
    <mergeCell ref="C61:D61"/>
    <mergeCell ref="C39:D39"/>
    <mergeCell ref="C52:D52"/>
    <mergeCell ref="C50:D50"/>
    <mergeCell ref="C51:D51"/>
    <mergeCell ref="C41:D41"/>
    <mergeCell ref="C49:D49"/>
    <mergeCell ref="C48:D48"/>
    <mergeCell ref="C42:D42"/>
    <mergeCell ref="C44:D44"/>
    <mergeCell ref="C53:D53"/>
    <mergeCell ref="C43:D43"/>
    <mergeCell ref="C46:D46"/>
    <mergeCell ref="B24:D24"/>
    <mergeCell ref="B25:D25"/>
    <mergeCell ref="B27:D27"/>
    <mergeCell ref="B26:D26"/>
    <mergeCell ref="C40:D40"/>
    <mergeCell ref="B29:D29"/>
    <mergeCell ref="B32:D32"/>
    <mergeCell ref="A33:D33"/>
    <mergeCell ref="C38:D38"/>
    <mergeCell ref="B30:D30"/>
    <mergeCell ref="B28:D28"/>
    <mergeCell ref="C34:D34"/>
    <mergeCell ref="B31:D31"/>
    <mergeCell ref="C35:D35"/>
    <mergeCell ref="C37:D37"/>
    <mergeCell ref="C36:D36"/>
    <mergeCell ref="B1:D1"/>
    <mergeCell ref="B2:D2"/>
    <mergeCell ref="B3:D3"/>
    <mergeCell ref="C4:D4"/>
    <mergeCell ref="B8:D8"/>
    <mergeCell ref="B5:D5"/>
    <mergeCell ref="B6:D6"/>
    <mergeCell ref="B23:D23"/>
    <mergeCell ref="B9:D9"/>
    <mergeCell ref="B20:D20"/>
    <mergeCell ref="B19:D19"/>
    <mergeCell ref="B7:D7"/>
    <mergeCell ref="B10:D10"/>
    <mergeCell ref="B12:D13"/>
    <mergeCell ref="B11:D11"/>
    <mergeCell ref="B22:D22"/>
    <mergeCell ref="B14:D14"/>
    <mergeCell ref="B15:D15"/>
    <mergeCell ref="B16:D16"/>
    <mergeCell ref="B18:D18"/>
    <mergeCell ref="B17:D17"/>
    <mergeCell ref="B21:D21"/>
  </mergeCells>
  <phoneticPr fontId="0" type="noConversion"/>
  <dataValidations count="4">
    <dataValidation type="whole" allowBlank="1" showInputMessage="1" showErrorMessage="1" sqref="B2:D2" xr:uid="{00000000-0002-0000-0100-000000000000}">
      <formula1>0</formula1>
      <formula2>9999999</formula2>
    </dataValidation>
    <dataValidation type="date" allowBlank="1" showInputMessage="1" showErrorMessage="1" sqref="B5:D5" xr:uid="{00000000-0002-0000-0100-000001000000}">
      <formula1>10100</formula1>
      <formula2>401768</formula2>
    </dataValidation>
    <dataValidation type="date" allowBlank="1" showInputMessage="1" showErrorMessage="1" sqref="B6:D6" xr:uid="{81932A48-3BD5-49F6-9C97-290FB596E260}">
      <formula1>36526</formula1>
      <formula2>401768</formula2>
    </dataValidation>
    <dataValidation type="date" allowBlank="1" showInputMessage="1" showErrorMessage="1" sqref="B23:D23" xr:uid="{00000000-0002-0000-0100-000003000000}">
      <formula1>32874</formula1>
      <formula2>401768</formula2>
    </dataValidation>
  </dataValidations>
  <hyperlinks>
    <hyperlink ref="B16" r:id="rId1" xr:uid="{ED568A80-EB08-4AEF-A07C-DACF0AFA7528}"/>
    <hyperlink ref="B32" r:id="rId2" xr:uid="{E6473218-BFD7-4807-A450-C9CA26284F05}"/>
  </hyperlinks>
  <printOptions horizontalCentered="1" verticalCentered="1"/>
  <pageMargins left="0.25" right="0.25" top="0.25" bottom="0.25" header="0.23622047244094491" footer="0.23622047244094491"/>
  <pageSetup scale="67" fitToHeight="3" orientation="portrait"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1"/>
  <dimension ref="A1:E9"/>
  <sheetViews>
    <sheetView zoomScaleNormal="100" workbookViewId="0"/>
  </sheetViews>
  <sheetFormatPr defaultColWidth="11.44140625" defaultRowHeight="13.2" x14ac:dyDescent="0.25"/>
  <cols>
    <col min="1" max="1" width="11.44140625" style="121"/>
    <col min="2" max="2" width="7.5546875" style="121" bestFit="1" customWidth="1"/>
    <col min="3" max="3" width="12.88671875" style="121" bestFit="1" customWidth="1"/>
    <col min="4" max="4" width="6.109375" style="121" customWidth="1"/>
    <col min="5" max="5" width="10.109375" style="121" bestFit="1" customWidth="1"/>
    <col min="6" max="16384" width="11.44140625" style="121"/>
  </cols>
  <sheetData>
    <row r="1" spans="1:5" ht="13.8" thickBot="1" x14ac:dyDescent="0.3">
      <c r="A1" s="3"/>
    </row>
    <row r="2" spans="1:5" ht="13.8" thickBot="1" x14ac:dyDescent="0.3">
      <c r="B2" s="122" t="s">
        <v>538</v>
      </c>
      <c r="C2" s="123" t="s">
        <v>469</v>
      </c>
      <c r="D2" s="124"/>
      <c r="E2" s="125" t="s">
        <v>539</v>
      </c>
    </row>
    <row r="3" spans="1:5" x14ac:dyDescent="0.25">
      <c r="C3" s="402" t="s">
        <v>4</v>
      </c>
      <c r="D3" s="403"/>
      <c r="E3" s="407">
        <v>150</v>
      </c>
    </row>
    <row r="4" spans="1:5" x14ac:dyDescent="0.25">
      <c r="C4" s="404"/>
      <c r="D4" s="405"/>
      <c r="E4" s="406"/>
    </row>
    <row r="5" spans="1:5" x14ac:dyDescent="0.25">
      <c r="C5" s="65"/>
      <c r="D5" s="126"/>
      <c r="E5" s="63"/>
    </row>
    <row r="6" spans="1:5" ht="13.8" thickBot="1" x14ac:dyDescent="0.3">
      <c r="C6" s="127"/>
      <c r="D6" s="128"/>
      <c r="E6" s="129"/>
    </row>
    <row r="7" spans="1:5" ht="13.8" thickBot="1" x14ac:dyDescent="0.3"/>
    <row r="8" spans="1:5" ht="13.8" thickBot="1" x14ac:dyDescent="0.3">
      <c r="C8" s="130" t="s">
        <v>540</v>
      </c>
      <c r="D8" s="131"/>
      <c r="E8" s="132">
        <f>SUM(E3:E6)</f>
        <v>150</v>
      </c>
    </row>
    <row r="9" spans="1:5" x14ac:dyDescent="0.25">
      <c r="A9" s="3">
        <v>41</v>
      </c>
    </row>
  </sheetData>
  <sheetProtection formatCells="0" formatColumns="0" formatRows="0" insertColumns="0" insertRows="0" deleteColumns="0" deleteRows="0" sort="0" autoFilter="0"/>
  <phoneticPr fontId="3" type="noConversion"/>
  <dataValidations count="1">
    <dataValidation type="list" showInputMessage="1" showErrorMessage="1" sqref="D3:D6" xr:uid="{00000000-0002-0000-0200-000000000000}">
      <formula1>MQCType</formula1>
    </dataValidation>
  </dataValidations>
  <pageMargins left="0.75" right="0.75" top="1" bottom="1" header="0.4921259845" footer="0.492125984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FF0000"/>
    <pageSetUpPr fitToPage="1"/>
  </sheetPr>
  <dimension ref="A1:BB1316"/>
  <sheetViews>
    <sheetView showGridLines="0" zoomScaleNormal="100" zoomScaleSheetLayoutView="75" workbookViewId="0">
      <selection sqref="A1:B1"/>
    </sheetView>
  </sheetViews>
  <sheetFormatPr defaultColWidth="9.109375" defaultRowHeight="13.2" x14ac:dyDescent="0.25"/>
  <cols>
    <col min="1" max="1" width="35.88671875" style="20" customWidth="1"/>
    <col min="2" max="2" width="18.5546875" style="20" customWidth="1"/>
    <col min="3" max="3" width="18.109375" style="20" customWidth="1"/>
    <col min="4" max="4" width="17.44140625" style="20" customWidth="1"/>
    <col min="5" max="5" width="19.109375" style="20" customWidth="1"/>
    <col min="6" max="6" width="12.109375" style="199" customWidth="1"/>
    <col min="7" max="8" width="17.44140625" style="199" customWidth="1"/>
    <col min="9" max="9" width="17.88671875" style="199" customWidth="1"/>
    <col min="10" max="10" width="17.88671875" style="20" customWidth="1"/>
    <col min="11" max="11" width="16.5546875" style="20" customWidth="1"/>
    <col min="12" max="12" width="18.5546875" style="20" customWidth="1"/>
    <col min="13" max="13" width="17.109375" style="20" customWidth="1"/>
    <col min="14" max="14" width="17.88671875" style="20" customWidth="1"/>
    <col min="15" max="16" width="16.5546875" style="20" customWidth="1"/>
    <col min="17" max="17" width="17.5546875" style="20" customWidth="1"/>
    <col min="18" max="18" width="15.88671875" style="20" customWidth="1"/>
    <col min="19" max="19" width="16.88671875" style="20" customWidth="1"/>
    <col min="20" max="20" width="16.5546875" style="20" customWidth="1"/>
    <col min="21" max="21" width="16.88671875" style="20" customWidth="1"/>
    <col min="22" max="22" width="17.5546875" style="20" customWidth="1"/>
    <col min="23" max="23" width="18" style="20" customWidth="1"/>
    <col min="24" max="25" width="18.44140625" style="20" bestFit="1" customWidth="1"/>
    <col min="26" max="26" width="9.88671875" style="20" customWidth="1"/>
    <col min="27" max="27" width="14.109375" style="20" customWidth="1"/>
    <col min="28" max="28" width="9.88671875" style="20" customWidth="1"/>
    <col min="29" max="29" width="14.109375" style="20" customWidth="1"/>
    <col min="30" max="16384" width="9.109375" style="20"/>
  </cols>
  <sheetData>
    <row r="1" spans="1:54" x14ac:dyDescent="0.25">
      <c r="A1" s="547" t="s">
        <v>455</v>
      </c>
      <c r="B1" s="548"/>
      <c r="C1" s="549" t="str">
        <f>Cover!B1</f>
        <v>25-3117</v>
      </c>
      <c r="D1" s="550"/>
      <c r="E1" s="550"/>
      <c r="F1" s="551"/>
      <c r="G1" s="135"/>
      <c r="H1" s="20"/>
      <c r="I1" s="20"/>
    </row>
    <row r="2" spans="1:54" x14ac:dyDescent="0.25">
      <c r="A2" s="552" t="s">
        <v>1024</v>
      </c>
      <c r="B2" s="553"/>
      <c r="C2" s="554"/>
      <c r="D2" s="418"/>
      <c r="E2" s="418"/>
      <c r="F2" s="555"/>
      <c r="G2" s="20"/>
      <c r="H2" s="20"/>
      <c r="I2" s="20"/>
    </row>
    <row r="3" spans="1:54" x14ac:dyDescent="0.25">
      <c r="A3" s="552" t="s">
        <v>466</v>
      </c>
      <c r="B3" s="553"/>
      <c r="C3" s="558">
        <f>Cover!B2</f>
        <v>58</v>
      </c>
      <c r="D3" s="559"/>
      <c r="E3" s="559"/>
      <c r="F3" s="560"/>
      <c r="G3" s="20"/>
      <c r="H3" s="20"/>
      <c r="I3" s="20"/>
    </row>
    <row r="4" spans="1:54" x14ac:dyDescent="0.25">
      <c r="A4" s="552" t="s">
        <v>1019</v>
      </c>
      <c r="B4" s="553"/>
      <c r="C4" s="561" t="str">
        <f>Cover!B7</f>
        <v>LOGISTIQUE PRIME FREIGHT INC</v>
      </c>
      <c r="D4" s="562"/>
      <c r="E4" s="562"/>
      <c r="F4" s="563"/>
      <c r="G4" s="20"/>
      <c r="H4" s="20"/>
      <c r="I4" s="20"/>
    </row>
    <row r="5" spans="1:54" x14ac:dyDescent="0.25">
      <c r="A5" s="552" t="s">
        <v>472</v>
      </c>
      <c r="B5" s="553"/>
      <c r="C5" s="554" t="s">
        <v>473</v>
      </c>
      <c r="D5" s="418"/>
      <c r="E5" s="418"/>
      <c r="F5" s="555"/>
      <c r="G5" s="20"/>
      <c r="H5" s="20"/>
      <c r="I5" s="20"/>
    </row>
    <row r="6" spans="1:54" ht="15.75" customHeight="1" x14ac:dyDescent="0.25">
      <c r="A6" s="552" t="s">
        <v>456</v>
      </c>
      <c r="B6" s="553"/>
      <c r="C6" s="554" t="s">
        <v>474</v>
      </c>
      <c r="D6" s="418"/>
      <c r="E6" s="418"/>
      <c r="F6" s="555"/>
      <c r="G6" s="20"/>
      <c r="H6" s="20"/>
      <c r="I6" s="20"/>
    </row>
    <row r="7" spans="1:54" ht="15.75" customHeight="1" x14ac:dyDescent="0.25">
      <c r="A7" s="552" t="s">
        <v>544</v>
      </c>
      <c r="B7" s="553"/>
      <c r="C7" s="554" t="s">
        <v>174</v>
      </c>
      <c r="D7" s="418"/>
      <c r="E7" s="418"/>
      <c r="F7" s="555"/>
      <c r="G7" s="20"/>
      <c r="H7" s="20"/>
      <c r="I7" s="20"/>
    </row>
    <row r="8" spans="1:54" ht="2.25" customHeight="1" thickBot="1" x14ac:dyDescent="0.3">
      <c r="A8" s="556"/>
      <c r="B8" s="557"/>
      <c r="C8" s="564"/>
      <c r="D8" s="565"/>
      <c r="E8" s="565"/>
      <c r="F8" s="566"/>
      <c r="G8" s="20"/>
      <c r="H8" s="20"/>
      <c r="I8" s="20"/>
    </row>
    <row r="9" spans="1:54" x14ac:dyDescent="0.25">
      <c r="A9" s="138">
        <v>41</v>
      </c>
      <c r="B9" s="138" t="s">
        <v>546</v>
      </c>
      <c r="D9" s="139"/>
      <c r="E9" s="139"/>
      <c r="F9" s="140"/>
      <c r="G9" s="20"/>
      <c r="H9" s="20"/>
      <c r="I9" s="20"/>
    </row>
    <row r="10" spans="1:54" ht="13.8" thickBot="1" x14ac:dyDescent="0.3">
      <c r="A10" s="141"/>
      <c r="D10" s="139"/>
      <c r="E10" s="139"/>
      <c r="F10" s="140"/>
      <c r="G10" s="142"/>
      <c r="H10" s="139"/>
      <c r="I10" s="139"/>
      <c r="J10" s="139"/>
    </row>
    <row r="11" spans="1:54" ht="13.8" thickBot="1" x14ac:dyDescent="0.3">
      <c r="A11" s="143" t="s">
        <v>545</v>
      </c>
      <c r="B11" s="144"/>
      <c r="D11" s="139"/>
      <c r="E11" s="139"/>
      <c r="F11" s="140"/>
      <c r="G11" s="142"/>
      <c r="H11" s="139"/>
      <c r="I11" s="139"/>
      <c r="J11" s="139"/>
    </row>
    <row r="12" spans="1:54" s="145" customFormat="1" ht="13.8" thickBot="1" x14ac:dyDescent="0.3">
      <c r="A12" s="567" t="s">
        <v>547</v>
      </c>
      <c r="B12" s="568"/>
      <c r="C12" s="568"/>
      <c r="D12" s="568"/>
      <c r="E12" s="568"/>
      <c r="F12" s="568"/>
      <c r="G12" s="568"/>
      <c r="H12" s="568"/>
      <c r="I12" s="568"/>
      <c r="J12" s="569"/>
    </row>
    <row r="13" spans="1:54" ht="17.25" customHeight="1" thickBot="1" x14ac:dyDescent="0.3">
      <c r="A13" s="146" t="s">
        <v>548</v>
      </c>
      <c r="B13" s="539" t="s">
        <v>549</v>
      </c>
      <c r="C13" s="539"/>
      <c r="D13" s="539"/>
      <c r="E13" s="539"/>
      <c r="F13" s="539"/>
      <c r="G13" s="539"/>
      <c r="H13" s="539"/>
      <c r="I13" s="539"/>
      <c r="J13" s="521" t="s">
        <v>553</v>
      </c>
      <c r="K13" s="522"/>
      <c r="L13" s="535" t="s">
        <v>554</v>
      </c>
      <c r="M13" s="536"/>
      <c r="N13" s="138" t="s">
        <v>4</v>
      </c>
    </row>
    <row r="14" spans="1:54" s="335" customFormat="1" x14ac:dyDescent="0.25">
      <c r="A14" s="388" t="s">
        <v>1344</v>
      </c>
      <c r="B14" s="531" t="s">
        <v>454</v>
      </c>
      <c r="C14" s="532"/>
      <c r="D14" s="532"/>
      <c r="E14" s="532"/>
      <c r="F14" s="532"/>
      <c r="G14" s="532"/>
      <c r="H14" s="532"/>
      <c r="I14" s="533"/>
      <c r="J14" s="525"/>
      <c r="K14" s="516"/>
      <c r="L14" s="525"/>
      <c r="M14" s="526"/>
      <c r="N14" s="356" t="str">
        <f t="shared" ref="N14:N16" si="0">IF($A14&gt;0,$A14,"")</f>
        <v>FAK PSW</v>
      </c>
    </row>
    <row r="15" spans="1:54" s="357" customFormat="1" x14ac:dyDescent="0.25">
      <c r="A15" s="389" t="s">
        <v>1345</v>
      </c>
      <c r="B15" s="527" t="s">
        <v>454</v>
      </c>
      <c r="C15" s="528"/>
      <c r="D15" s="528"/>
      <c r="E15" s="528"/>
      <c r="F15" s="528"/>
      <c r="G15" s="528"/>
      <c r="H15" s="528"/>
      <c r="I15" s="529"/>
      <c r="J15" s="524"/>
      <c r="K15" s="514"/>
      <c r="L15" s="524"/>
      <c r="M15" s="530"/>
      <c r="N15" s="356" t="str">
        <f t="shared" si="0"/>
        <v>FAK PNW</v>
      </c>
      <c r="O15" s="335"/>
      <c r="P15" s="335"/>
      <c r="Q15" s="335"/>
      <c r="R15" s="335"/>
      <c r="S15" s="335"/>
      <c r="T15" s="335"/>
      <c r="U15" s="335"/>
      <c r="V15" s="335"/>
      <c r="W15" s="335"/>
      <c r="X15" s="335"/>
      <c r="Y15" s="335"/>
      <c r="Z15" s="335"/>
      <c r="AA15" s="335"/>
      <c r="BB15" s="335"/>
    </row>
    <row r="16" spans="1:54" s="357" customFormat="1" x14ac:dyDescent="0.25">
      <c r="A16" s="389" t="s">
        <v>1346</v>
      </c>
      <c r="B16" s="527" t="s">
        <v>454</v>
      </c>
      <c r="C16" s="528"/>
      <c r="D16" s="528"/>
      <c r="E16" s="528"/>
      <c r="F16" s="528"/>
      <c r="G16" s="528"/>
      <c r="H16" s="528"/>
      <c r="I16" s="529"/>
      <c r="J16" s="524"/>
      <c r="K16" s="514"/>
      <c r="L16" s="524"/>
      <c r="M16" s="530"/>
      <c r="N16" s="356" t="str">
        <f t="shared" si="0"/>
        <v>FAK HAWAII</v>
      </c>
      <c r="O16" s="335"/>
      <c r="P16" s="335"/>
      <c r="Q16" s="335"/>
      <c r="R16" s="335"/>
      <c r="S16" s="335"/>
      <c r="T16" s="335"/>
      <c r="U16" s="335"/>
      <c r="V16" s="335"/>
      <c r="W16" s="335"/>
      <c r="X16" s="335"/>
      <c r="Y16" s="335"/>
      <c r="Z16" s="335"/>
      <c r="AA16" s="335"/>
      <c r="BB16" s="335"/>
    </row>
    <row r="17" spans="1:54" s="357" customFormat="1" x14ac:dyDescent="0.25">
      <c r="A17" s="358"/>
      <c r="B17" s="534"/>
      <c r="C17" s="534"/>
      <c r="D17" s="534"/>
      <c r="E17" s="534"/>
      <c r="F17" s="534"/>
      <c r="G17" s="534"/>
      <c r="H17" s="534"/>
      <c r="I17" s="534"/>
      <c r="J17" s="524"/>
      <c r="K17" s="514"/>
      <c r="L17" s="524"/>
      <c r="M17" s="530"/>
      <c r="N17" s="356" t="str">
        <f>IF($A17&gt;0,$A17,"")</f>
        <v/>
      </c>
      <c r="O17" s="335"/>
      <c r="P17" s="335"/>
      <c r="Q17" s="335"/>
      <c r="R17" s="335"/>
      <c r="S17" s="335"/>
      <c r="T17" s="335"/>
      <c r="U17" s="335"/>
      <c r="V17" s="335"/>
      <c r="W17" s="335"/>
      <c r="X17" s="335"/>
      <c r="Y17" s="335"/>
      <c r="Z17" s="335"/>
      <c r="AA17" s="335"/>
      <c r="BB17" s="335"/>
    </row>
    <row r="18" spans="1:54" s="357" customFormat="1" x14ac:dyDescent="0.25">
      <c r="A18" s="358"/>
      <c r="B18" s="534"/>
      <c r="C18" s="534"/>
      <c r="D18" s="534"/>
      <c r="E18" s="534"/>
      <c r="F18" s="534"/>
      <c r="G18" s="534"/>
      <c r="H18" s="534"/>
      <c r="I18" s="534"/>
      <c r="J18" s="524"/>
      <c r="K18" s="514"/>
      <c r="L18" s="524"/>
      <c r="M18" s="530"/>
      <c r="N18" s="356" t="str">
        <f>IF($A18&gt;0,$A18,"")</f>
        <v/>
      </c>
      <c r="O18" s="335"/>
      <c r="P18" s="335"/>
      <c r="Q18" s="335"/>
      <c r="R18" s="335"/>
      <c r="S18" s="335"/>
      <c r="T18" s="335"/>
      <c r="U18" s="335"/>
      <c r="V18" s="335"/>
      <c r="W18" s="335"/>
      <c r="X18" s="335"/>
      <c r="Y18" s="335"/>
      <c r="Z18" s="335"/>
      <c r="AA18" s="335"/>
      <c r="BB18" s="335"/>
    </row>
    <row r="19" spans="1:54" s="357" customFormat="1" ht="13.8" thickBot="1" x14ac:dyDescent="0.3">
      <c r="A19" s="359"/>
      <c r="B19" s="523"/>
      <c r="C19" s="523"/>
      <c r="D19" s="523"/>
      <c r="E19" s="523"/>
      <c r="F19" s="523"/>
      <c r="G19" s="523"/>
      <c r="H19" s="523"/>
      <c r="I19" s="523"/>
      <c r="J19" s="540"/>
      <c r="K19" s="519"/>
      <c r="L19" s="537"/>
      <c r="M19" s="538"/>
      <c r="N19" s="356" t="str">
        <f>IF($A19&gt;0,$A19,"")</f>
        <v/>
      </c>
      <c r="O19" s="335"/>
      <c r="P19" s="335"/>
      <c r="Q19" s="335"/>
      <c r="R19" s="335"/>
      <c r="S19" s="335"/>
      <c r="T19" s="335"/>
      <c r="U19" s="335"/>
      <c r="V19" s="335"/>
      <c r="W19" s="335"/>
      <c r="X19" s="335"/>
      <c r="Y19" s="335"/>
      <c r="Z19" s="335"/>
      <c r="AA19" s="335"/>
      <c r="BB19" s="335"/>
    </row>
    <row r="20" spans="1:54" s="151" customFormat="1" ht="13.8" thickBot="1" x14ac:dyDescent="0.3">
      <c r="A20" s="139"/>
      <c r="B20" s="20"/>
      <c r="C20" s="20"/>
      <c r="D20" s="139"/>
      <c r="E20" s="139"/>
      <c r="F20" s="140"/>
      <c r="G20" s="140"/>
      <c r="H20" s="360"/>
      <c r="I20" s="361"/>
      <c r="J20" s="361"/>
      <c r="K20" s="20"/>
      <c r="L20" s="20"/>
      <c r="M20" s="20"/>
      <c r="N20" s="356" t="str">
        <f>IF($A20&gt;0,$A20,"")</f>
        <v/>
      </c>
      <c r="O20" s="240"/>
      <c r="P20" s="240"/>
      <c r="Q20" s="240"/>
      <c r="R20" s="20"/>
      <c r="S20" s="20"/>
      <c r="T20" s="20"/>
      <c r="U20" s="20"/>
      <c r="V20" s="20"/>
      <c r="W20" s="20"/>
      <c r="X20" s="20"/>
      <c r="Y20" s="20"/>
      <c r="Z20" s="20"/>
      <c r="AA20" s="20"/>
      <c r="BB20" s="335"/>
    </row>
    <row r="21" spans="1:54" s="151" customFormat="1" ht="13.8" thickBot="1" x14ac:dyDescent="0.3">
      <c r="A21" s="143" t="s">
        <v>396</v>
      </c>
      <c r="B21" s="152"/>
      <c r="C21" s="20"/>
      <c r="D21" s="20"/>
      <c r="E21" s="20"/>
      <c r="F21" s="20"/>
      <c r="G21" s="20"/>
      <c r="H21" s="20"/>
      <c r="I21" s="304"/>
      <c r="J21" s="304"/>
      <c r="K21" s="240"/>
      <c r="L21" s="240"/>
      <c r="M21" s="240"/>
      <c r="N21" s="240"/>
      <c r="O21" s="240"/>
      <c r="P21" s="240"/>
      <c r="Q21" s="240"/>
      <c r="R21" s="20"/>
      <c r="S21" s="20"/>
      <c r="T21" s="20"/>
      <c r="U21" s="20"/>
      <c r="V21" s="20"/>
      <c r="W21" s="20"/>
      <c r="X21" s="20"/>
      <c r="Y21" s="20"/>
      <c r="Z21" s="20"/>
      <c r="AA21" s="20"/>
    </row>
    <row r="22" spans="1:54" s="151" customFormat="1" ht="13.8" thickBot="1" x14ac:dyDescent="0.3">
      <c r="A22" s="153" t="s">
        <v>396</v>
      </c>
      <c r="B22" s="512" t="s">
        <v>549</v>
      </c>
      <c r="C22" s="512"/>
      <c r="D22" s="512"/>
      <c r="E22" s="512"/>
      <c r="F22" s="512"/>
      <c r="G22" s="512"/>
      <c r="H22" s="513"/>
      <c r="I22" s="304"/>
      <c r="J22" s="304"/>
      <c r="K22" s="240"/>
      <c r="L22" s="240"/>
      <c r="M22" s="240"/>
      <c r="N22" s="240"/>
      <c r="O22" s="240"/>
      <c r="P22" s="240"/>
      <c r="Q22" s="240"/>
      <c r="R22" s="20"/>
      <c r="S22" s="20"/>
      <c r="T22" s="20"/>
      <c r="U22" s="20"/>
      <c r="V22" s="20"/>
      <c r="W22" s="20"/>
      <c r="X22" s="20"/>
      <c r="Y22" s="20"/>
      <c r="Z22" s="20"/>
      <c r="AA22" s="20"/>
    </row>
    <row r="23" spans="1:54" s="58" customFormat="1" x14ac:dyDescent="0.25">
      <c r="A23" s="697" t="s">
        <v>1347</v>
      </c>
      <c r="B23" s="698" t="s">
        <v>1348</v>
      </c>
      <c r="C23" s="516"/>
      <c r="D23" s="516"/>
      <c r="E23" s="516"/>
      <c r="F23" s="516"/>
      <c r="G23" s="516"/>
      <c r="H23" s="517"/>
      <c r="I23" s="354"/>
      <c r="J23" s="354"/>
      <c r="K23" s="305"/>
      <c r="L23" s="305"/>
      <c r="M23" s="305"/>
      <c r="N23" s="305"/>
      <c r="O23" s="305"/>
      <c r="P23" s="305"/>
      <c r="Q23" s="305"/>
      <c r="R23" s="64"/>
      <c r="S23" s="64"/>
      <c r="T23" s="64"/>
      <c r="U23" s="64"/>
      <c r="V23" s="64"/>
      <c r="W23" s="64"/>
      <c r="X23" s="64"/>
      <c r="Y23" s="64"/>
      <c r="Z23" s="64"/>
      <c r="AA23" s="64"/>
    </row>
    <row r="24" spans="1:54" s="58" customFormat="1" x14ac:dyDescent="0.25">
      <c r="A24" s="699" t="s">
        <v>1349</v>
      </c>
      <c r="B24" s="700" t="s">
        <v>1350</v>
      </c>
      <c r="C24" s="514"/>
      <c r="D24" s="514"/>
      <c r="E24" s="514"/>
      <c r="F24" s="514"/>
      <c r="G24" s="514"/>
      <c r="H24" s="515"/>
      <c r="I24" s="354"/>
      <c r="J24" s="354"/>
      <c r="K24" s="305"/>
      <c r="L24" s="305"/>
      <c r="M24" s="305"/>
      <c r="N24" s="305"/>
      <c r="O24" s="305"/>
      <c r="P24" s="305"/>
      <c r="Q24" s="305"/>
      <c r="R24" s="64"/>
      <c r="S24" s="64"/>
      <c r="T24" s="64"/>
      <c r="U24" s="64"/>
      <c r="V24" s="64"/>
      <c r="W24" s="64"/>
      <c r="X24" s="64"/>
      <c r="Y24" s="64"/>
      <c r="Z24" s="64"/>
      <c r="AA24" s="64"/>
    </row>
    <row r="25" spans="1:54" s="58" customFormat="1" x14ac:dyDescent="0.25">
      <c r="A25" s="699" t="s">
        <v>1114</v>
      </c>
      <c r="B25" s="700" t="s">
        <v>1351</v>
      </c>
      <c r="C25" s="514"/>
      <c r="D25" s="514"/>
      <c r="E25" s="514"/>
      <c r="F25" s="514"/>
      <c r="G25" s="514"/>
      <c r="H25" s="515"/>
      <c r="I25" s="354"/>
      <c r="J25" s="354"/>
      <c r="K25" s="305"/>
      <c r="L25" s="305"/>
      <c r="M25" s="305"/>
      <c r="N25" s="305"/>
      <c r="O25" s="305"/>
      <c r="P25" s="305"/>
      <c r="Q25" s="305"/>
      <c r="R25" s="64"/>
      <c r="S25" s="64"/>
      <c r="T25" s="64"/>
      <c r="U25" s="64"/>
      <c r="V25" s="64"/>
      <c r="W25" s="64"/>
      <c r="X25" s="64"/>
      <c r="Y25" s="64"/>
      <c r="Z25" s="64"/>
      <c r="AA25" s="64"/>
    </row>
    <row r="26" spans="1:54" s="58" customFormat="1" x14ac:dyDescent="0.25">
      <c r="A26" s="699" t="s">
        <v>1352</v>
      </c>
      <c r="B26" s="701" t="s">
        <v>1353</v>
      </c>
      <c r="C26" s="514"/>
      <c r="D26" s="514"/>
      <c r="E26" s="514"/>
      <c r="F26" s="514"/>
      <c r="G26" s="514"/>
      <c r="H26" s="515"/>
      <c r="I26" s="354"/>
      <c r="J26" s="354"/>
      <c r="K26" s="305"/>
      <c r="L26" s="305"/>
      <c r="M26" s="305"/>
      <c r="N26" s="305"/>
      <c r="O26" s="305"/>
      <c r="P26" s="305"/>
      <c r="Q26" s="305"/>
      <c r="R26" s="64"/>
      <c r="S26" s="64"/>
      <c r="T26" s="64"/>
      <c r="U26" s="64"/>
      <c r="V26" s="64"/>
      <c r="W26" s="64"/>
      <c r="X26" s="64"/>
      <c r="Y26" s="64"/>
      <c r="Z26" s="64"/>
      <c r="AA26" s="64"/>
    </row>
    <row r="27" spans="1:54" s="58" customFormat="1" x14ac:dyDescent="0.25">
      <c r="A27" s="699" t="s">
        <v>1354</v>
      </c>
      <c r="B27" s="700" t="s">
        <v>1355</v>
      </c>
      <c r="C27" s="514"/>
      <c r="D27" s="514"/>
      <c r="E27" s="514"/>
      <c r="F27" s="514"/>
      <c r="G27" s="514"/>
      <c r="H27" s="515"/>
      <c r="I27" s="354"/>
      <c r="J27" s="354"/>
      <c r="K27" s="305"/>
      <c r="L27" s="305"/>
      <c r="M27" s="305"/>
      <c r="N27" s="305"/>
      <c r="O27" s="305"/>
      <c r="P27" s="305"/>
      <c r="Q27" s="305"/>
      <c r="R27" s="64"/>
      <c r="S27" s="64"/>
      <c r="T27" s="64"/>
      <c r="U27" s="64"/>
      <c r="V27" s="64"/>
      <c r="W27" s="64"/>
      <c r="X27" s="64"/>
      <c r="Y27" s="64"/>
      <c r="Z27" s="64"/>
      <c r="AA27" s="64"/>
    </row>
    <row r="28" spans="1:54" s="58" customFormat="1" x14ac:dyDescent="0.25">
      <c r="A28" s="702" t="s">
        <v>1356</v>
      </c>
      <c r="B28" s="703" t="s">
        <v>1357</v>
      </c>
      <c r="C28" s="704"/>
      <c r="D28" s="704"/>
      <c r="E28" s="704"/>
      <c r="F28" s="704"/>
      <c r="G28" s="704"/>
      <c r="H28" s="705"/>
      <c r="I28" s="354"/>
      <c r="J28" s="354"/>
      <c r="K28" s="305"/>
      <c r="L28" s="305"/>
      <c r="M28" s="305"/>
      <c r="N28" s="305"/>
      <c r="O28" s="305"/>
      <c r="P28" s="305"/>
      <c r="Q28" s="305"/>
      <c r="R28" s="64"/>
      <c r="S28" s="64"/>
      <c r="T28" s="64"/>
      <c r="U28" s="64"/>
      <c r="V28" s="64"/>
      <c r="W28" s="64"/>
      <c r="X28" s="64"/>
      <c r="Y28" s="64"/>
      <c r="Z28" s="64"/>
      <c r="AA28" s="64"/>
    </row>
    <row r="29" spans="1:54" s="58" customFormat="1" x14ac:dyDescent="0.25">
      <c r="A29" s="702" t="s">
        <v>1358</v>
      </c>
      <c r="B29" s="700" t="s">
        <v>1359</v>
      </c>
      <c r="C29" s="700"/>
      <c r="D29" s="700"/>
      <c r="E29" s="700"/>
      <c r="F29" s="700"/>
      <c r="G29" s="700"/>
      <c r="H29" s="706"/>
      <c r="I29" s="354"/>
      <c r="J29" s="354"/>
      <c r="K29" s="305"/>
      <c r="L29" s="305"/>
      <c r="M29" s="305"/>
      <c r="N29" s="305"/>
      <c r="O29" s="305"/>
      <c r="P29" s="305"/>
      <c r="Q29" s="305"/>
      <c r="R29" s="64"/>
      <c r="S29" s="64"/>
      <c r="T29" s="64"/>
      <c r="U29" s="64"/>
      <c r="V29" s="64"/>
      <c r="W29" s="64"/>
      <c r="X29" s="64"/>
      <c r="Y29" s="64"/>
      <c r="Z29" s="64"/>
      <c r="AA29" s="64"/>
    </row>
    <row r="30" spans="1:54" s="58" customFormat="1" x14ac:dyDescent="0.25">
      <c r="A30" s="702" t="s">
        <v>1360</v>
      </c>
      <c r="B30" s="700" t="s">
        <v>1361</v>
      </c>
      <c r="C30" s="700"/>
      <c r="D30" s="700"/>
      <c r="E30" s="700"/>
      <c r="F30" s="700"/>
      <c r="G30" s="700"/>
      <c r="H30" s="706"/>
      <c r="I30" s="354"/>
      <c r="J30" s="354"/>
      <c r="K30" s="305"/>
      <c r="L30" s="305"/>
      <c r="M30" s="305"/>
      <c r="N30" s="305"/>
      <c r="O30" s="305"/>
      <c r="P30" s="305"/>
      <c r="Q30" s="305"/>
      <c r="R30" s="64"/>
      <c r="S30" s="64"/>
      <c r="T30" s="64"/>
      <c r="U30" s="64"/>
      <c r="V30" s="64"/>
      <c r="W30" s="64"/>
      <c r="X30" s="64"/>
      <c r="Y30" s="64"/>
      <c r="Z30" s="64"/>
      <c r="AA30" s="64"/>
    </row>
    <row r="31" spans="1:54" s="58" customFormat="1" x14ac:dyDescent="0.25">
      <c r="A31" s="702" t="s">
        <v>1362</v>
      </c>
      <c r="B31" s="700" t="s">
        <v>1363</v>
      </c>
      <c r="C31" s="700"/>
      <c r="D31" s="700"/>
      <c r="E31" s="700"/>
      <c r="F31" s="700"/>
      <c r="G31" s="700"/>
      <c r="H31" s="706"/>
      <c r="I31" s="354"/>
      <c r="J31" s="354"/>
      <c r="K31" s="305"/>
      <c r="L31" s="305"/>
      <c r="M31" s="305"/>
      <c r="N31" s="305"/>
      <c r="O31" s="305"/>
      <c r="P31" s="305"/>
      <c r="Q31" s="305"/>
      <c r="R31" s="64"/>
      <c r="S31" s="64"/>
      <c r="T31" s="64"/>
      <c r="U31" s="64"/>
      <c r="V31" s="64"/>
      <c r="W31" s="64"/>
      <c r="X31" s="64"/>
      <c r="Y31" s="64"/>
      <c r="Z31" s="64"/>
      <c r="AA31" s="64"/>
    </row>
    <row r="32" spans="1:54" s="58" customFormat="1" x14ac:dyDescent="0.25">
      <c r="A32" s="699" t="s">
        <v>1364</v>
      </c>
      <c r="B32" s="700" t="s">
        <v>1365</v>
      </c>
      <c r="C32" s="514"/>
      <c r="D32" s="514"/>
      <c r="E32" s="514"/>
      <c r="F32" s="514"/>
      <c r="G32" s="514"/>
      <c r="H32" s="515"/>
      <c r="I32" s="354"/>
      <c r="J32" s="354"/>
      <c r="K32" s="305"/>
      <c r="L32" s="305"/>
      <c r="M32" s="305"/>
      <c r="N32" s="305"/>
      <c r="O32" s="305"/>
      <c r="P32" s="305"/>
      <c r="Q32" s="305"/>
      <c r="R32" s="64"/>
      <c r="S32" s="64"/>
      <c r="T32" s="64"/>
      <c r="U32" s="64"/>
      <c r="V32" s="64"/>
      <c r="W32" s="64"/>
      <c r="X32" s="64"/>
      <c r="Y32" s="64"/>
      <c r="Z32" s="64"/>
      <c r="AA32" s="64"/>
    </row>
    <row r="33" spans="1:27" s="58" customFormat="1" x14ac:dyDescent="0.25">
      <c r="A33" s="699" t="s">
        <v>1676</v>
      </c>
      <c r="B33" s="700" t="s">
        <v>1679</v>
      </c>
      <c r="C33" s="514"/>
      <c r="D33" s="514"/>
      <c r="E33" s="514"/>
      <c r="F33" s="514"/>
      <c r="G33" s="514"/>
      <c r="H33" s="515"/>
      <c r="I33" s="354"/>
      <c r="J33" s="354"/>
      <c r="K33" s="305"/>
      <c r="L33" s="305"/>
      <c r="M33" s="305"/>
      <c r="N33" s="305"/>
      <c r="O33" s="305"/>
      <c r="P33" s="305"/>
      <c r="Q33" s="305"/>
      <c r="R33" s="64"/>
      <c r="S33" s="64"/>
      <c r="T33" s="64"/>
      <c r="U33" s="64"/>
      <c r="V33" s="64"/>
      <c r="W33" s="64"/>
      <c r="X33" s="64"/>
      <c r="Y33" s="64"/>
      <c r="Z33" s="64"/>
      <c r="AA33" s="64"/>
    </row>
    <row r="34" spans="1:27" s="58" customFormat="1" x14ac:dyDescent="0.25">
      <c r="A34" s="699" t="s">
        <v>1675</v>
      </c>
      <c r="B34" s="700" t="s">
        <v>1680</v>
      </c>
      <c r="C34" s="514"/>
      <c r="D34" s="514"/>
      <c r="E34" s="514"/>
      <c r="F34" s="514"/>
      <c r="G34" s="514"/>
      <c r="H34" s="515"/>
      <c r="I34" s="354"/>
      <c r="J34" s="354"/>
      <c r="K34" s="305"/>
      <c r="L34" s="305"/>
      <c r="M34" s="305"/>
      <c r="N34" s="305"/>
      <c r="O34" s="305"/>
      <c r="P34" s="305"/>
      <c r="Q34" s="305"/>
      <c r="R34" s="64"/>
      <c r="S34" s="64"/>
      <c r="T34" s="64"/>
      <c r="U34" s="64"/>
      <c r="V34" s="64"/>
      <c r="W34" s="64"/>
      <c r="X34" s="64"/>
      <c r="Y34" s="64"/>
      <c r="Z34" s="64"/>
      <c r="AA34" s="64"/>
    </row>
    <row r="35" spans="1:27" s="58" customFormat="1" x14ac:dyDescent="0.25">
      <c r="A35" s="699" t="s">
        <v>1677</v>
      </c>
      <c r="B35" s="700" t="s">
        <v>1681</v>
      </c>
      <c r="C35" s="514"/>
      <c r="D35" s="514"/>
      <c r="E35" s="514"/>
      <c r="F35" s="514"/>
      <c r="G35" s="514"/>
      <c r="H35" s="515"/>
      <c r="I35" s="354"/>
      <c r="J35" s="354"/>
      <c r="K35" s="305"/>
      <c r="L35" s="305"/>
      <c r="M35" s="305"/>
      <c r="N35" s="305"/>
      <c r="O35" s="305"/>
      <c r="P35" s="305"/>
      <c r="Q35" s="305"/>
      <c r="R35" s="64"/>
      <c r="S35" s="64"/>
      <c r="T35" s="64"/>
      <c r="U35" s="64"/>
      <c r="V35" s="64"/>
      <c r="W35" s="64"/>
      <c r="X35" s="64"/>
      <c r="Y35" s="64"/>
      <c r="Z35" s="64"/>
      <c r="AA35" s="64"/>
    </row>
    <row r="36" spans="1:27" s="58" customFormat="1" x14ac:dyDescent="0.25">
      <c r="A36" s="699" t="s">
        <v>1678</v>
      </c>
      <c r="B36" s="700" t="s">
        <v>1682</v>
      </c>
      <c r="C36" s="514"/>
      <c r="D36" s="514"/>
      <c r="E36" s="514"/>
      <c r="F36" s="514"/>
      <c r="G36" s="514"/>
      <c r="H36" s="515"/>
      <c r="I36" s="354"/>
      <c r="J36" s="354"/>
      <c r="K36" s="305"/>
      <c r="L36" s="305"/>
      <c r="M36" s="305"/>
      <c r="N36" s="305"/>
      <c r="O36" s="305"/>
      <c r="P36" s="305"/>
      <c r="Q36" s="305"/>
      <c r="R36" s="64"/>
      <c r="S36" s="64"/>
      <c r="T36" s="64"/>
      <c r="U36" s="64"/>
      <c r="V36" s="64"/>
      <c r="W36" s="64"/>
      <c r="X36" s="64"/>
      <c r="Y36" s="64"/>
      <c r="Z36" s="64"/>
      <c r="AA36" s="64"/>
    </row>
    <row r="37" spans="1:27" s="58" customFormat="1" x14ac:dyDescent="0.25">
      <c r="A37" s="699"/>
      <c r="B37" s="700"/>
      <c r="C37" s="514"/>
      <c r="D37" s="514"/>
      <c r="E37" s="514"/>
      <c r="F37" s="514"/>
      <c r="G37" s="514"/>
      <c r="H37" s="515"/>
      <c r="I37" s="354"/>
      <c r="J37" s="354"/>
      <c r="K37" s="305"/>
      <c r="L37" s="305"/>
      <c r="M37" s="305"/>
      <c r="N37" s="305"/>
      <c r="O37" s="305"/>
      <c r="P37" s="305"/>
      <c r="Q37" s="305"/>
      <c r="R37" s="64"/>
      <c r="S37" s="64"/>
      <c r="T37" s="64"/>
      <c r="U37" s="64"/>
      <c r="V37" s="64"/>
      <c r="W37" s="64"/>
      <c r="X37" s="64"/>
      <c r="Y37" s="64"/>
      <c r="Z37" s="64"/>
      <c r="AA37" s="64"/>
    </row>
    <row r="38" spans="1:27" s="58" customFormat="1" x14ac:dyDescent="0.25">
      <c r="A38" s="699"/>
      <c r="B38" s="700"/>
      <c r="C38" s="514"/>
      <c r="D38" s="514"/>
      <c r="E38" s="514"/>
      <c r="F38" s="514"/>
      <c r="G38" s="514"/>
      <c r="H38" s="515"/>
      <c r="I38" s="354"/>
      <c r="J38" s="354"/>
      <c r="K38" s="305"/>
      <c r="L38" s="305"/>
      <c r="M38" s="305"/>
      <c r="N38" s="305"/>
      <c r="O38" s="305"/>
      <c r="P38" s="305"/>
      <c r="Q38" s="305"/>
      <c r="R38" s="64"/>
      <c r="S38" s="64"/>
      <c r="T38" s="64"/>
      <c r="U38" s="64"/>
      <c r="V38" s="64"/>
      <c r="W38" s="64"/>
      <c r="X38" s="64"/>
      <c r="Y38" s="64"/>
      <c r="Z38" s="64"/>
      <c r="AA38" s="64"/>
    </row>
    <row r="39" spans="1:27" s="58" customFormat="1" ht="13.8" thickBot="1" x14ac:dyDescent="0.3">
      <c r="A39" s="355"/>
      <c r="B39" s="518"/>
      <c r="C39" s="519"/>
      <c r="D39" s="519"/>
      <c r="E39" s="519"/>
      <c r="F39" s="519"/>
      <c r="G39" s="519"/>
      <c r="H39" s="520"/>
      <c r="I39" s="354"/>
      <c r="J39" s="354"/>
      <c r="K39" s="305"/>
      <c r="L39" s="305"/>
      <c r="M39" s="305"/>
      <c r="N39" s="305"/>
      <c r="O39" s="305"/>
      <c r="P39" s="305"/>
      <c r="Q39" s="305"/>
      <c r="R39" s="64"/>
      <c r="S39" s="64"/>
      <c r="T39" s="64"/>
      <c r="U39" s="64"/>
      <c r="V39" s="64"/>
      <c r="W39" s="64"/>
      <c r="X39" s="64"/>
      <c r="Y39" s="64"/>
      <c r="Z39" s="64"/>
      <c r="AA39" s="64"/>
    </row>
    <row r="40" spans="1:27" s="151" customFormat="1" ht="13.8" thickBot="1" x14ac:dyDescent="0.3">
      <c r="A40" s="20"/>
      <c r="B40" s="154"/>
      <c r="C40" s="154"/>
      <c r="D40" s="154"/>
      <c r="E40" s="154"/>
      <c r="F40" s="154"/>
      <c r="G40" s="154"/>
      <c r="H40" s="154"/>
      <c r="I40" s="304"/>
      <c r="J40" s="304"/>
      <c r="K40" s="240"/>
      <c r="L40" s="240"/>
      <c r="M40" s="240"/>
      <c r="N40" s="240"/>
      <c r="O40" s="240"/>
      <c r="P40" s="240"/>
      <c r="Q40" s="240"/>
      <c r="R40" s="240"/>
      <c r="S40" s="240"/>
      <c r="T40" s="240"/>
      <c r="U40" s="240"/>
      <c r="V40" s="20"/>
      <c r="W40" s="20"/>
      <c r="X40" s="20"/>
      <c r="Y40" s="20"/>
      <c r="Z40" s="20"/>
      <c r="AA40" s="20"/>
    </row>
    <row r="41" spans="1:27" s="151" customFormat="1" ht="13.8" thickBot="1" x14ac:dyDescent="0.3">
      <c r="A41" s="143" t="s">
        <v>555</v>
      </c>
      <c r="B41" s="144"/>
      <c r="C41" s="20"/>
      <c r="D41" s="20"/>
      <c r="E41" s="20"/>
      <c r="F41" s="20"/>
      <c r="G41" s="20"/>
      <c r="H41" s="20"/>
      <c r="I41" s="304"/>
      <c r="J41" s="304"/>
      <c r="K41" s="240"/>
      <c r="L41" s="240"/>
      <c r="M41" s="240"/>
      <c r="N41" s="240"/>
      <c r="O41" s="240"/>
      <c r="P41" s="240"/>
      <c r="Q41" s="240"/>
      <c r="R41" s="240"/>
      <c r="S41" s="240"/>
      <c r="T41" s="240"/>
      <c r="U41" s="240"/>
      <c r="V41" s="20"/>
      <c r="W41" s="20"/>
      <c r="X41" s="20"/>
      <c r="Y41" s="20"/>
      <c r="Z41" s="20"/>
      <c r="AA41" s="20"/>
    </row>
    <row r="42" spans="1:27" s="151" customFormat="1" x14ac:dyDescent="0.25">
      <c r="A42" s="155" t="s">
        <v>1647</v>
      </c>
      <c r="B42" s="156"/>
      <c r="C42" s="306"/>
      <c r="D42" s="307"/>
      <c r="E42" s="307"/>
      <c r="F42" s="308"/>
      <c r="G42" s="308"/>
      <c r="H42" s="308"/>
      <c r="I42" s="309"/>
      <c r="J42" s="310"/>
      <c r="K42" s="311"/>
      <c r="L42" s="240"/>
      <c r="M42" s="240"/>
      <c r="N42" s="240"/>
      <c r="O42" s="240"/>
      <c r="P42" s="240"/>
      <c r="Q42" s="240"/>
      <c r="R42" s="240"/>
      <c r="S42" s="240"/>
      <c r="T42" s="240"/>
      <c r="U42" s="240"/>
      <c r="V42" s="240"/>
      <c r="W42" s="20"/>
      <c r="X42" s="20"/>
      <c r="Y42" s="20"/>
      <c r="Z42" s="20"/>
      <c r="AA42" s="20"/>
    </row>
    <row r="43" spans="1:27" s="151" customFormat="1" x14ac:dyDescent="0.25">
      <c r="A43" s="163" t="s">
        <v>557</v>
      </c>
      <c r="B43" s="133"/>
      <c r="C43" s="312"/>
      <c r="D43" s="313"/>
      <c r="E43" s="313"/>
      <c r="F43" s="314"/>
      <c r="G43" s="314"/>
      <c r="H43" s="314"/>
      <c r="I43" s="315"/>
      <c r="J43" s="316"/>
      <c r="K43" s="317"/>
      <c r="L43" s="240"/>
      <c r="M43" s="240"/>
      <c r="N43" s="240"/>
      <c r="O43" s="240"/>
      <c r="P43" s="240"/>
      <c r="Q43" s="240"/>
      <c r="R43" s="240"/>
      <c r="S43" s="20"/>
      <c r="T43" s="20"/>
      <c r="U43" s="20"/>
      <c r="V43" s="20"/>
      <c r="W43" s="20"/>
      <c r="X43" s="20"/>
      <c r="Y43" s="20"/>
      <c r="Z43" s="20"/>
      <c r="AA43" s="20"/>
    </row>
    <row r="44" spans="1:27" s="151" customFormat="1" ht="13.8" thickBot="1" x14ac:dyDescent="0.3">
      <c r="A44" s="137" t="s">
        <v>164</v>
      </c>
      <c r="B44" s="170"/>
      <c r="C44" s="318"/>
      <c r="D44" s="319"/>
      <c r="E44" s="319"/>
      <c r="F44" s="320"/>
      <c r="G44" s="320"/>
      <c r="H44" s="320"/>
      <c r="I44" s="321"/>
      <c r="J44" s="322"/>
      <c r="K44" s="323"/>
      <c r="L44" s="240"/>
      <c r="M44" s="240"/>
      <c r="N44" s="240"/>
      <c r="O44" s="240"/>
      <c r="P44" s="240"/>
      <c r="Q44" s="240"/>
      <c r="R44" s="240"/>
      <c r="S44" s="177"/>
      <c r="T44" s="177"/>
      <c r="U44" s="177"/>
      <c r="V44" s="240"/>
      <c r="W44" s="240"/>
      <c r="X44" s="240"/>
      <c r="Y44" s="20"/>
      <c r="Z44" s="20"/>
      <c r="AA44" s="20"/>
    </row>
    <row r="45" spans="1:27" s="181" customFormat="1" ht="31.5" customHeight="1" x14ac:dyDescent="0.25">
      <c r="A45" s="509" t="s">
        <v>558</v>
      </c>
      <c r="B45" s="499" t="s">
        <v>559</v>
      </c>
      <c r="C45" s="499" t="s">
        <v>11</v>
      </c>
      <c r="D45" s="499" t="s">
        <v>12</v>
      </c>
      <c r="E45" s="499" t="s">
        <v>13</v>
      </c>
      <c r="F45" s="499" t="s">
        <v>14</v>
      </c>
      <c r="G45" s="499" t="s">
        <v>15</v>
      </c>
      <c r="H45" s="499" t="s">
        <v>16</v>
      </c>
      <c r="I45" s="499" t="s">
        <v>17</v>
      </c>
      <c r="J45" s="499" t="s">
        <v>18</v>
      </c>
      <c r="K45" s="499" t="s">
        <v>19</v>
      </c>
      <c r="L45" s="499" t="s">
        <v>20</v>
      </c>
      <c r="M45" s="179"/>
      <c r="N45" s="179"/>
      <c r="O45" s="179"/>
      <c r="P45" s="179"/>
      <c r="Q45" s="179"/>
      <c r="R45" s="179"/>
      <c r="S45" s="179"/>
      <c r="T45" s="179"/>
      <c r="U45" s="179"/>
      <c r="V45" s="179"/>
      <c r="W45" s="179"/>
      <c r="X45" s="499" t="s">
        <v>22</v>
      </c>
      <c r="Y45" s="499" t="s">
        <v>23</v>
      </c>
      <c r="Z45" s="499" t="s">
        <v>24</v>
      </c>
      <c r="AA45" s="497" t="s">
        <v>330</v>
      </c>
    </row>
    <row r="46" spans="1:27" s="181" customFormat="1" ht="13.8" thickBot="1" x14ac:dyDescent="0.3">
      <c r="A46" s="510"/>
      <c r="B46" s="504"/>
      <c r="C46" s="504"/>
      <c r="D46" s="504"/>
      <c r="E46" s="504"/>
      <c r="F46" s="504"/>
      <c r="G46" s="500"/>
      <c r="H46" s="504"/>
      <c r="I46" s="504"/>
      <c r="J46" s="504"/>
      <c r="K46" s="504"/>
      <c r="L46" s="504"/>
      <c r="M46" s="184"/>
      <c r="N46" s="184"/>
      <c r="O46" s="184"/>
      <c r="P46" s="184"/>
      <c r="Q46" s="184"/>
      <c r="R46" s="184"/>
      <c r="S46" s="184"/>
      <c r="T46" s="184"/>
      <c r="U46" s="184"/>
      <c r="V46" s="184"/>
      <c r="W46" s="184"/>
      <c r="X46" s="504"/>
      <c r="Y46" s="504"/>
      <c r="Z46" s="504"/>
      <c r="AA46" s="498"/>
    </row>
    <row r="47" spans="1:27" s="64" customFormat="1" x14ac:dyDescent="0.25">
      <c r="A47" s="677" t="s">
        <v>1344</v>
      </c>
      <c r="B47" s="678"/>
      <c r="C47" s="678" t="s">
        <v>1675</v>
      </c>
      <c r="D47" s="678" t="s">
        <v>1114</v>
      </c>
      <c r="E47" s="678"/>
      <c r="F47" s="678" t="s">
        <v>51</v>
      </c>
      <c r="G47" s="679" t="s">
        <v>47</v>
      </c>
      <c r="H47" s="678" t="s">
        <v>1366</v>
      </c>
      <c r="I47" s="680">
        <v>1785</v>
      </c>
      <c r="J47" s="680">
        <v>2100</v>
      </c>
      <c r="K47" s="680">
        <v>2100</v>
      </c>
      <c r="L47" s="680">
        <v>2660</v>
      </c>
      <c r="M47" s="679"/>
      <c r="N47" s="679"/>
      <c r="O47" s="679"/>
      <c r="P47" s="679"/>
      <c r="Q47" s="679"/>
      <c r="R47" s="679"/>
      <c r="S47" s="679"/>
      <c r="T47" s="679"/>
      <c r="U47" s="679"/>
      <c r="V47" s="679"/>
      <c r="W47" s="679"/>
      <c r="X47" s="681"/>
      <c r="Y47" s="681"/>
      <c r="Z47" s="679" t="s">
        <v>1367</v>
      </c>
      <c r="AA47" s="682" t="s">
        <v>304</v>
      </c>
    </row>
    <row r="48" spans="1:27" s="64" customFormat="1" x14ac:dyDescent="0.25">
      <c r="A48" s="677" t="s">
        <v>1344</v>
      </c>
      <c r="B48" s="678"/>
      <c r="C48" s="678" t="s">
        <v>1676</v>
      </c>
      <c r="D48" s="678" t="s">
        <v>1368</v>
      </c>
      <c r="E48" s="678"/>
      <c r="F48" s="678" t="s">
        <v>51</v>
      </c>
      <c r="G48" s="679" t="s">
        <v>47</v>
      </c>
      <c r="H48" s="678" t="s">
        <v>1366</v>
      </c>
      <c r="I48" s="680">
        <v>1785</v>
      </c>
      <c r="J48" s="680">
        <v>2100</v>
      </c>
      <c r="K48" s="680">
        <v>2100</v>
      </c>
      <c r="L48" s="680">
        <v>2660</v>
      </c>
      <c r="M48" s="679"/>
      <c r="N48" s="679"/>
      <c r="O48" s="679"/>
      <c r="P48" s="679"/>
      <c r="Q48" s="679"/>
      <c r="R48" s="679"/>
      <c r="S48" s="679"/>
      <c r="T48" s="679"/>
      <c r="U48" s="679"/>
      <c r="V48" s="679"/>
      <c r="W48" s="679"/>
      <c r="X48" s="681"/>
      <c r="Y48" s="681"/>
      <c r="Z48" s="679" t="s">
        <v>1367</v>
      </c>
      <c r="AA48" s="682" t="s">
        <v>304</v>
      </c>
    </row>
    <row r="49" spans="1:27" s="64" customFormat="1" x14ac:dyDescent="0.25">
      <c r="A49" s="677" t="s">
        <v>1344</v>
      </c>
      <c r="B49" s="678"/>
      <c r="C49" s="678" t="s">
        <v>1675</v>
      </c>
      <c r="D49" s="678" t="s">
        <v>1114</v>
      </c>
      <c r="E49" s="678" t="s">
        <v>1369</v>
      </c>
      <c r="F49" s="678" t="s">
        <v>53</v>
      </c>
      <c r="G49" s="679" t="s">
        <v>47</v>
      </c>
      <c r="H49" s="678" t="s">
        <v>1366</v>
      </c>
      <c r="I49" s="680">
        <v>3870</v>
      </c>
      <c r="J49" s="680">
        <v>4550</v>
      </c>
      <c r="K49" s="680">
        <v>4550</v>
      </c>
      <c r="L49" s="680">
        <v>5760</v>
      </c>
      <c r="M49" s="679"/>
      <c r="N49" s="679"/>
      <c r="O49" s="679"/>
      <c r="P49" s="679"/>
      <c r="Q49" s="679"/>
      <c r="R49" s="679"/>
      <c r="S49" s="679"/>
      <c r="T49" s="679"/>
      <c r="U49" s="679"/>
      <c r="V49" s="679"/>
      <c r="W49" s="679"/>
      <c r="X49" s="681"/>
      <c r="Y49" s="681"/>
      <c r="Z49" s="679" t="s">
        <v>1367</v>
      </c>
      <c r="AA49" s="682" t="s">
        <v>304</v>
      </c>
    </row>
    <row r="50" spans="1:27" s="64" customFormat="1" x14ac:dyDescent="0.25">
      <c r="A50" s="677" t="s">
        <v>1344</v>
      </c>
      <c r="B50" s="678"/>
      <c r="C50" s="678" t="s">
        <v>1675</v>
      </c>
      <c r="D50" s="678" t="s">
        <v>1114</v>
      </c>
      <c r="E50" s="678" t="s">
        <v>1370</v>
      </c>
      <c r="F50" s="678" t="s">
        <v>53</v>
      </c>
      <c r="G50" s="679" t="s">
        <v>47</v>
      </c>
      <c r="H50" s="678" t="s">
        <v>1366</v>
      </c>
      <c r="I50" s="680">
        <v>4380</v>
      </c>
      <c r="J50" s="680">
        <v>5150</v>
      </c>
      <c r="K50" s="680">
        <v>5150</v>
      </c>
      <c r="L50" s="680">
        <v>6520</v>
      </c>
      <c r="M50" s="679"/>
      <c r="N50" s="679"/>
      <c r="O50" s="679"/>
      <c r="P50" s="679"/>
      <c r="Q50" s="679"/>
      <c r="R50" s="679"/>
      <c r="S50" s="679"/>
      <c r="T50" s="679"/>
      <c r="U50" s="679"/>
      <c r="V50" s="679"/>
      <c r="W50" s="679"/>
      <c r="X50" s="681"/>
      <c r="Y50" s="681"/>
      <c r="Z50" s="679" t="s">
        <v>1367</v>
      </c>
      <c r="AA50" s="682" t="s">
        <v>304</v>
      </c>
    </row>
    <row r="51" spans="1:27" s="64" customFormat="1" x14ac:dyDescent="0.25">
      <c r="A51" s="677" t="s">
        <v>1344</v>
      </c>
      <c r="B51" s="678"/>
      <c r="C51" s="678" t="s">
        <v>1675</v>
      </c>
      <c r="D51" s="678" t="s">
        <v>1114</v>
      </c>
      <c r="E51" s="678" t="s">
        <v>1371</v>
      </c>
      <c r="F51" s="678" t="s">
        <v>53</v>
      </c>
      <c r="G51" s="679" t="s">
        <v>47</v>
      </c>
      <c r="H51" s="678" t="s">
        <v>1366</v>
      </c>
      <c r="I51" s="680">
        <v>4380</v>
      </c>
      <c r="J51" s="680">
        <v>5150</v>
      </c>
      <c r="K51" s="680">
        <v>5150</v>
      </c>
      <c r="L51" s="680">
        <v>6520</v>
      </c>
      <c r="M51" s="679"/>
      <c r="N51" s="679"/>
      <c r="O51" s="679"/>
      <c r="P51" s="679"/>
      <c r="Q51" s="679"/>
      <c r="R51" s="679"/>
      <c r="S51" s="679"/>
      <c r="T51" s="679"/>
      <c r="U51" s="679"/>
      <c r="V51" s="679"/>
      <c r="W51" s="679"/>
      <c r="X51" s="681"/>
      <c r="Y51" s="681"/>
      <c r="Z51" s="679" t="s">
        <v>1367</v>
      </c>
      <c r="AA51" s="682" t="s">
        <v>304</v>
      </c>
    </row>
    <row r="52" spans="1:27" s="64" customFormat="1" x14ac:dyDescent="0.25">
      <c r="A52" s="677" t="s">
        <v>1344</v>
      </c>
      <c r="B52" s="678"/>
      <c r="C52" s="678" t="s">
        <v>1675</v>
      </c>
      <c r="D52" s="678" t="s">
        <v>1114</v>
      </c>
      <c r="E52" s="678" t="s">
        <v>1372</v>
      </c>
      <c r="F52" s="678" t="s">
        <v>53</v>
      </c>
      <c r="G52" s="679" t="s">
        <v>47</v>
      </c>
      <c r="H52" s="678" t="s">
        <v>1366</v>
      </c>
      <c r="I52" s="680">
        <v>4380</v>
      </c>
      <c r="J52" s="680">
        <v>5150</v>
      </c>
      <c r="K52" s="680">
        <v>5150</v>
      </c>
      <c r="L52" s="680">
        <v>6520</v>
      </c>
      <c r="M52" s="679"/>
      <c r="N52" s="679"/>
      <c r="O52" s="679"/>
      <c r="P52" s="679"/>
      <c r="Q52" s="679"/>
      <c r="R52" s="679"/>
      <c r="S52" s="679"/>
      <c r="T52" s="679"/>
      <c r="U52" s="679"/>
      <c r="V52" s="679"/>
      <c r="W52" s="679"/>
      <c r="X52" s="681"/>
      <c r="Y52" s="681"/>
      <c r="Z52" s="679" t="s">
        <v>1367</v>
      </c>
      <c r="AA52" s="682" t="s">
        <v>304</v>
      </c>
    </row>
    <row r="53" spans="1:27" s="64" customFormat="1" x14ac:dyDescent="0.25">
      <c r="A53" s="677" t="s">
        <v>1344</v>
      </c>
      <c r="B53" s="678"/>
      <c r="C53" s="678" t="s">
        <v>1675</v>
      </c>
      <c r="D53" s="678" t="s">
        <v>1114</v>
      </c>
      <c r="E53" s="678" t="s">
        <v>1373</v>
      </c>
      <c r="F53" s="678" t="s">
        <v>53</v>
      </c>
      <c r="G53" s="679" t="s">
        <v>47</v>
      </c>
      <c r="H53" s="678" t="s">
        <v>1366</v>
      </c>
      <c r="I53" s="680">
        <v>3870</v>
      </c>
      <c r="J53" s="680">
        <v>4550</v>
      </c>
      <c r="K53" s="680">
        <v>4550</v>
      </c>
      <c r="L53" s="680">
        <v>5760</v>
      </c>
      <c r="M53" s="679"/>
      <c r="N53" s="679"/>
      <c r="O53" s="679"/>
      <c r="P53" s="679"/>
      <c r="Q53" s="679"/>
      <c r="R53" s="679"/>
      <c r="S53" s="679"/>
      <c r="T53" s="679"/>
      <c r="U53" s="679"/>
      <c r="V53" s="679"/>
      <c r="W53" s="679"/>
      <c r="X53" s="681"/>
      <c r="Y53" s="681"/>
      <c r="Z53" s="679" t="s">
        <v>1367</v>
      </c>
      <c r="AA53" s="682" t="s">
        <v>304</v>
      </c>
    </row>
    <row r="54" spans="1:27" s="64" customFormat="1" x14ac:dyDescent="0.25">
      <c r="A54" s="677" t="s">
        <v>1344</v>
      </c>
      <c r="B54" s="678"/>
      <c r="C54" s="678" t="s">
        <v>1675</v>
      </c>
      <c r="D54" s="678" t="s">
        <v>1114</v>
      </c>
      <c r="E54" s="678" t="s">
        <v>1374</v>
      </c>
      <c r="F54" s="678" t="s">
        <v>53</v>
      </c>
      <c r="G54" s="679" t="s">
        <v>47</v>
      </c>
      <c r="H54" s="678" t="s">
        <v>1366</v>
      </c>
      <c r="I54" s="680">
        <v>4550</v>
      </c>
      <c r="J54" s="680">
        <v>5350</v>
      </c>
      <c r="K54" s="680">
        <v>5350</v>
      </c>
      <c r="L54" s="680">
        <v>6775</v>
      </c>
      <c r="M54" s="679"/>
      <c r="N54" s="679"/>
      <c r="O54" s="679"/>
      <c r="P54" s="679"/>
      <c r="Q54" s="679"/>
      <c r="R54" s="679"/>
      <c r="S54" s="679"/>
      <c r="T54" s="679"/>
      <c r="U54" s="679"/>
      <c r="V54" s="679"/>
      <c r="W54" s="679"/>
      <c r="X54" s="681"/>
      <c r="Y54" s="681"/>
      <c r="Z54" s="679" t="s">
        <v>1367</v>
      </c>
      <c r="AA54" s="682" t="s">
        <v>304</v>
      </c>
    </row>
    <row r="55" spans="1:27" s="64" customFormat="1" x14ac:dyDescent="0.25">
      <c r="A55" s="677" t="s">
        <v>1344</v>
      </c>
      <c r="B55" s="678"/>
      <c r="C55" s="678" t="s">
        <v>1675</v>
      </c>
      <c r="D55" s="678" t="s">
        <v>1114</v>
      </c>
      <c r="E55" s="678" t="s">
        <v>1375</v>
      </c>
      <c r="F55" s="678" t="s">
        <v>53</v>
      </c>
      <c r="G55" s="679" t="s">
        <v>47</v>
      </c>
      <c r="H55" s="678" t="s">
        <v>1366</v>
      </c>
      <c r="I55" s="680">
        <v>4720</v>
      </c>
      <c r="J55" s="680">
        <v>5550</v>
      </c>
      <c r="K55" s="680">
        <v>5550</v>
      </c>
      <c r="L55" s="680">
        <v>7025</v>
      </c>
      <c r="M55" s="679"/>
      <c r="N55" s="679"/>
      <c r="O55" s="679"/>
      <c r="P55" s="679"/>
      <c r="Q55" s="679"/>
      <c r="R55" s="679"/>
      <c r="S55" s="679"/>
      <c r="T55" s="679"/>
      <c r="U55" s="679"/>
      <c r="V55" s="679"/>
      <c r="W55" s="679"/>
      <c r="X55" s="681"/>
      <c r="Y55" s="681"/>
      <c r="Z55" s="679" t="s">
        <v>1367</v>
      </c>
      <c r="AA55" s="682" t="s">
        <v>304</v>
      </c>
    </row>
    <row r="56" spans="1:27" s="64" customFormat="1" x14ac:dyDescent="0.25">
      <c r="A56" s="677" t="s">
        <v>1344</v>
      </c>
      <c r="B56" s="678"/>
      <c r="C56" s="678" t="s">
        <v>1675</v>
      </c>
      <c r="D56" s="678" t="s">
        <v>1114</v>
      </c>
      <c r="E56" s="678" t="s">
        <v>1376</v>
      </c>
      <c r="F56" s="678" t="s">
        <v>53</v>
      </c>
      <c r="G56" s="679" t="s">
        <v>47</v>
      </c>
      <c r="H56" s="678" t="s">
        <v>1366</v>
      </c>
      <c r="I56" s="680">
        <v>4125</v>
      </c>
      <c r="J56" s="680">
        <v>4850</v>
      </c>
      <c r="K56" s="680">
        <v>4850</v>
      </c>
      <c r="L56" s="680">
        <v>6140</v>
      </c>
      <c r="M56" s="679"/>
      <c r="N56" s="679"/>
      <c r="O56" s="679"/>
      <c r="P56" s="679"/>
      <c r="Q56" s="679"/>
      <c r="R56" s="679"/>
      <c r="S56" s="679"/>
      <c r="T56" s="679"/>
      <c r="U56" s="679"/>
      <c r="V56" s="679"/>
      <c r="W56" s="679"/>
      <c r="X56" s="681"/>
      <c r="Y56" s="681"/>
      <c r="Z56" s="679" t="s">
        <v>1367</v>
      </c>
      <c r="AA56" s="682" t="s">
        <v>304</v>
      </c>
    </row>
    <row r="57" spans="1:27" s="64" customFormat="1" x14ac:dyDescent="0.25">
      <c r="A57" s="677" t="s">
        <v>1344</v>
      </c>
      <c r="B57" s="678"/>
      <c r="C57" s="678" t="s">
        <v>1675</v>
      </c>
      <c r="D57" s="678" t="s">
        <v>1114</v>
      </c>
      <c r="E57" s="678" t="s">
        <v>1377</v>
      </c>
      <c r="F57" s="678" t="s">
        <v>53</v>
      </c>
      <c r="G57" s="679" t="s">
        <v>47</v>
      </c>
      <c r="H57" s="678" t="s">
        <v>1366</v>
      </c>
      <c r="I57" s="680">
        <v>4210</v>
      </c>
      <c r="J57" s="680">
        <v>4950</v>
      </c>
      <c r="K57" s="680">
        <v>4950</v>
      </c>
      <c r="L57" s="680">
        <v>6265</v>
      </c>
      <c r="M57" s="679"/>
      <c r="N57" s="679"/>
      <c r="O57" s="679"/>
      <c r="P57" s="679"/>
      <c r="Q57" s="679"/>
      <c r="R57" s="679"/>
      <c r="S57" s="679"/>
      <c r="T57" s="679"/>
      <c r="U57" s="679"/>
      <c r="V57" s="679"/>
      <c r="W57" s="679"/>
      <c r="X57" s="681"/>
      <c r="Y57" s="681"/>
      <c r="Z57" s="679" t="s">
        <v>1367</v>
      </c>
      <c r="AA57" s="682" t="s">
        <v>304</v>
      </c>
    </row>
    <row r="58" spans="1:27" s="64" customFormat="1" x14ac:dyDescent="0.25">
      <c r="A58" s="677" t="s">
        <v>1344</v>
      </c>
      <c r="B58" s="678"/>
      <c r="C58" s="678" t="s">
        <v>1675</v>
      </c>
      <c r="D58" s="678" t="s">
        <v>1114</v>
      </c>
      <c r="E58" s="678" t="s">
        <v>1378</v>
      </c>
      <c r="F58" s="678" t="s">
        <v>120</v>
      </c>
      <c r="G58" s="679" t="s">
        <v>49</v>
      </c>
      <c r="H58" s="678" t="s">
        <v>1366</v>
      </c>
      <c r="I58" s="680">
        <v>6420</v>
      </c>
      <c r="J58" s="680">
        <v>7550</v>
      </c>
      <c r="K58" s="680">
        <v>7550</v>
      </c>
      <c r="L58" s="680">
        <v>9560</v>
      </c>
      <c r="M58" s="679"/>
      <c r="N58" s="679"/>
      <c r="O58" s="679"/>
      <c r="P58" s="679"/>
      <c r="Q58" s="679"/>
      <c r="R58" s="679"/>
      <c r="S58" s="679"/>
      <c r="T58" s="679"/>
      <c r="U58" s="679"/>
      <c r="V58" s="679"/>
      <c r="W58" s="679"/>
      <c r="X58" s="681"/>
      <c r="Y58" s="681"/>
      <c r="Z58" s="679" t="s">
        <v>1367</v>
      </c>
      <c r="AA58" s="682" t="s">
        <v>304</v>
      </c>
    </row>
    <row r="59" spans="1:27" s="64" customFormat="1" x14ac:dyDescent="0.25">
      <c r="A59" s="677" t="s">
        <v>1344</v>
      </c>
      <c r="B59" s="678"/>
      <c r="C59" s="678" t="s">
        <v>1675</v>
      </c>
      <c r="D59" s="678" t="s">
        <v>1114</v>
      </c>
      <c r="E59" s="678" t="s">
        <v>1379</v>
      </c>
      <c r="F59" s="678" t="s">
        <v>53</v>
      </c>
      <c r="G59" s="679" t="s">
        <v>47</v>
      </c>
      <c r="H59" s="678" t="s">
        <v>1366</v>
      </c>
      <c r="I59" s="680">
        <v>3870</v>
      </c>
      <c r="J59" s="680">
        <v>4550</v>
      </c>
      <c r="K59" s="680">
        <v>4550</v>
      </c>
      <c r="L59" s="680">
        <v>5760</v>
      </c>
      <c r="M59" s="679"/>
      <c r="N59" s="679"/>
      <c r="O59" s="679"/>
      <c r="P59" s="679"/>
      <c r="Q59" s="679"/>
      <c r="R59" s="679"/>
      <c r="S59" s="679"/>
      <c r="T59" s="679"/>
      <c r="U59" s="679"/>
      <c r="V59" s="679"/>
      <c r="W59" s="679"/>
      <c r="X59" s="681"/>
      <c r="Y59" s="681"/>
      <c r="Z59" s="679" t="s">
        <v>1367</v>
      </c>
      <c r="AA59" s="682" t="s">
        <v>304</v>
      </c>
    </row>
    <row r="60" spans="1:27" s="64" customFormat="1" x14ac:dyDescent="0.25">
      <c r="A60" s="677" t="s">
        <v>1344</v>
      </c>
      <c r="B60" s="678"/>
      <c r="C60" s="678" t="s">
        <v>1675</v>
      </c>
      <c r="D60" s="678" t="s">
        <v>1114</v>
      </c>
      <c r="E60" s="678" t="s">
        <v>1380</v>
      </c>
      <c r="F60" s="678" t="s">
        <v>53</v>
      </c>
      <c r="G60" s="679" t="s">
        <v>47</v>
      </c>
      <c r="H60" s="678" t="s">
        <v>1366</v>
      </c>
      <c r="I60" s="680">
        <v>4720</v>
      </c>
      <c r="J60" s="680">
        <v>5550</v>
      </c>
      <c r="K60" s="680">
        <v>5550</v>
      </c>
      <c r="L60" s="680">
        <v>7025</v>
      </c>
      <c r="M60" s="679"/>
      <c r="N60" s="679"/>
      <c r="O60" s="679"/>
      <c r="P60" s="679"/>
      <c r="Q60" s="679"/>
      <c r="R60" s="679"/>
      <c r="S60" s="679"/>
      <c r="T60" s="679"/>
      <c r="U60" s="679"/>
      <c r="V60" s="679"/>
      <c r="W60" s="679"/>
      <c r="X60" s="681"/>
      <c r="Y60" s="681"/>
      <c r="Z60" s="679" t="s">
        <v>1367</v>
      </c>
      <c r="AA60" s="682" t="s">
        <v>304</v>
      </c>
    </row>
    <row r="61" spans="1:27" s="64" customFormat="1" x14ac:dyDescent="0.25">
      <c r="A61" s="677" t="s">
        <v>1344</v>
      </c>
      <c r="B61" s="678"/>
      <c r="C61" s="678" t="s">
        <v>1675</v>
      </c>
      <c r="D61" s="678" t="s">
        <v>1114</v>
      </c>
      <c r="E61" s="678" t="s">
        <v>1382</v>
      </c>
      <c r="F61" s="678" t="s">
        <v>53</v>
      </c>
      <c r="G61" s="679" t="s">
        <v>47</v>
      </c>
      <c r="H61" s="678" t="s">
        <v>1366</v>
      </c>
      <c r="I61" s="680">
        <v>3955</v>
      </c>
      <c r="J61" s="680">
        <v>4650</v>
      </c>
      <c r="K61" s="680">
        <v>4650</v>
      </c>
      <c r="L61" s="680">
        <v>5885</v>
      </c>
      <c r="M61" s="679"/>
      <c r="N61" s="679"/>
      <c r="O61" s="679"/>
      <c r="P61" s="679"/>
      <c r="Q61" s="679"/>
      <c r="R61" s="679"/>
      <c r="S61" s="679"/>
      <c r="T61" s="679"/>
      <c r="U61" s="679"/>
      <c r="V61" s="679"/>
      <c r="W61" s="679"/>
      <c r="X61" s="681"/>
      <c r="Y61" s="681"/>
      <c r="Z61" s="679" t="s">
        <v>1367</v>
      </c>
      <c r="AA61" s="682" t="s">
        <v>304</v>
      </c>
    </row>
    <row r="62" spans="1:27" s="64" customFormat="1" x14ac:dyDescent="0.25">
      <c r="A62" s="677" t="s">
        <v>1344</v>
      </c>
      <c r="B62" s="678"/>
      <c r="C62" s="678" t="s">
        <v>1675</v>
      </c>
      <c r="D62" s="678" t="s">
        <v>1114</v>
      </c>
      <c r="E62" s="678" t="s">
        <v>1383</v>
      </c>
      <c r="F62" s="678" t="s">
        <v>53</v>
      </c>
      <c r="G62" s="679" t="s">
        <v>47</v>
      </c>
      <c r="H62" s="678" t="s">
        <v>1366</v>
      </c>
      <c r="I62" s="680">
        <v>3955</v>
      </c>
      <c r="J62" s="680">
        <v>4650</v>
      </c>
      <c r="K62" s="680">
        <v>4650</v>
      </c>
      <c r="L62" s="680">
        <v>5885</v>
      </c>
      <c r="M62" s="679"/>
      <c r="N62" s="679"/>
      <c r="O62" s="679"/>
      <c r="P62" s="679"/>
      <c r="Q62" s="679"/>
      <c r="R62" s="679"/>
      <c r="S62" s="679"/>
      <c r="T62" s="679"/>
      <c r="U62" s="679"/>
      <c r="V62" s="679"/>
      <c r="W62" s="679"/>
      <c r="X62" s="681"/>
      <c r="Y62" s="681"/>
      <c r="Z62" s="679" t="s">
        <v>1367</v>
      </c>
      <c r="AA62" s="682" t="s">
        <v>304</v>
      </c>
    </row>
    <row r="63" spans="1:27" s="64" customFormat="1" x14ac:dyDescent="0.25">
      <c r="A63" s="677" t="s">
        <v>1344</v>
      </c>
      <c r="B63" s="678"/>
      <c r="C63" s="678" t="s">
        <v>1675</v>
      </c>
      <c r="D63" s="678" t="s">
        <v>1114</v>
      </c>
      <c r="E63" s="678" t="s">
        <v>1384</v>
      </c>
      <c r="F63" s="678" t="s">
        <v>53</v>
      </c>
      <c r="G63" s="679" t="s">
        <v>47</v>
      </c>
      <c r="H63" s="678" t="s">
        <v>1366</v>
      </c>
      <c r="I63" s="680">
        <v>4040</v>
      </c>
      <c r="J63" s="680">
        <v>4750</v>
      </c>
      <c r="K63" s="680">
        <v>4750</v>
      </c>
      <c r="L63" s="680">
        <v>6015</v>
      </c>
      <c r="M63" s="679"/>
      <c r="N63" s="679"/>
      <c r="O63" s="679"/>
      <c r="P63" s="679"/>
      <c r="Q63" s="679"/>
      <c r="R63" s="679"/>
      <c r="S63" s="679"/>
      <c r="T63" s="679"/>
      <c r="U63" s="679"/>
      <c r="V63" s="679"/>
      <c r="W63" s="679"/>
      <c r="X63" s="681"/>
      <c r="Y63" s="681"/>
      <c r="Z63" s="679" t="s">
        <v>1367</v>
      </c>
      <c r="AA63" s="682" t="s">
        <v>304</v>
      </c>
    </row>
    <row r="64" spans="1:27" s="64" customFormat="1" x14ac:dyDescent="0.25">
      <c r="A64" s="677" t="s">
        <v>1344</v>
      </c>
      <c r="B64" s="678"/>
      <c r="C64" s="678" t="s">
        <v>1676</v>
      </c>
      <c r="D64" s="678" t="s">
        <v>1368</v>
      </c>
      <c r="E64" s="678" t="s">
        <v>1384</v>
      </c>
      <c r="F64" s="678" t="s">
        <v>53</v>
      </c>
      <c r="G64" s="679" t="s">
        <v>47</v>
      </c>
      <c r="H64" s="678" t="s">
        <v>1366</v>
      </c>
      <c r="I64" s="680">
        <v>3785</v>
      </c>
      <c r="J64" s="680">
        <v>4450</v>
      </c>
      <c r="K64" s="680">
        <v>4450</v>
      </c>
      <c r="L64" s="680">
        <v>5635</v>
      </c>
      <c r="M64" s="679"/>
      <c r="N64" s="679"/>
      <c r="O64" s="679"/>
      <c r="P64" s="679"/>
      <c r="Q64" s="679"/>
      <c r="R64" s="679"/>
      <c r="S64" s="679"/>
      <c r="T64" s="679"/>
      <c r="U64" s="679"/>
      <c r="V64" s="679"/>
      <c r="W64" s="679"/>
      <c r="X64" s="681"/>
      <c r="Y64" s="681"/>
      <c r="Z64" s="679" t="s">
        <v>1367</v>
      </c>
      <c r="AA64" s="682" t="s">
        <v>304</v>
      </c>
    </row>
    <row r="65" spans="1:27" s="64" customFormat="1" x14ac:dyDescent="0.25">
      <c r="A65" s="677" t="s">
        <v>1344</v>
      </c>
      <c r="B65" s="678"/>
      <c r="C65" s="678" t="s">
        <v>1675</v>
      </c>
      <c r="D65" s="678" t="s">
        <v>1114</v>
      </c>
      <c r="E65" s="678" t="s">
        <v>1385</v>
      </c>
      <c r="F65" s="678" t="s">
        <v>53</v>
      </c>
      <c r="G65" s="679" t="s">
        <v>47</v>
      </c>
      <c r="H65" s="678" t="s">
        <v>1366</v>
      </c>
      <c r="I65" s="680">
        <v>5145</v>
      </c>
      <c r="J65" s="680">
        <v>6050</v>
      </c>
      <c r="K65" s="680">
        <v>6050</v>
      </c>
      <c r="L65" s="680">
        <v>7660</v>
      </c>
      <c r="M65" s="679"/>
      <c r="N65" s="679"/>
      <c r="O65" s="679"/>
      <c r="P65" s="679"/>
      <c r="Q65" s="679"/>
      <c r="R65" s="679"/>
      <c r="S65" s="679"/>
      <c r="T65" s="679"/>
      <c r="U65" s="679"/>
      <c r="V65" s="679"/>
      <c r="W65" s="679"/>
      <c r="X65" s="681"/>
      <c r="Y65" s="681"/>
      <c r="Z65" s="679" t="s">
        <v>1367</v>
      </c>
      <c r="AA65" s="682" t="s">
        <v>304</v>
      </c>
    </row>
    <row r="66" spans="1:27" s="64" customFormat="1" x14ac:dyDescent="0.25">
      <c r="A66" s="677" t="s">
        <v>1344</v>
      </c>
      <c r="B66" s="678"/>
      <c r="C66" s="678" t="s">
        <v>1675</v>
      </c>
      <c r="D66" s="678" t="s">
        <v>1114</v>
      </c>
      <c r="E66" s="678" t="s">
        <v>1386</v>
      </c>
      <c r="F66" s="678" t="s">
        <v>53</v>
      </c>
      <c r="G66" s="679" t="s">
        <v>47</v>
      </c>
      <c r="H66" s="678" t="s">
        <v>1366</v>
      </c>
      <c r="I66" s="680">
        <v>4550</v>
      </c>
      <c r="J66" s="680">
        <v>5350</v>
      </c>
      <c r="K66" s="680">
        <v>5350</v>
      </c>
      <c r="L66" s="680">
        <v>6775</v>
      </c>
      <c r="M66" s="679"/>
      <c r="N66" s="679"/>
      <c r="O66" s="679"/>
      <c r="P66" s="679"/>
      <c r="Q66" s="679"/>
      <c r="R66" s="679"/>
      <c r="S66" s="679"/>
      <c r="T66" s="679"/>
      <c r="U66" s="679"/>
      <c r="V66" s="679"/>
      <c r="W66" s="679"/>
      <c r="X66" s="681"/>
      <c r="Y66" s="681"/>
      <c r="Z66" s="679" t="s">
        <v>1367</v>
      </c>
      <c r="AA66" s="682" t="s">
        <v>304</v>
      </c>
    </row>
    <row r="67" spans="1:27" s="64" customFormat="1" x14ac:dyDescent="0.25">
      <c r="A67" s="677" t="s">
        <v>1344</v>
      </c>
      <c r="B67" s="678"/>
      <c r="C67" s="678" t="s">
        <v>1675</v>
      </c>
      <c r="D67" s="678" t="s">
        <v>1114</v>
      </c>
      <c r="E67" s="678" t="s">
        <v>1387</v>
      </c>
      <c r="F67" s="678" t="s">
        <v>53</v>
      </c>
      <c r="G67" s="679" t="s">
        <v>47</v>
      </c>
      <c r="H67" s="678" t="s">
        <v>1366</v>
      </c>
      <c r="I67" s="680">
        <v>5740</v>
      </c>
      <c r="J67" s="680">
        <v>6750</v>
      </c>
      <c r="K67" s="680">
        <v>6750</v>
      </c>
      <c r="L67" s="680">
        <v>8545</v>
      </c>
      <c r="M67" s="679"/>
      <c r="N67" s="679"/>
      <c r="O67" s="679"/>
      <c r="P67" s="679"/>
      <c r="Q67" s="679"/>
      <c r="R67" s="679"/>
      <c r="S67" s="679"/>
      <c r="T67" s="679"/>
      <c r="U67" s="679"/>
      <c r="V67" s="679"/>
      <c r="W67" s="679"/>
      <c r="X67" s="681"/>
      <c r="Y67" s="681"/>
      <c r="Z67" s="679" t="s">
        <v>1367</v>
      </c>
      <c r="AA67" s="682" t="s">
        <v>304</v>
      </c>
    </row>
    <row r="68" spans="1:27" s="64" customFormat="1" x14ac:dyDescent="0.25">
      <c r="A68" s="677" t="s">
        <v>1344</v>
      </c>
      <c r="B68" s="678"/>
      <c r="C68" s="678" t="s">
        <v>1675</v>
      </c>
      <c r="D68" s="678" t="s">
        <v>1114</v>
      </c>
      <c r="E68" s="678" t="s">
        <v>1388</v>
      </c>
      <c r="F68" s="678" t="s">
        <v>53</v>
      </c>
      <c r="G68" s="679" t="s">
        <v>47</v>
      </c>
      <c r="H68" s="678" t="s">
        <v>1366</v>
      </c>
      <c r="I68" s="680">
        <v>5740</v>
      </c>
      <c r="J68" s="680">
        <v>6750</v>
      </c>
      <c r="K68" s="680">
        <v>6750</v>
      </c>
      <c r="L68" s="680">
        <v>8545</v>
      </c>
      <c r="M68" s="679"/>
      <c r="N68" s="679"/>
      <c r="O68" s="679"/>
      <c r="P68" s="679"/>
      <c r="Q68" s="679"/>
      <c r="R68" s="679"/>
      <c r="S68" s="679"/>
      <c r="T68" s="679"/>
      <c r="U68" s="679"/>
      <c r="V68" s="679"/>
      <c r="W68" s="679"/>
      <c r="X68" s="681"/>
      <c r="Y68" s="681"/>
      <c r="Z68" s="679" t="s">
        <v>1367</v>
      </c>
      <c r="AA68" s="682" t="s">
        <v>304</v>
      </c>
    </row>
    <row r="69" spans="1:27" s="64" customFormat="1" x14ac:dyDescent="0.25">
      <c r="A69" s="677" t="s">
        <v>1344</v>
      </c>
      <c r="B69" s="678"/>
      <c r="C69" s="678" t="s">
        <v>1675</v>
      </c>
      <c r="D69" s="678" t="s">
        <v>1114</v>
      </c>
      <c r="E69" s="678" t="s">
        <v>1389</v>
      </c>
      <c r="F69" s="678" t="s">
        <v>53</v>
      </c>
      <c r="G69" s="679" t="s">
        <v>47</v>
      </c>
      <c r="H69" s="678" t="s">
        <v>1366</v>
      </c>
      <c r="I69" s="680">
        <v>5740</v>
      </c>
      <c r="J69" s="680">
        <v>6750</v>
      </c>
      <c r="K69" s="680">
        <v>6750</v>
      </c>
      <c r="L69" s="680">
        <v>8545</v>
      </c>
      <c r="M69" s="679"/>
      <c r="N69" s="679"/>
      <c r="O69" s="679"/>
      <c r="P69" s="679"/>
      <c r="Q69" s="679"/>
      <c r="R69" s="679"/>
      <c r="S69" s="679"/>
      <c r="T69" s="679"/>
      <c r="U69" s="679"/>
      <c r="V69" s="679"/>
      <c r="W69" s="679"/>
      <c r="X69" s="681"/>
      <c r="Y69" s="681"/>
      <c r="Z69" s="679" t="s">
        <v>1367</v>
      </c>
      <c r="AA69" s="682" t="s">
        <v>304</v>
      </c>
    </row>
    <row r="70" spans="1:27" s="64" customFormat="1" x14ac:dyDescent="0.25">
      <c r="A70" s="677" t="s">
        <v>1344</v>
      </c>
      <c r="B70" s="678"/>
      <c r="C70" s="678" t="s">
        <v>1675</v>
      </c>
      <c r="D70" s="678" t="s">
        <v>1114</v>
      </c>
      <c r="E70" s="678" t="s">
        <v>1390</v>
      </c>
      <c r="F70" s="678" t="s">
        <v>53</v>
      </c>
      <c r="G70" s="679" t="s">
        <v>47</v>
      </c>
      <c r="H70" s="678" t="s">
        <v>1366</v>
      </c>
      <c r="I70" s="680">
        <v>5740</v>
      </c>
      <c r="J70" s="680">
        <v>6750</v>
      </c>
      <c r="K70" s="680">
        <v>6750</v>
      </c>
      <c r="L70" s="680">
        <v>8545</v>
      </c>
      <c r="M70" s="679"/>
      <c r="N70" s="679"/>
      <c r="O70" s="679"/>
      <c r="P70" s="679"/>
      <c r="Q70" s="679"/>
      <c r="R70" s="679"/>
      <c r="S70" s="679"/>
      <c r="T70" s="679"/>
      <c r="U70" s="679"/>
      <c r="V70" s="679"/>
      <c r="W70" s="679"/>
      <c r="X70" s="681"/>
      <c r="Y70" s="681"/>
      <c r="Z70" s="679" t="s">
        <v>1367</v>
      </c>
      <c r="AA70" s="682" t="s">
        <v>304</v>
      </c>
    </row>
    <row r="71" spans="1:27" s="64" customFormat="1" x14ac:dyDescent="0.25">
      <c r="A71" s="677" t="s">
        <v>1344</v>
      </c>
      <c r="B71" s="678"/>
      <c r="C71" s="678" t="s">
        <v>1675</v>
      </c>
      <c r="D71" s="678" t="s">
        <v>1114</v>
      </c>
      <c r="E71" s="678" t="s">
        <v>1391</v>
      </c>
      <c r="F71" s="678" t="s">
        <v>53</v>
      </c>
      <c r="G71" s="679" t="s">
        <v>47</v>
      </c>
      <c r="H71" s="678" t="s">
        <v>1366</v>
      </c>
      <c r="I71" s="680">
        <v>5740</v>
      </c>
      <c r="J71" s="680">
        <v>6750</v>
      </c>
      <c r="K71" s="680">
        <v>6750</v>
      </c>
      <c r="L71" s="680">
        <v>8545</v>
      </c>
      <c r="M71" s="679"/>
      <c r="N71" s="679"/>
      <c r="O71" s="679"/>
      <c r="P71" s="679"/>
      <c r="Q71" s="679"/>
      <c r="R71" s="679"/>
      <c r="S71" s="679"/>
      <c r="T71" s="679"/>
      <c r="U71" s="679"/>
      <c r="V71" s="679"/>
      <c r="W71" s="679"/>
      <c r="X71" s="681"/>
      <c r="Y71" s="681"/>
      <c r="Z71" s="679" t="s">
        <v>1367</v>
      </c>
      <c r="AA71" s="682" t="s">
        <v>304</v>
      </c>
    </row>
    <row r="72" spans="1:27" s="64" customFormat="1" x14ac:dyDescent="0.25">
      <c r="A72" s="677" t="s">
        <v>1344</v>
      </c>
      <c r="B72" s="678"/>
      <c r="C72" s="678" t="s">
        <v>1677</v>
      </c>
      <c r="D72" s="678" t="s">
        <v>1114</v>
      </c>
      <c r="E72" s="678"/>
      <c r="F72" s="678" t="s">
        <v>51</v>
      </c>
      <c r="G72" s="679" t="s">
        <v>47</v>
      </c>
      <c r="H72" s="678" t="s">
        <v>1366</v>
      </c>
      <c r="I72" s="680">
        <v>1785</v>
      </c>
      <c r="J72" s="680">
        <v>2100</v>
      </c>
      <c r="K72" s="680">
        <v>2100</v>
      </c>
      <c r="L72" s="680">
        <v>2660</v>
      </c>
      <c r="M72" s="679"/>
      <c r="N72" s="679"/>
      <c r="O72" s="679"/>
      <c r="P72" s="679"/>
      <c r="Q72" s="679"/>
      <c r="R72" s="679"/>
      <c r="S72" s="679"/>
      <c r="T72" s="679"/>
      <c r="U72" s="679"/>
      <c r="V72" s="679"/>
      <c r="W72" s="679"/>
      <c r="X72" s="681"/>
      <c r="Y72" s="681"/>
      <c r="Z72" s="679" t="s">
        <v>1367</v>
      </c>
      <c r="AA72" s="682" t="s">
        <v>304</v>
      </c>
    </row>
    <row r="73" spans="1:27" s="64" customFormat="1" x14ac:dyDescent="0.25">
      <c r="A73" s="677" t="s">
        <v>1344</v>
      </c>
      <c r="B73" s="678"/>
      <c r="C73" s="678" t="s">
        <v>1678</v>
      </c>
      <c r="D73" s="678" t="s">
        <v>1368</v>
      </c>
      <c r="E73" s="678"/>
      <c r="F73" s="678" t="s">
        <v>51</v>
      </c>
      <c r="G73" s="679" t="s">
        <v>47</v>
      </c>
      <c r="H73" s="678" t="s">
        <v>1366</v>
      </c>
      <c r="I73" s="680">
        <v>1785</v>
      </c>
      <c r="J73" s="680">
        <v>2100</v>
      </c>
      <c r="K73" s="680">
        <v>2100</v>
      </c>
      <c r="L73" s="680">
        <v>2660</v>
      </c>
      <c r="M73" s="679"/>
      <c r="N73" s="679"/>
      <c r="O73" s="679"/>
      <c r="P73" s="679"/>
      <c r="Q73" s="679"/>
      <c r="R73" s="679"/>
      <c r="S73" s="679"/>
      <c r="T73" s="679"/>
      <c r="U73" s="679"/>
      <c r="V73" s="679"/>
      <c r="W73" s="679"/>
      <c r="X73" s="681"/>
      <c r="Y73" s="681"/>
      <c r="Z73" s="679" t="s">
        <v>1367</v>
      </c>
      <c r="AA73" s="682" t="s">
        <v>304</v>
      </c>
    </row>
    <row r="74" spans="1:27" s="64" customFormat="1" x14ac:dyDescent="0.25">
      <c r="A74" s="677" t="s">
        <v>1344</v>
      </c>
      <c r="B74" s="678"/>
      <c r="C74" s="678" t="s">
        <v>1677</v>
      </c>
      <c r="D74" s="678" t="s">
        <v>1114</v>
      </c>
      <c r="E74" s="678" t="s">
        <v>1369</v>
      </c>
      <c r="F74" s="678" t="s">
        <v>53</v>
      </c>
      <c r="G74" s="679" t="s">
        <v>47</v>
      </c>
      <c r="H74" s="678" t="s">
        <v>1366</v>
      </c>
      <c r="I74" s="680">
        <v>3870</v>
      </c>
      <c r="J74" s="680">
        <v>4550</v>
      </c>
      <c r="K74" s="680">
        <v>4550</v>
      </c>
      <c r="L74" s="680">
        <v>5760</v>
      </c>
      <c r="M74" s="679"/>
      <c r="N74" s="679"/>
      <c r="O74" s="679"/>
      <c r="P74" s="679"/>
      <c r="Q74" s="679"/>
      <c r="R74" s="679"/>
      <c r="S74" s="679"/>
      <c r="T74" s="679"/>
      <c r="U74" s="679"/>
      <c r="V74" s="679"/>
      <c r="W74" s="679"/>
      <c r="X74" s="681"/>
      <c r="Y74" s="681"/>
      <c r="Z74" s="679" t="s">
        <v>1367</v>
      </c>
      <c r="AA74" s="682" t="s">
        <v>304</v>
      </c>
    </row>
    <row r="75" spans="1:27" s="64" customFormat="1" x14ac:dyDescent="0.25">
      <c r="A75" s="677" t="s">
        <v>1344</v>
      </c>
      <c r="B75" s="678"/>
      <c r="C75" s="678" t="s">
        <v>1677</v>
      </c>
      <c r="D75" s="678" t="s">
        <v>1114</v>
      </c>
      <c r="E75" s="678" t="s">
        <v>1370</v>
      </c>
      <c r="F75" s="678" t="s">
        <v>53</v>
      </c>
      <c r="G75" s="679" t="s">
        <v>47</v>
      </c>
      <c r="H75" s="678" t="s">
        <v>1366</v>
      </c>
      <c r="I75" s="680">
        <v>4380</v>
      </c>
      <c r="J75" s="680">
        <v>5150</v>
      </c>
      <c r="K75" s="680">
        <v>5150</v>
      </c>
      <c r="L75" s="680">
        <v>6520</v>
      </c>
      <c r="M75" s="679"/>
      <c r="N75" s="679"/>
      <c r="O75" s="679"/>
      <c r="P75" s="679"/>
      <c r="Q75" s="679"/>
      <c r="R75" s="679"/>
      <c r="S75" s="679"/>
      <c r="T75" s="679"/>
      <c r="U75" s="679"/>
      <c r="V75" s="679"/>
      <c r="W75" s="679"/>
      <c r="X75" s="681"/>
      <c r="Y75" s="681"/>
      <c r="Z75" s="679" t="s">
        <v>1367</v>
      </c>
      <c r="AA75" s="682" t="s">
        <v>304</v>
      </c>
    </row>
    <row r="76" spans="1:27" s="64" customFormat="1" x14ac:dyDescent="0.25">
      <c r="A76" s="677" t="s">
        <v>1344</v>
      </c>
      <c r="B76" s="678"/>
      <c r="C76" s="678" t="s">
        <v>1677</v>
      </c>
      <c r="D76" s="678" t="s">
        <v>1114</v>
      </c>
      <c r="E76" s="678" t="s">
        <v>1371</v>
      </c>
      <c r="F76" s="678" t="s">
        <v>53</v>
      </c>
      <c r="G76" s="679" t="s">
        <v>47</v>
      </c>
      <c r="H76" s="678" t="s">
        <v>1366</v>
      </c>
      <c r="I76" s="680">
        <v>4380</v>
      </c>
      <c r="J76" s="680">
        <v>5150</v>
      </c>
      <c r="K76" s="680">
        <v>5150</v>
      </c>
      <c r="L76" s="680">
        <v>6520</v>
      </c>
      <c r="M76" s="679"/>
      <c r="N76" s="679"/>
      <c r="O76" s="679"/>
      <c r="P76" s="679"/>
      <c r="Q76" s="679"/>
      <c r="R76" s="679"/>
      <c r="S76" s="679"/>
      <c r="T76" s="679"/>
      <c r="U76" s="679"/>
      <c r="V76" s="679"/>
      <c r="W76" s="679"/>
      <c r="X76" s="681"/>
      <c r="Y76" s="681"/>
      <c r="Z76" s="679" t="s">
        <v>1367</v>
      </c>
      <c r="AA76" s="682" t="s">
        <v>304</v>
      </c>
    </row>
    <row r="77" spans="1:27" s="64" customFormat="1" x14ac:dyDescent="0.25">
      <c r="A77" s="677" t="s">
        <v>1344</v>
      </c>
      <c r="B77" s="678"/>
      <c r="C77" s="678" t="s">
        <v>1677</v>
      </c>
      <c r="D77" s="678" t="s">
        <v>1114</v>
      </c>
      <c r="E77" s="678" t="s">
        <v>1372</v>
      </c>
      <c r="F77" s="678" t="s">
        <v>53</v>
      </c>
      <c r="G77" s="679" t="s">
        <v>47</v>
      </c>
      <c r="H77" s="678" t="s">
        <v>1366</v>
      </c>
      <c r="I77" s="680">
        <v>4380</v>
      </c>
      <c r="J77" s="680">
        <v>5150</v>
      </c>
      <c r="K77" s="680">
        <v>5150</v>
      </c>
      <c r="L77" s="680">
        <v>6520</v>
      </c>
      <c r="M77" s="679"/>
      <c r="N77" s="679"/>
      <c r="O77" s="679"/>
      <c r="P77" s="679"/>
      <c r="Q77" s="679"/>
      <c r="R77" s="679"/>
      <c r="S77" s="679"/>
      <c r="T77" s="679"/>
      <c r="U77" s="679"/>
      <c r="V77" s="679"/>
      <c r="W77" s="679"/>
      <c r="X77" s="681"/>
      <c r="Y77" s="681"/>
      <c r="Z77" s="679" t="s">
        <v>1367</v>
      </c>
      <c r="AA77" s="682" t="s">
        <v>304</v>
      </c>
    </row>
    <row r="78" spans="1:27" s="64" customFormat="1" x14ac:dyDescent="0.25">
      <c r="A78" s="677" t="s">
        <v>1344</v>
      </c>
      <c r="B78" s="678"/>
      <c r="C78" s="678" t="s">
        <v>1677</v>
      </c>
      <c r="D78" s="678" t="s">
        <v>1114</v>
      </c>
      <c r="E78" s="678" t="s">
        <v>1373</v>
      </c>
      <c r="F78" s="678" t="s">
        <v>53</v>
      </c>
      <c r="G78" s="679" t="s">
        <v>47</v>
      </c>
      <c r="H78" s="678" t="s">
        <v>1366</v>
      </c>
      <c r="I78" s="680">
        <v>3870</v>
      </c>
      <c r="J78" s="680">
        <v>4550</v>
      </c>
      <c r="K78" s="680">
        <v>4550</v>
      </c>
      <c r="L78" s="680">
        <v>5760</v>
      </c>
      <c r="M78" s="679"/>
      <c r="N78" s="679"/>
      <c r="O78" s="679"/>
      <c r="P78" s="679"/>
      <c r="Q78" s="679"/>
      <c r="R78" s="679"/>
      <c r="S78" s="679"/>
      <c r="T78" s="679"/>
      <c r="U78" s="679"/>
      <c r="V78" s="679"/>
      <c r="W78" s="679"/>
      <c r="X78" s="681"/>
      <c r="Y78" s="681"/>
      <c r="Z78" s="679" t="s">
        <v>1367</v>
      </c>
      <c r="AA78" s="682" t="s">
        <v>304</v>
      </c>
    </row>
    <row r="79" spans="1:27" s="64" customFormat="1" x14ac:dyDescent="0.25">
      <c r="A79" s="677" t="s">
        <v>1344</v>
      </c>
      <c r="B79" s="678"/>
      <c r="C79" s="678" t="s">
        <v>1677</v>
      </c>
      <c r="D79" s="678" t="s">
        <v>1114</v>
      </c>
      <c r="E79" s="678" t="s">
        <v>1374</v>
      </c>
      <c r="F79" s="678" t="s">
        <v>53</v>
      </c>
      <c r="G79" s="679" t="s">
        <v>47</v>
      </c>
      <c r="H79" s="678" t="s">
        <v>1366</v>
      </c>
      <c r="I79" s="680">
        <v>4550</v>
      </c>
      <c r="J79" s="680">
        <v>5350</v>
      </c>
      <c r="K79" s="680">
        <v>5350</v>
      </c>
      <c r="L79" s="680">
        <v>6775</v>
      </c>
      <c r="M79" s="679"/>
      <c r="N79" s="679"/>
      <c r="O79" s="679"/>
      <c r="P79" s="679"/>
      <c r="Q79" s="679"/>
      <c r="R79" s="679"/>
      <c r="S79" s="679"/>
      <c r="T79" s="679"/>
      <c r="U79" s="679"/>
      <c r="V79" s="679"/>
      <c r="W79" s="679"/>
      <c r="X79" s="681"/>
      <c r="Y79" s="681"/>
      <c r="Z79" s="679" t="s">
        <v>1367</v>
      </c>
      <c r="AA79" s="682" t="s">
        <v>304</v>
      </c>
    </row>
    <row r="80" spans="1:27" s="64" customFormat="1" x14ac:dyDescent="0.25">
      <c r="A80" s="677" t="s">
        <v>1344</v>
      </c>
      <c r="B80" s="678"/>
      <c r="C80" s="678" t="s">
        <v>1677</v>
      </c>
      <c r="D80" s="678" t="s">
        <v>1114</v>
      </c>
      <c r="E80" s="678" t="s">
        <v>1375</v>
      </c>
      <c r="F80" s="678" t="s">
        <v>53</v>
      </c>
      <c r="G80" s="679" t="s">
        <v>47</v>
      </c>
      <c r="H80" s="678" t="s">
        <v>1366</v>
      </c>
      <c r="I80" s="680">
        <v>4720</v>
      </c>
      <c r="J80" s="680">
        <v>5550</v>
      </c>
      <c r="K80" s="680">
        <v>5550</v>
      </c>
      <c r="L80" s="680">
        <v>7025</v>
      </c>
      <c r="M80" s="679"/>
      <c r="N80" s="679"/>
      <c r="O80" s="679"/>
      <c r="P80" s="679"/>
      <c r="Q80" s="679"/>
      <c r="R80" s="679"/>
      <c r="S80" s="679"/>
      <c r="T80" s="679"/>
      <c r="U80" s="679"/>
      <c r="V80" s="679"/>
      <c r="W80" s="679"/>
      <c r="X80" s="681"/>
      <c r="Y80" s="681"/>
      <c r="Z80" s="679" t="s">
        <v>1367</v>
      </c>
      <c r="AA80" s="682" t="s">
        <v>304</v>
      </c>
    </row>
    <row r="81" spans="1:27" s="64" customFormat="1" x14ac:dyDescent="0.25">
      <c r="A81" s="677" t="s">
        <v>1344</v>
      </c>
      <c r="B81" s="678"/>
      <c r="C81" s="678" t="s">
        <v>1677</v>
      </c>
      <c r="D81" s="678" t="s">
        <v>1114</v>
      </c>
      <c r="E81" s="678" t="s">
        <v>1376</v>
      </c>
      <c r="F81" s="678" t="s">
        <v>53</v>
      </c>
      <c r="G81" s="679" t="s">
        <v>47</v>
      </c>
      <c r="H81" s="678" t="s">
        <v>1366</v>
      </c>
      <c r="I81" s="680">
        <v>4125</v>
      </c>
      <c r="J81" s="680">
        <v>4850</v>
      </c>
      <c r="K81" s="680">
        <v>4850</v>
      </c>
      <c r="L81" s="680">
        <v>6140</v>
      </c>
      <c r="M81" s="679"/>
      <c r="N81" s="679"/>
      <c r="O81" s="679"/>
      <c r="P81" s="679"/>
      <c r="Q81" s="679"/>
      <c r="R81" s="679"/>
      <c r="S81" s="679"/>
      <c r="T81" s="679"/>
      <c r="U81" s="679"/>
      <c r="V81" s="679"/>
      <c r="W81" s="679"/>
      <c r="X81" s="681"/>
      <c r="Y81" s="681"/>
      <c r="Z81" s="679" t="s">
        <v>1367</v>
      </c>
      <c r="AA81" s="682" t="s">
        <v>304</v>
      </c>
    </row>
    <row r="82" spans="1:27" s="64" customFormat="1" x14ac:dyDescent="0.25">
      <c r="A82" s="677" t="s">
        <v>1344</v>
      </c>
      <c r="B82" s="678"/>
      <c r="C82" s="678" t="s">
        <v>1677</v>
      </c>
      <c r="D82" s="678" t="s">
        <v>1114</v>
      </c>
      <c r="E82" s="678" t="s">
        <v>1377</v>
      </c>
      <c r="F82" s="678" t="s">
        <v>53</v>
      </c>
      <c r="G82" s="679" t="s">
        <v>47</v>
      </c>
      <c r="H82" s="678" t="s">
        <v>1366</v>
      </c>
      <c r="I82" s="680">
        <v>4210</v>
      </c>
      <c r="J82" s="680">
        <v>4950</v>
      </c>
      <c r="K82" s="680">
        <v>4950</v>
      </c>
      <c r="L82" s="680">
        <v>6265</v>
      </c>
      <c r="M82" s="679"/>
      <c r="N82" s="679"/>
      <c r="O82" s="679"/>
      <c r="P82" s="679"/>
      <c r="Q82" s="679"/>
      <c r="R82" s="679"/>
      <c r="S82" s="679"/>
      <c r="T82" s="679"/>
      <c r="U82" s="679"/>
      <c r="V82" s="679"/>
      <c r="W82" s="679"/>
      <c r="X82" s="681"/>
      <c r="Y82" s="681"/>
      <c r="Z82" s="679" t="s">
        <v>1367</v>
      </c>
      <c r="AA82" s="682" t="s">
        <v>304</v>
      </c>
    </row>
    <row r="83" spans="1:27" s="64" customFormat="1" x14ac:dyDescent="0.25">
      <c r="A83" s="677" t="s">
        <v>1344</v>
      </c>
      <c r="B83" s="678"/>
      <c r="C83" s="678" t="s">
        <v>1677</v>
      </c>
      <c r="D83" s="678" t="s">
        <v>1114</v>
      </c>
      <c r="E83" s="678" t="s">
        <v>1378</v>
      </c>
      <c r="F83" s="678" t="s">
        <v>120</v>
      </c>
      <c r="G83" s="679" t="s">
        <v>49</v>
      </c>
      <c r="H83" s="678" t="s">
        <v>1366</v>
      </c>
      <c r="I83" s="680">
        <v>6420</v>
      </c>
      <c r="J83" s="680">
        <v>7550</v>
      </c>
      <c r="K83" s="680">
        <v>7550</v>
      </c>
      <c r="L83" s="680">
        <v>9560</v>
      </c>
      <c r="M83" s="679"/>
      <c r="N83" s="679"/>
      <c r="O83" s="679"/>
      <c r="P83" s="679"/>
      <c r="Q83" s="679"/>
      <c r="R83" s="679"/>
      <c r="S83" s="679"/>
      <c r="T83" s="679"/>
      <c r="U83" s="679"/>
      <c r="V83" s="679"/>
      <c r="W83" s="679"/>
      <c r="X83" s="681"/>
      <c r="Y83" s="681"/>
      <c r="Z83" s="679" t="s">
        <v>1367</v>
      </c>
      <c r="AA83" s="682" t="s">
        <v>304</v>
      </c>
    </row>
    <row r="84" spans="1:27" s="64" customFormat="1" x14ac:dyDescent="0.25">
      <c r="A84" s="677" t="s">
        <v>1344</v>
      </c>
      <c r="B84" s="678"/>
      <c r="C84" s="678" t="s">
        <v>1677</v>
      </c>
      <c r="D84" s="678" t="s">
        <v>1114</v>
      </c>
      <c r="E84" s="678" t="s">
        <v>1379</v>
      </c>
      <c r="F84" s="678" t="s">
        <v>53</v>
      </c>
      <c r="G84" s="679" t="s">
        <v>47</v>
      </c>
      <c r="H84" s="678" t="s">
        <v>1366</v>
      </c>
      <c r="I84" s="680">
        <v>3870</v>
      </c>
      <c r="J84" s="680">
        <v>4550</v>
      </c>
      <c r="K84" s="680">
        <v>4550</v>
      </c>
      <c r="L84" s="680">
        <v>5760</v>
      </c>
      <c r="M84" s="679"/>
      <c r="N84" s="679"/>
      <c r="O84" s="679"/>
      <c r="P84" s="679"/>
      <c r="Q84" s="679"/>
      <c r="R84" s="679"/>
      <c r="S84" s="679"/>
      <c r="T84" s="679"/>
      <c r="U84" s="679"/>
      <c r="V84" s="679"/>
      <c r="W84" s="679"/>
      <c r="X84" s="681"/>
      <c r="Y84" s="681"/>
      <c r="Z84" s="679" t="s">
        <v>1367</v>
      </c>
      <c r="AA84" s="682" t="s">
        <v>304</v>
      </c>
    </row>
    <row r="85" spans="1:27" s="64" customFormat="1" x14ac:dyDescent="0.25">
      <c r="A85" s="677" t="s">
        <v>1344</v>
      </c>
      <c r="B85" s="678"/>
      <c r="C85" s="678" t="s">
        <v>1677</v>
      </c>
      <c r="D85" s="678" t="s">
        <v>1114</v>
      </c>
      <c r="E85" s="678" t="s">
        <v>1380</v>
      </c>
      <c r="F85" s="678" t="s">
        <v>53</v>
      </c>
      <c r="G85" s="679" t="s">
        <v>47</v>
      </c>
      <c r="H85" s="678" t="s">
        <v>1366</v>
      </c>
      <c r="I85" s="680">
        <v>4720</v>
      </c>
      <c r="J85" s="680">
        <v>5550</v>
      </c>
      <c r="K85" s="680">
        <v>5550</v>
      </c>
      <c r="L85" s="680">
        <v>7025</v>
      </c>
      <c r="M85" s="679"/>
      <c r="N85" s="679"/>
      <c r="O85" s="679"/>
      <c r="P85" s="679"/>
      <c r="Q85" s="679"/>
      <c r="R85" s="679"/>
      <c r="S85" s="679"/>
      <c r="T85" s="679"/>
      <c r="U85" s="679"/>
      <c r="V85" s="679"/>
      <c r="W85" s="679"/>
      <c r="X85" s="681"/>
      <c r="Y85" s="681"/>
      <c r="Z85" s="679" t="s">
        <v>1367</v>
      </c>
      <c r="AA85" s="682" t="s">
        <v>304</v>
      </c>
    </row>
    <row r="86" spans="1:27" s="64" customFormat="1" x14ac:dyDescent="0.25">
      <c r="A86" s="677" t="s">
        <v>1344</v>
      </c>
      <c r="B86" s="678"/>
      <c r="C86" s="678" t="s">
        <v>1677</v>
      </c>
      <c r="D86" s="678" t="s">
        <v>1114</v>
      </c>
      <c r="E86" s="678" t="s">
        <v>1382</v>
      </c>
      <c r="F86" s="678" t="s">
        <v>53</v>
      </c>
      <c r="G86" s="679" t="s">
        <v>47</v>
      </c>
      <c r="H86" s="678" t="s">
        <v>1366</v>
      </c>
      <c r="I86" s="680">
        <v>3955</v>
      </c>
      <c r="J86" s="680">
        <v>4650</v>
      </c>
      <c r="K86" s="680">
        <v>4650</v>
      </c>
      <c r="L86" s="680">
        <v>5885</v>
      </c>
      <c r="M86" s="679"/>
      <c r="N86" s="679"/>
      <c r="O86" s="679"/>
      <c r="P86" s="679"/>
      <c r="Q86" s="679"/>
      <c r="R86" s="679"/>
      <c r="S86" s="679"/>
      <c r="T86" s="679"/>
      <c r="U86" s="679"/>
      <c r="V86" s="679"/>
      <c r="W86" s="679"/>
      <c r="X86" s="681"/>
      <c r="Y86" s="681"/>
      <c r="Z86" s="679" t="s">
        <v>1367</v>
      </c>
      <c r="AA86" s="682" t="s">
        <v>304</v>
      </c>
    </row>
    <row r="87" spans="1:27" s="64" customFormat="1" x14ac:dyDescent="0.25">
      <c r="A87" s="677" t="s">
        <v>1344</v>
      </c>
      <c r="B87" s="678"/>
      <c r="C87" s="678" t="s">
        <v>1677</v>
      </c>
      <c r="D87" s="678" t="s">
        <v>1114</v>
      </c>
      <c r="E87" s="678" t="s">
        <v>1383</v>
      </c>
      <c r="F87" s="678" t="s">
        <v>53</v>
      </c>
      <c r="G87" s="679" t="s">
        <v>47</v>
      </c>
      <c r="H87" s="678" t="s">
        <v>1366</v>
      </c>
      <c r="I87" s="680">
        <v>3955</v>
      </c>
      <c r="J87" s="680">
        <v>4650</v>
      </c>
      <c r="K87" s="680">
        <v>4650</v>
      </c>
      <c r="L87" s="680">
        <v>5885</v>
      </c>
      <c r="M87" s="679"/>
      <c r="N87" s="679"/>
      <c r="O87" s="679"/>
      <c r="P87" s="679"/>
      <c r="Q87" s="679"/>
      <c r="R87" s="679"/>
      <c r="S87" s="679"/>
      <c r="T87" s="679"/>
      <c r="U87" s="679"/>
      <c r="V87" s="679"/>
      <c r="W87" s="679"/>
      <c r="X87" s="681"/>
      <c r="Y87" s="681"/>
      <c r="Z87" s="679" t="s">
        <v>1367</v>
      </c>
      <c r="AA87" s="682" t="s">
        <v>304</v>
      </c>
    </row>
    <row r="88" spans="1:27" s="64" customFormat="1" x14ac:dyDescent="0.25">
      <c r="A88" s="677" t="s">
        <v>1344</v>
      </c>
      <c r="B88" s="678"/>
      <c r="C88" s="678" t="s">
        <v>1677</v>
      </c>
      <c r="D88" s="678" t="s">
        <v>1114</v>
      </c>
      <c r="E88" s="678" t="s">
        <v>1384</v>
      </c>
      <c r="F88" s="678" t="s">
        <v>53</v>
      </c>
      <c r="G88" s="679" t="s">
        <v>47</v>
      </c>
      <c r="H88" s="678" t="s">
        <v>1366</v>
      </c>
      <c r="I88" s="680">
        <v>4040</v>
      </c>
      <c r="J88" s="680">
        <v>4750</v>
      </c>
      <c r="K88" s="680">
        <v>4750</v>
      </c>
      <c r="L88" s="680">
        <v>6015</v>
      </c>
      <c r="M88" s="679"/>
      <c r="N88" s="679"/>
      <c r="O88" s="679"/>
      <c r="P88" s="679"/>
      <c r="Q88" s="679"/>
      <c r="R88" s="679"/>
      <c r="S88" s="679"/>
      <c r="T88" s="679"/>
      <c r="U88" s="679"/>
      <c r="V88" s="679"/>
      <c r="W88" s="679"/>
      <c r="X88" s="681"/>
      <c r="Y88" s="681"/>
      <c r="Z88" s="679" t="s">
        <v>1367</v>
      </c>
      <c r="AA88" s="682" t="s">
        <v>304</v>
      </c>
    </row>
    <row r="89" spans="1:27" s="64" customFormat="1" x14ac:dyDescent="0.25">
      <c r="A89" s="677" t="s">
        <v>1344</v>
      </c>
      <c r="B89" s="678"/>
      <c r="C89" s="678" t="s">
        <v>1678</v>
      </c>
      <c r="D89" s="678" t="s">
        <v>1368</v>
      </c>
      <c r="E89" s="678" t="s">
        <v>1384</v>
      </c>
      <c r="F89" s="678" t="s">
        <v>53</v>
      </c>
      <c r="G89" s="679" t="s">
        <v>47</v>
      </c>
      <c r="H89" s="678" t="s">
        <v>1366</v>
      </c>
      <c r="I89" s="680">
        <v>3785</v>
      </c>
      <c r="J89" s="680">
        <v>4450</v>
      </c>
      <c r="K89" s="680">
        <v>4450</v>
      </c>
      <c r="L89" s="680">
        <v>5635</v>
      </c>
      <c r="M89" s="679"/>
      <c r="N89" s="679"/>
      <c r="O89" s="679"/>
      <c r="P89" s="679"/>
      <c r="Q89" s="679"/>
      <c r="R89" s="679"/>
      <c r="S89" s="679"/>
      <c r="T89" s="679"/>
      <c r="U89" s="679"/>
      <c r="V89" s="679"/>
      <c r="W89" s="679"/>
      <c r="X89" s="681"/>
      <c r="Y89" s="681"/>
      <c r="Z89" s="679" t="s">
        <v>1367</v>
      </c>
      <c r="AA89" s="682" t="s">
        <v>304</v>
      </c>
    </row>
    <row r="90" spans="1:27" s="64" customFormat="1" x14ac:dyDescent="0.25">
      <c r="A90" s="677" t="s">
        <v>1344</v>
      </c>
      <c r="B90" s="678"/>
      <c r="C90" s="678" t="s">
        <v>1677</v>
      </c>
      <c r="D90" s="678" t="s">
        <v>1114</v>
      </c>
      <c r="E90" s="678" t="s">
        <v>1385</v>
      </c>
      <c r="F90" s="678" t="s">
        <v>53</v>
      </c>
      <c r="G90" s="679" t="s">
        <v>47</v>
      </c>
      <c r="H90" s="678" t="s">
        <v>1366</v>
      </c>
      <c r="I90" s="680">
        <v>5145</v>
      </c>
      <c r="J90" s="680">
        <v>6050</v>
      </c>
      <c r="K90" s="680">
        <v>6050</v>
      </c>
      <c r="L90" s="680">
        <v>7660</v>
      </c>
      <c r="M90" s="679"/>
      <c r="N90" s="679"/>
      <c r="O90" s="679"/>
      <c r="P90" s="679"/>
      <c r="Q90" s="679"/>
      <c r="R90" s="679"/>
      <c r="S90" s="679"/>
      <c r="T90" s="679"/>
      <c r="U90" s="679"/>
      <c r="V90" s="679"/>
      <c r="W90" s="679"/>
      <c r="X90" s="681"/>
      <c r="Y90" s="681"/>
      <c r="Z90" s="679" t="s">
        <v>1367</v>
      </c>
      <c r="AA90" s="682" t="s">
        <v>304</v>
      </c>
    </row>
    <row r="91" spans="1:27" s="64" customFormat="1" x14ac:dyDescent="0.25">
      <c r="A91" s="677" t="s">
        <v>1344</v>
      </c>
      <c r="B91" s="678"/>
      <c r="C91" s="678" t="s">
        <v>1677</v>
      </c>
      <c r="D91" s="678" t="s">
        <v>1114</v>
      </c>
      <c r="E91" s="678" t="s">
        <v>1386</v>
      </c>
      <c r="F91" s="678" t="s">
        <v>53</v>
      </c>
      <c r="G91" s="679" t="s">
        <v>47</v>
      </c>
      <c r="H91" s="678" t="s">
        <v>1366</v>
      </c>
      <c r="I91" s="680">
        <v>4550</v>
      </c>
      <c r="J91" s="680">
        <v>5350</v>
      </c>
      <c r="K91" s="680">
        <v>5350</v>
      </c>
      <c r="L91" s="680">
        <v>6775</v>
      </c>
      <c r="M91" s="679"/>
      <c r="N91" s="679"/>
      <c r="O91" s="679"/>
      <c r="P91" s="679"/>
      <c r="Q91" s="679"/>
      <c r="R91" s="679"/>
      <c r="S91" s="679"/>
      <c r="T91" s="679"/>
      <c r="U91" s="679"/>
      <c r="V91" s="679"/>
      <c r="W91" s="679"/>
      <c r="X91" s="681"/>
      <c r="Y91" s="681"/>
      <c r="Z91" s="679" t="s">
        <v>1367</v>
      </c>
      <c r="AA91" s="682" t="s">
        <v>304</v>
      </c>
    </row>
    <row r="92" spans="1:27" s="64" customFormat="1" x14ac:dyDescent="0.25">
      <c r="A92" s="677" t="s">
        <v>1344</v>
      </c>
      <c r="B92" s="678"/>
      <c r="C92" s="678" t="s">
        <v>1677</v>
      </c>
      <c r="D92" s="678" t="s">
        <v>1114</v>
      </c>
      <c r="E92" s="678" t="s">
        <v>1387</v>
      </c>
      <c r="F92" s="678" t="s">
        <v>53</v>
      </c>
      <c r="G92" s="679" t="s">
        <v>47</v>
      </c>
      <c r="H92" s="678" t="s">
        <v>1366</v>
      </c>
      <c r="I92" s="680">
        <v>5740</v>
      </c>
      <c r="J92" s="680">
        <v>6750</v>
      </c>
      <c r="K92" s="680">
        <v>6750</v>
      </c>
      <c r="L92" s="680">
        <v>8545</v>
      </c>
      <c r="M92" s="679"/>
      <c r="N92" s="679"/>
      <c r="O92" s="679"/>
      <c r="P92" s="679"/>
      <c r="Q92" s="679"/>
      <c r="R92" s="679"/>
      <c r="S92" s="679"/>
      <c r="T92" s="679"/>
      <c r="U92" s="679"/>
      <c r="V92" s="679"/>
      <c r="W92" s="679"/>
      <c r="X92" s="681"/>
      <c r="Y92" s="681"/>
      <c r="Z92" s="679" t="s">
        <v>1367</v>
      </c>
      <c r="AA92" s="682" t="s">
        <v>304</v>
      </c>
    </row>
    <row r="93" spans="1:27" s="64" customFormat="1" x14ac:dyDescent="0.25">
      <c r="A93" s="677" t="s">
        <v>1344</v>
      </c>
      <c r="B93" s="678"/>
      <c r="C93" s="678" t="s">
        <v>1677</v>
      </c>
      <c r="D93" s="678" t="s">
        <v>1114</v>
      </c>
      <c r="E93" s="678" t="s">
        <v>1388</v>
      </c>
      <c r="F93" s="678" t="s">
        <v>53</v>
      </c>
      <c r="G93" s="679" t="s">
        <v>47</v>
      </c>
      <c r="H93" s="678" t="s">
        <v>1366</v>
      </c>
      <c r="I93" s="680">
        <v>5740</v>
      </c>
      <c r="J93" s="680">
        <v>6750</v>
      </c>
      <c r="K93" s="680">
        <v>6750</v>
      </c>
      <c r="L93" s="680">
        <v>8545</v>
      </c>
      <c r="M93" s="679"/>
      <c r="N93" s="679"/>
      <c r="O93" s="679"/>
      <c r="P93" s="679"/>
      <c r="Q93" s="679"/>
      <c r="R93" s="679"/>
      <c r="S93" s="679"/>
      <c r="T93" s="679"/>
      <c r="U93" s="679"/>
      <c r="V93" s="679"/>
      <c r="W93" s="679"/>
      <c r="X93" s="681"/>
      <c r="Y93" s="681"/>
      <c r="Z93" s="679" t="s">
        <v>1367</v>
      </c>
      <c r="AA93" s="682" t="s">
        <v>304</v>
      </c>
    </row>
    <row r="94" spans="1:27" s="64" customFormat="1" x14ac:dyDescent="0.25">
      <c r="A94" s="677" t="s">
        <v>1344</v>
      </c>
      <c r="B94" s="678"/>
      <c r="C94" s="678" t="s">
        <v>1677</v>
      </c>
      <c r="D94" s="678" t="s">
        <v>1114</v>
      </c>
      <c r="E94" s="678" t="s">
        <v>1389</v>
      </c>
      <c r="F94" s="678" t="s">
        <v>53</v>
      </c>
      <c r="G94" s="679" t="s">
        <v>47</v>
      </c>
      <c r="H94" s="678" t="s">
        <v>1366</v>
      </c>
      <c r="I94" s="680">
        <v>5740</v>
      </c>
      <c r="J94" s="680">
        <v>6750</v>
      </c>
      <c r="K94" s="680">
        <v>6750</v>
      </c>
      <c r="L94" s="680">
        <v>8545</v>
      </c>
      <c r="M94" s="679"/>
      <c r="N94" s="679"/>
      <c r="O94" s="679"/>
      <c r="P94" s="679"/>
      <c r="Q94" s="679"/>
      <c r="R94" s="679"/>
      <c r="S94" s="679"/>
      <c r="T94" s="679"/>
      <c r="U94" s="679"/>
      <c r="V94" s="679"/>
      <c r="W94" s="679"/>
      <c r="X94" s="681"/>
      <c r="Y94" s="681"/>
      <c r="Z94" s="679" t="s">
        <v>1367</v>
      </c>
      <c r="AA94" s="682" t="s">
        <v>304</v>
      </c>
    </row>
    <row r="95" spans="1:27" s="64" customFormat="1" x14ac:dyDescent="0.25">
      <c r="A95" s="677" t="s">
        <v>1344</v>
      </c>
      <c r="B95" s="678"/>
      <c r="C95" s="678" t="s">
        <v>1677</v>
      </c>
      <c r="D95" s="678" t="s">
        <v>1114</v>
      </c>
      <c r="E95" s="678" t="s">
        <v>1390</v>
      </c>
      <c r="F95" s="678" t="s">
        <v>53</v>
      </c>
      <c r="G95" s="679" t="s">
        <v>47</v>
      </c>
      <c r="H95" s="678" t="s">
        <v>1366</v>
      </c>
      <c r="I95" s="680">
        <v>5740</v>
      </c>
      <c r="J95" s="680">
        <v>6750</v>
      </c>
      <c r="K95" s="680">
        <v>6750</v>
      </c>
      <c r="L95" s="680">
        <v>8545</v>
      </c>
      <c r="M95" s="679"/>
      <c r="N95" s="679"/>
      <c r="O95" s="679"/>
      <c r="P95" s="679"/>
      <c r="Q95" s="679"/>
      <c r="R95" s="679"/>
      <c r="S95" s="679"/>
      <c r="T95" s="679"/>
      <c r="U95" s="679"/>
      <c r="V95" s="679"/>
      <c r="W95" s="679"/>
      <c r="X95" s="681"/>
      <c r="Y95" s="681"/>
      <c r="Z95" s="679" t="s">
        <v>1367</v>
      </c>
      <c r="AA95" s="682" t="s">
        <v>304</v>
      </c>
    </row>
    <row r="96" spans="1:27" s="64" customFormat="1" x14ac:dyDescent="0.25">
      <c r="A96" s="677" t="s">
        <v>1344</v>
      </c>
      <c r="B96" s="678"/>
      <c r="C96" s="678" t="s">
        <v>1677</v>
      </c>
      <c r="D96" s="678" t="s">
        <v>1114</v>
      </c>
      <c r="E96" s="678" t="s">
        <v>1391</v>
      </c>
      <c r="F96" s="678" t="s">
        <v>53</v>
      </c>
      <c r="G96" s="679" t="s">
        <v>47</v>
      </c>
      <c r="H96" s="678" t="s">
        <v>1366</v>
      </c>
      <c r="I96" s="680">
        <v>5740</v>
      </c>
      <c r="J96" s="680">
        <v>6750</v>
      </c>
      <c r="K96" s="680">
        <v>6750</v>
      </c>
      <c r="L96" s="680">
        <v>8545</v>
      </c>
      <c r="M96" s="679"/>
      <c r="N96" s="679"/>
      <c r="O96" s="679"/>
      <c r="P96" s="679"/>
      <c r="Q96" s="679"/>
      <c r="R96" s="679"/>
      <c r="S96" s="679"/>
      <c r="T96" s="679"/>
      <c r="U96" s="679"/>
      <c r="V96" s="679"/>
      <c r="W96" s="679"/>
      <c r="X96" s="681"/>
      <c r="Y96" s="681"/>
      <c r="Z96" s="679" t="s">
        <v>1367</v>
      </c>
      <c r="AA96" s="682" t="s">
        <v>304</v>
      </c>
    </row>
    <row r="97" spans="1:27" s="64" customFormat="1" x14ac:dyDescent="0.25">
      <c r="A97" s="677" t="s">
        <v>1344</v>
      </c>
      <c r="B97" s="678"/>
      <c r="C97" s="678" t="s">
        <v>1347</v>
      </c>
      <c r="D97" s="678" t="s">
        <v>1114</v>
      </c>
      <c r="E97" s="678"/>
      <c r="F97" s="678" t="s">
        <v>51</v>
      </c>
      <c r="G97" s="679" t="s">
        <v>47</v>
      </c>
      <c r="H97" s="678" t="s">
        <v>1366</v>
      </c>
      <c r="I97" s="680">
        <v>1575</v>
      </c>
      <c r="J97" s="680">
        <v>2100</v>
      </c>
      <c r="K97" s="680">
        <v>2100</v>
      </c>
      <c r="L97" s="680">
        <v>2660</v>
      </c>
      <c r="M97" s="679"/>
      <c r="N97" s="679"/>
      <c r="O97" s="679"/>
      <c r="P97" s="679"/>
      <c r="Q97" s="679"/>
      <c r="R97" s="679"/>
      <c r="S97" s="679"/>
      <c r="T97" s="679"/>
      <c r="U97" s="679"/>
      <c r="V97" s="679"/>
      <c r="W97" s="679"/>
      <c r="X97" s="681"/>
      <c r="Y97" s="681"/>
      <c r="Z97" s="679" t="s">
        <v>1367</v>
      </c>
      <c r="AA97" s="682" t="s">
        <v>304</v>
      </c>
    </row>
    <row r="98" spans="1:27" s="64" customFormat="1" x14ac:dyDescent="0.25">
      <c r="A98" s="677" t="s">
        <v>1344</v>
      </c>
      <c r="B98" s="678"/>
      <c r="C98" s="678" t="s">
        <v>1347</v>
      </c>
      <c r="D98" s="678" t="s">
        <v>1368</v>
      </c>
      <c r="E98" s="678"/>
      <c r="F98" s="678" t="s">
        <v>51</v>
      </c>
      <c r="G98" s="679" t="s">
        <v>47</v>
      </c>
      <c r="H98" s="678" t="s">
        <v>1366</v>
      </c>
      <c r="I98" s="680">
        <v>1575</v>
      </c>
      <c r="J98" s="680">
        <v>2100</v>
      </c>
      <c r="K98" s="680">
        <v>2100</v>
      </c>
      <c r="L98" s="680">
        <v>2660</v>
      </c>
      <c r="M98" s="679"/>
      <c r="N98" s="679"/>
      <c r="O98" s="679"/>
      <c r="P98" s="679"/>
      <c r="Q98" s="679"/>
      <c r="R98" s="679"/>
      <c r="S98" s="679"/>
      <c r="T98" s="679"/>
      <c r="U98" s="679"/>
      <c r="V98" s="679"/>
      <c r="W98" s="679"/>
      <c r="X98" s="681"/>
      <c r="Y98" s="681"/>
      <c r="Z98" s="679" t="s">
        <v>1367</v>
      </c>
      <c r="AA98" s="682" t="s">
        <v>304</v>
      </c>
    </row>
    <row r="99" spans="1:27" s="64" customFormat="1" x14ac:dyDescent="0.25">
      <c r="A99" s="677" t="s">
        <v>1344</v>
      </c>
      <c r="B99" s="678"/>
      <c r="C99" s="678" t="s">
        <v>1347</v>
      </c>
      <c r="D99" s="678" t="s">
        <v>1114</v>
      </c>
      <c r="E99" s="678" t="s">
        <v>1369</v>
      </c>
      <c r="F99" s="678" t="s">
        <v>53</v>
      </c>
      <c r="G99" s="679" t="s">
        <v>47</v>
      </c>
      <c r="H99" s="678" t="s">
        <v>1366</v>
      </c>
      <c r="I99" s="680">
        <v>3640</v>
      </c>
      <c r="J99" s="680">
        <v>4550</v>
      </c>
      <c r="K99" s="680">
        <v>4550</v>
      </c>
      <c r="L99" s="680">
        <v>5760</v>
      </c>
      <c r="M99" s="679"/>
      <c r="N99" s="679"/>
      <c r="O99" s="679"/>
      <c r="P99" s="679"/>
      <c r="Q99" s="679"/>
      <c r="R99" s="679"/>
      <c r="S99" s="679"/>
      <c r="T99" s="679"/>
      <c r="U99" s="679"/>
      <c r="V99" s="679"/>
      <c r="W99" s="679"/>
      <c r="X99" s="681"/>
      <c r="Y99" s="681"/>
      <c r="Z99" s="679" t="s">
        <v>1367</v>
      </c>
      <c r="AA99" s="682" t="s">
        <v>304</v>
      </c>
    </row>
    <row r="100" spans="1:27" s="64" customFormat="1" x14ac:dyDescent="0.25">
      <c r="A100" s="677" t="s">
        <v>1344</v>
      </c>
      <c r="B100" s="678"/>
      <c r="C100" s="678" t="s">
        <v>1347</v>
      </c>
      <c r="D100" s="678" t="s">
        <v>1114</v>
      </c>
      <c r="E100" s="678" t="s">
        <v>1370</v>
      </c>
      <c r="F100" s="678" t="s">
        <v>53</v>
      </c>
      <c r="G100" s="679" t="s">
        <v>47</v>
      </c>
      <c r="H100" s="678" t="s">
        <v>1366</v>
      </c>
      <c r="I100" s="680">
        <v>4120</v>
      </c>
      <c r="J100" s="680">
        <v>5150</v>
      </c>
      <c r="K100" s="680">
        <v>5150</v>
      </c>
      <c r="L100" s="680">
        <v>6520</v>
      </c>
      <c r="M100" s="679"/>
      <c r="N100" s="679"/>
      <c r="O100" s="679"/>
      <c r="P100" s="679"/>
      <c r="Q100" s="679"/>
      <c r="R100" s="679"/>
      <c r="S100" s="679"/>
      <c r="T100" s="679"/>
      <c r="U100" s="679"/>
      <c r="V100" s="679"/>
      <c r="W100" s="679"/>
      <c r="X100" s="681"/>
      <c r="Y100" s="681"/>
      <c r="Z100" s="679" t="s">
        <v>1367</v>
      </c>
      <c r="AA100" s="682" t="s">
        <v>304</v>
      </c>
    </row>
    <row r="101" spans="1:27" s="64" customFormat="1" x14ac:dyDescent="0.25">
      <c r="A101" s="677" t="s">
        <v>1344</v>
      </c>
      <c r="B101" s="678"/>
      <c r="C101" s="678" t="s">
        <v>1347</v>
      </c>
      <c r="D101" s="678" t="s">
        <v>1114</v>
      </c>
      <c r="E101" s="678" t="s">
        <v>1371</v>
      </c>
      <c r="F101" s="678" t="s">
        <v>53</v>
      </c>
      <c r="G101" s="679" t="s">
        <v>47</v>
      </c>
      <c r="H101" s="678" t="s">
        <v>1366</v>
      </c>
      <c r="I101" s="680">
        <v>4120</v>
      </c>
      <c r="J101" s="680">
        <v>5150</v>
      </c>
      <c r="K101" s="680">
        <v>5150</v>
      </c>
      <c r="L101" s="680">
        <v>6520</v>
      </c>
      <c r="M101" s="679"/>
      <c r="N101" s="679"/>
      <c r="O101" s="679"/>
      <c r="P101" s="679"/>
      <c r="Q101" s="679"/>
      <c r="R101" s="679"/>
      <c r="S101" s="679"/>
      <c r="T101" s="679"/>
      <c r="U101" s="679"/>
      <c r="V101" s="679"/>
      <c r="W101" s="679"/>
      <c r="X101" s="681"/>
      <c r="Y101" s="681"/>
      <c r="Z101" s="679" t="s">
        <v>1367</v>
      </c>
      <c r="AA101" s="682" t="s">
        <v>304</v>
      </c>
    </row>
    <row r="102" spans="1:27" s="64" customFormat="1" x14ac:dyDescent="0.25">
      <c r="A102" s="677" t="s">
        <v>1344</v>
      </c>
      <c r="B102" s="678"/>
      <c r="C102" s="678" t="s">
        <v>1347</v>
      </c>
      <c r="D102" s="678" t="s">
        <v>1114</v>
      </c>
      <c r="E102" s="678" t="s">
        <v>1372</v>
      </c>
      <c r="F102" s="678" t="s">
        <v>53</v>
      </c>
      <c r="G102" s="679" t="s">
        <v>47</v>
      </c>
      <c r="H102" s="678" t="s">
        <v>1366</v>
      </c>
      <c r="I102" s="680">
        <v>4120</v>
      </c>
      <c r="J102" s="680">
        <v>5150</v>
      </c>
      <c r="K102" s="680">
        <v>5150</v>
      </c>
      <c r="L102" s="680">
        <v>6520</v>
      </c>
      <c r="M102" s="679"/>
      <c r="N102" s="679"/>
      <c r="O102" s="679"/>
      <c r="P102" s="679"/>
      <c r="Q102" s="679"/>
      <c r="R102" s="679"/>
      <c r="S102" s="679"/>
      <c r="T102" s="679"/>
      <c r="U102" s="679"/>
      <c r="V102" s="679"/>
      <c r="W102" s="679"/>
      <c r="X102" s="681"/>
      <c r="Y102" s="681"/>
      <c r="Z102" s="679" t="s">
        <v>1367</v>
      </c>
      <c r="AA102" s="682" t="s">
        <v>304</v>
      </c>
    </row>
    <row r="103" spans="1:27" s="64" customFormat="1" x14ac:dyDescent="0.25">
      <c r="A103" s="677" t="s">
        <v>1344</v>
      </c>
      <c r="B103" s="678"/>
      <c r="C103" s="678" t="s">
        <v>1347</v>
      </c>
      <c r="D103" s="678" t="s">
        <v>1114</v>
      </c>
      <c r="E103" s="678" t="s">
        <v>1373</v>
      </c>
      <c r="F103" s="678" t="s">
        <v>53</v>
      </c>
      <c r="G103" s="679" t="s">
        <v>47</v>
      </c>
      <c r="H103" s="678" t="s">
        <v>1366</v>
      </c>
      <c r="I103" s="680">
        <v>3640</v>
      </c>
      <c r="J103" s="680">
        <v>4550</v>
      </c>
      <c r="K103" s="680">
        <v>4550</v>
      </c>
      <c r="L103" s="680">
        <v>5760</v>
      </c>
      <c r="M103" s="679"/>
      <c r="N103" s="679"/>
      <c r="O103" s="679"/>
      <c r="P103" s="679"/>
      <c r="Q103" s="679"/>
      <c r="R103" s="679"/>
      <c r="S103" s="679"/>
      <c r="T103" s="679"/>
      <c r="U103" s="679"/>
      <c r="V103" s="679"/>
      <c r="W103" s="679"/>
      <c r="X103" s="681"/>
      <c r="Y103" s="681"/>
      <c r="Z103" s="679" t="s">
        <v>1367</v>
      </c>
      <c r="AA103" s="682" t="s">
        <v>304</v>
      </c>
    </row>
    <row r="104" spans="1:27" s="64" customFormat="1" x14ac:dyDescent="0.25">
      <c r="A104" s="677" t="s">
        <v>1344</v>
      </c>
      <c r="B104" s="678"/>
      <c r="C104" s="678" t="s">
        <v>1347</v>
      </c>
      <c r="D104" s="678" t="s">
        <v>1114</v>
      </c>
      <c r="E104" s="678" t="s">
        <v>1374</v>
      </c>
      <c r="F104" s="678" t="s">
        <v>53</v>
      </c>
      <c r="G104" s="679" t="s">
        <v>47</v>
      </c>
      <c r="H104" s="678" t="s">
        <v>1366</v>
      </c>
      <c r="I104" s="680">
        <v>4280</v>
      </c>
      <c r="J104" s="680">
        <v>5350</v>
      </c>
      <c r="K104" s="680">
        <v>5350</v>
      </c>
      <c r="L104" s="680">
        <v>6775</v>
      </c>
      <c r="M104" s="679"/>
      <c r="N104" s="679"/>
      <c r="O104" s="679"/>
      <c r="P104" s="679"/>
      <c r="Q104" s="679"/>
      <c r="R104" s="679"/>
      <c r="S104" s="679"/>
      <c r="T104" s="679"/>
      <c r="U104" s="679"/>
      <c r="V104" s="679"/>
      <c r="W104" s="679"/>
      <c r="X104" s="681"/>
      <c r="Y104" s="681"/>
      <c r="Z104" s="679" t="s">
        <v>1367</v>
      </c>
      <c r="AA104" s="682" t="s">
        <v>304</v>
      </c>
    </row>
    <row r="105" spans="1:27" s="64" customFormat="1" x14ac:dyDescent="0.25">
      <c r="A105" s="677" t="s">
        <v>1344</v>
      </c>
      <c r="B105" s="678"/>
      <c r="C105" s="678" t="s">
        <v>1347</v>
      </c>
      <c r="D105" s="678" t="s">
        <v>1114</v>
      </c>
      <c r="E105" s="678" t="s">
        <v>1375</v>
      </c>
      <c r="F105" s="678" t="s">
        <v>53</v>
      </c>
      <c r="G105" s="679" t="s">
        <v>47</v>
      </c>
      <c r="H105" s="678" t="s">
        <v>1366</v>
      </c>
      <c r="I105" s="680">
        <v>4440</v>
      </c>
      <c r="J105" s="680">
        <v>5550</v>
      </c>
      <c r="K105" s="680">
        <v>5550</v>
      </c>
      <c r="L105" s="680">
        <v>7025</v>
      </c>
      <c r="M105" s="679"/>
      <c r="N105" s="679"/>
      <c r="O105" s="679"/>
      <c r="P105" s="679"/>
      <c r="Q105" s="679"/>
      <c r="R105" s="679"/>
      <c r="S105" s="679"/>
      <c r="T105" s="679"/>
      <c r="U105" s="679"/>
      <c r="V105" s="679"/>
      <c r="W105" s="679"/>
      <c r="X105" s="681"/>
      <c r="Y105" s="681"/>
      <c r="Z105" s="679" t="s">
        <v>1367</v>
      </c>
      <c r="AA105" s="682" t="s">
        <v>304</v>
      </c>
    </row>
    <row r="106" spans="1:27" s="64" customFormat="1" x14ac:dyDescent="0.25">
      <c r="A106" s="677" t="s">
        <v>1344</v>
      </c>
      <c r="B106" s="678"/>
      <c r="C106" s="678" t="s">
        <v>1347</v>
      </c>
      <c r="D106" s="678" t="s">
        <v>1114</v>
      </c>
      <c r="E106" s="678" t="s">
        <v>1376</v>
      </c>
      <c r="F106" s="678" t="s">
        <v>53</v>
      </c>
      <c r="G106" s="679" t="s">
        <v>47</v>
      </c>
      <c r="H106" s="678" t="s">
        <v>1366</v>
      </c>
      <c r="I106" s="680">
        <v>3880</v>
      </c>
      <c r="J106" s="680">
        <v>4850</v>
      </c>
      <c r="K106" s="680">
        <v>4850</v>
      </c>
      <c r="L106" s="680">
        <v>6140</v>
      </c>
      <c r="M106" s="679"/>
      <c r="N106" s="679"/>
      <c r="O106" s="679"/>
      <c r="P106" s="679"/>
      <c r="Q106" s="679"/>
      <c r="R106" s="679"/>
      <c r="S106" s="679"/>
      <c r="T106" s="679"/>
      <c r="U106" s="679"/>
      <c r="V106" s="679"/>
      <c r="W106" s="679"/>
      <c r="X106" s="681"/>
      <c r="Y106" s="681"/>
      <c r="Z106" s="679" t="s">
        <v>1367</v>
      </c>
      <c r="AA106" s="682" t="s">
        <v>304</v>
      </c>
    </row>
    <row r="107" spans="1:27" s="64" customFormat="1" x14ac:dyDescent="0.25">
      <c r="A107" s="677" t="s">
        <v>1344</v>
      </c>
      <c r="B107" s="678"/>
      <c r="C107" s="678" t="s">
        <v>1347</v>
      </c>
      <c r="D107" s="678" t="s">
        <v>1114</v>
      </c>
      <c r="E107" s="678" t="s">
        <v>1377</v>
      </c>
      <c r="F107" s="678" t="s">
        <v>53</v>
      </c>
      <c r="G107" s="679" t="s">
        <v>47</v>
      </c>
      <c r="H107" s="678" t="s">
        <v>1366</v>
      </c>
      <c r="I107" s="680">
        <v>3960</v>
      </c>
      <c r="J107" s="680">
        <v>4950</v>
      </c>
      <c r="K107" s="680">
        <v>4950</v>
      </c>
      <c r="L107" s="680">
        <v>6265</v>
      </c>
      <c r="M107" s="679"/>
      <c r="N107" s="679"/>
      <c r="O107" s="679"/>
      <c r="P107" s="679"/>
      <c r="Q107" s="679"/>
      <c r="R107" s="679"/>
      <c r="S107" s="679"/>
      <c r="T107" s="679"/>
      <c r="U107" s="679"/>
      <c r="V107" s="679"/>
      <c r="W107" s="679"/>
      <c r="X107" s="681"/>
      <c r="Y107" s="681"/>
      <c r="Z107" s="679" t="s">
        <v>1367</v>
      </c>
      <c r="AA107" s="682" t="s">
        <v>304</v>
      </c>
    </row>
    <row r="108" spans="1:27" s="64" customFormat="1" x14ac:dyDescent="0.25">
      <c r="A108" s="677" t="s">
        <v>1344</v>
      </c>
      <c r="B108" s="678"/>
      <c r="C108" s="678" t="s">
        <v>1347</v>
      </c>
      <c r="D108" s="678" t="s">
        <v>1114</v>
      </c>
      <c r="E108" s="678" t="s">
        <v>1378</v>
      </c>
      <c r="F108" s="678" t="s">
        <v>120</v>
      </c>
      <c r="G108" s="679" t="s">
        <v>49</v>
      </c>
      <c r="H108" s="678" t="s">
        <v>1366</v>
      </c>
      <c r="I108" s="680">
        <v>6040</v>
      </c>
      <c r="J108" s="680">
        <v>7550</v>
      </c>
      <c r="K108" s="680">
        <v>7550</v>
      </c>
      <c r="L108" s="680">
        <v>9560</v>
      </c>
      <c r="M108" s="679"/>
      <c r="N108" s="679"/>
      <c r="O108" s="679"/>
      <c r="P108" s="679"/>
      <c r="Q108" s="679"/>
      <c r="R108" s="679"/>
      <c r="S108" s="679"/>
      <c r="T108" s="679"/>
      <c r="U108" s="679"/>
      <c r="V108" s="679"/>
      <c r="W108" s="679"/>
      <c r="X108" s="681"/>
      <c r="Y108" s="681"/>
      <c r="Z108" s="679" t="s">
        <v>1367</v>
      </c>
      <c r="AA108" s="682" t="s">
        <v>304</v>
      </c>
    </row>
    <row r="109" spans="1:27" s="64" customFormat="1" x14ac:dyDescent="0.25">
      <c r="A109" s="677" t="s">
        <v>1344</v>
      </c>
      <c r="B109" s="678"/>
      <c r="C109" s="678" t="s">
        <v>1347</v>
      </c>
      <c r="D109" s="678" t="s">
        <v>1114</v>
      </c>
      <c r="E109" s="678" t="s">
        <v>1379</v>
      </c>
      <c r="F109" s="678" t="s">
        <v>53</v>
      </c>
      <c r="G109" s="679" t="s">
        <v>47</v>
      </c>
      <c r="H109" s="678" t="s">
        <v>1366</v>
      </c>
      <c r="I109" s="680">
        <v>3640</v>
      </c>
      <c r="J109" s="680">
        <v>4550</v>
      </c>
      <c r="K109" s="680">
        <v>4550</v>
      </c>
      <c r="L109" s="680">
        <v>5760</v>
      </c>
      <c r="M109" s="679"/>
      <c r="N109" s="679"/>
      <c r="O109" s="679"/>
      <c r="P109" s="679"/>
      <c r="Q109" s="679"/>
      <c r="R109" s="679"/>
      <c r="S109" s="679"/>
      <c r="T109" s="679"/>
      <c r="U109" s="679"/>
      <c r="V109" s="679"/>
      <c r="W109" s="679"/>
      <c r="X109" s="681"/>
      <c r="Y109" s="681"/>
      <c r="Z109" s="679" t="s">
        <v>1367</v>
      </c>
      <c r="AA109" s="682" t="s">
        <v>304</v>
      </c>
    </row>
    <row r="110" spans="1:27" s="64" customFormat="1" x14ac:dyDescent="0.25">
      <c r="A110" s="677" t="s">
        <v>1344</v>
      </c>
      <c r="B110" s="678"/>
      <c r="C110" s="678" t="s">
        <v>1347</v>
      </c>
      <c r="D110" s="678" t="s">
        <v>1368</v>
      </c>
      <c r="E110" s="678" t="s">
        <v>1379</v>
      </c>
      <c r="F110" s="678" t="s">
        <v>53</v>
      </c>
      <c r="G110" s="679" t="s">
        <v>47</v>
      </c>
      <c r="H110" s="678" t="s">
        <v>1366</v>
      </c>
      <c r="I110" s="680">
        <v>3640</v>
      </c>
      <c r="J110" s="680">
        <v>4550</v>
      </c>
      <c r="K110" s="680">
        <v>4550</v>
      </c>
      <c r="L110" s="680">
        <v>5760</v>
      </c>
      <c r="M110" s="679"/>
      <c r="N110" s="679"/>
      <c r="O110" s="679"/>
      <c r="P110" s="679"/>
      <c r="Q110" s="679"/>
      <c r="R110" s="679"/>
      <c r="S110" s="679"/>
      <c r="T110" s="679"/>
      <c r="U110" s="679"/>
      <c r="V110" s="679"/>
      <c r="W110" s="679"/>
      <c r="X110" s="681"/>
      <c r="Y110" s="681"/>
      <c r="Z110" s="679" t="s">
        <v>1367</v>
      </c>
      <c r="AA110" s="682" t="s">
        <v>304</v>
      </c>
    </row>
    <row r="111" spans="1:27" s="64" customFormat="1" x14ac:dyDescent="0.25">
      <c r="A111" s="677" t="s">
        <v>1344</v>
      </c>
      <c r="B111" s="678"/>
      <c r="C111" s="678" t="s">
        <v>1347</v>
      </c>
      <c r="D111" s="678" t="s">
        <v>1114</v>
      </c>
      <c r="E111" s="678" t="s">
        <v>1380</v>
      </c>
      <c r="F111" s="678" t="s">
        <v>53</v>
      </c>
      <c r="G111" s="679" t="s">
        <v>47</v>
      </c>
      <c r="H111" s="678" t="s">
        <v>1366</v>
      </c>
      <c r="I111" s="680">
        <v>4440</v>
      </c>
      <c r="J111" s="680">
        <v>5550</v>
      </c>
      <c r="K111" s="680">
        <v>5550</v>
      </c>
      <c r="L111" s="680">
        <v>7025</v>
      </c>
      <c r="M111" s="679"/>
      <c r="N111" s="679"/>
      <c r="O111" s="679"/>
      <c r="P111" s="679"/>
      <c r="Q111" s="679"/>
      <c r="R111" s="679"/>
      <c r="S111" s="679"/>
      <c r="T111" s="679"/>
      <c r="U111" s="679"/>
      <c r="V111" s="679"/>
      <c r="W111" s="679"/>
      <c r="X111" s="681"/>
      <c r="Y111" s="681"/>
      <c r="Z111" s="679" t="s">
        <v>1367</v>
      </c>
      <c r="AA111" s="682" t="s">
        <v>304</v>
      </c>
    </row>
    <row r="112" spans="1:27" s="64" customFormat="1" x14ac:dyDescent="0.25">
      <c r="A112" s="677" t="s">
        <v>1344</v>
      </c>
      <c r="B112" s="678"/>
      <c r="C112" s="678" t="s">
        <v>1347</v>
      </c>
      <c r="D112" s="678" t="s">
        <v>1114</v>
      </c>
      <c r="E112" s="678" t="s">
        <v>1382</v>
      </c>
      <c r="F112" s="678" t="s">
        <v>53</v>
      </c>
      <c r="G112" s="679" t="s">
        <v>47</v>
      </c>
      <c r="H112" s="678" t="s">
        <v>1366</v>
      </c>
      <c r="I112" s="680">
        <v>3720</v>
      </c>
      <c r="J112" s="680">
        <v>4650</v>
      </c>
      <c r="K112" s="680">
        <v>4650</v>
      </c>
      <c r="L112" s="680">
        <v>5885</v>
      </c>
      <c r="M112" s="679"/>
      <c r="N112" s="679"/>
      <c r="O112" s="679"/>
      <c r="P112" s="679"/>
      <c r="Q112" s="679"/>
      <c r="R112" s="679"/>
      <c r="S112" s="679"/>
      <c r="T112" s="679"/>
      <c r="U112" s="679"/>
      <c r="V112" s="679"/>
      <c r="W112" s="679"/>
      <c r="X112" s="681"/>
      <c r="Y112" s="681"/>
      <c r="Z112" s="679" t="s">
        <v>1367</v>
      </c>
      <c r="AA112" s="682" t="s">
        <v>304</v>
      </c>
    </row>
    <row r="113" spans="1:27" s="64" customFormat="1" x14ac:dyDescent="0.25">
      <c r="A113" s="677" t="s">
        <v>1344</v>
      </c>
      <c r="B113" s="678"/>
      <c r="C113" s="678" t="s">
        <v>1347</v>
      </c>
      <c r="D113" s="678" t="s">
        <v>1114</v>
      </c>
      <c r="E113" s="678" t="s">
        <v>1383</v>
      </c>
      <c r="F113" s="678" t="s">
        <v>53</v>
      </c>
      <c r="G113" s="679" t="s">
        <v>47</v>
      </c>
      <c r="H113" s="678" t="s">
        <v>1366</v>
      </c>
      <c r="I113" s="680">
        <v>3720</v>
      </c>
      <c r="J113" s="680">
        <v>4650</v>
      </c>
      <c r="K113" s="680">
        <v>4650</v>
      </c>
      <c r="L113" s="680">
        <v>5885</v>
      </c>
      <c r="M113" s="679"/>
      <c r="N113" s="679"/>
      <c r="O113" s="679"/>
      <c r="P113" s="679"/>
      <c r="Q113" s="679"/>
      <c r="R113" s="679"/>
      <c r="S113" s="679"/>
      <c r="T113" s="679"/>
      <c r="U113" s="679"/>
      <c r="V113" s="679"/>
      <c r="W113" s="679"/>
      <c r="X113" s="681"/>
      <c r="Y113" s="681"/>
      <c r="Z113" s="679" t="s">
        <v>1367</v>
      </c>
      <c r="AA113" s="682" t="s">
        <v>304</v>
      </c>
    </row>
    <row r="114" spans="1:27" s="64" customFormat="1" x14ac:dyDescent="0.25">
      <c r="A114" s="677" t="s">
        <v>1344</v>
      </c>
      <c r="B114" s="678"/>
      <c r="C114" s="678" t="s">
        <v>1347</v>
      </c>
      <c r="D114" s="678" t="s">
        <v>1114</v>
      </c>
      <c r="E114" s="678" t="s">
        <v>1384</v>
      </c>
      <c r="F114" s="678" t="s">
        <v>53</v>
      </c>
      <c r="G114" s="679" t="s">
        <v>47</v>
      </c>
      <c r="H114" s="678" t="s">
        <v>1366</v>
      </c>
      <c r="I114" s="680">
        <v>3800</v>
      </c>
      <c r="J114" s="680">
        <v>4750</v>
      </c>
      <c r="K114" s="680">
        <v>4750</v>
      </c>
      <c r="L114" s="680">
        <v>6015</v>
      </c>
      <c r="M114" s="679"/>
      <c r="N114" s="679"/>
      <c r="O114" s="679"/>
      <c r="P114" s="679"/>
      <c r="Q114" s="679"/>
      <c r="R114" s="679"/>
      <c r="S114" s="679"/>
      <c r="T114" s="679"/>
      <c r="U114" s="679"/>
      <c r="V114" s="679"/>
      <c r="W114" s="679"/>
      <c r="X114" s="681"/>
      <c r="Y114" s="681"/>
      <c r="Z114" s="679" t="s">
        <v>1367</v>
      </c>
      <c r="AA114" s="682" t="s">
        <v>304</v>
      </c>
    </row>
    <row r="115" spans="1:27" s="64" customFormat="1" x14ac:dyDescent="0.25">
      <c r="A115" s="677" t="s">
        <v>1344</v>
      </c>
      <c r="B115" s="678"/>
      <c r="C115" s="678" t="s">
        <v>1347</v>
      </c>
      <c r="D115" s="678" t="s">
        <v>1368</v>
      </c>
      <c r="E115" s="678" t="s">
        <v>1384</v>
      </c>
      <c r="F115" s="678" t="s">
        <v>53</v>
      </c>
      <c r="G115" s="679" t="s">
        <v>47</v>
      </c>
      <c r="H115" s="678" t="s">
        <v>1366</v>
      </c>
      <c r="I115" s="680">
        <v>3560</v>
      </c>
      <c r="J115" s="680">
        <v>4450</v>
      </c>
      <c r="K115" s="680">
        <v>4450</v>
      </c>
      <c r="L115" s="680">
        <v>5635</v>
      </c>
      <c r="M115" s="679"/>
      <c r="N115" s="679"/>
      <c r="O115" s="679"/>
      <c r="P115" s="679"/>
      <c r="Q115" s="679"/>
      <c r="R115" s="679"/>
      <c r="S115" s="679"/>
      <c r="T115" s="679"/>
      <c r="U115" s="679"/>
      <c r="V115" s="679"/>
      <c r="W115" s="679"/>
      <c r="X115" s="681"/>
      <c r="Y115" s="681"/>
      <c r="Z115" s="679" t="s">
        <v>1367</v>
      </c>
      <c r="AA115" s="682" t="s">
        <v>304</v>
      </c>
    </row>
    <row r="116" spans="1:27" s="64" customFormat="1" x14ac:dyDescent="0.25">
      <c r="A116" s="677" t="s">
        <v>1344</v>
      </c>
      <c r="B116" s="678"/>
      <c r="C116" s="678" t="s">
        <v>1347</v>
      </c>
      <c r="D116" s="678" t="s">
        <v>1114</v>
      </c>
      <c r="E116" s="678" t="s">
        <v>1385</v>
      </c>
      <c r="F116" s="678" t="s">
        <v>53</v>
      </c>
      <c r="G116" s="679" t="s">
        <v>47</v>
      </c>
      <c r="H116" s="678" t="s">
        <v>1366</v>
      </c>
      <c r="I116" s="680">
        <v>4840</v>
      </c>
      <c r="J116" s="680">
        <v>6050</v>
      </c>
      <c r="K116" s="680">
        <v>6050</v>
      </c>
      <c r="L116" s="680">
        <v>7660</v>
      </c>
      <c r="M116" s="679"/>
      <c r="N116" s="679"/>
      <c r="O116" s="679"/>
      <c r="P116" s="679"/>
      <c r="Q116" s="679"/>
      <c r="R116" s="679"/>
      <c r="S116" s="679"/>
      <c r="T116" s="679"/>
      <c r="U116" s="679"/>
      <c r="V116" s="679"/>
      <c r="W116" s="679"/>
      <c r="X116" s="681"/>
      <c r="Y116" s="681"/>
      <c r="Z116" s="679" t="s">
        <v>1367</v>
      </c>
      <c r="AA116" s="682" t="s">
        <v>304</v>
      </c>
    </row>
    <row r="117" spans="1:27" s="64" customFormat="1" x14ac:dyDescent="0.25">
      <c r="A117" s="677" t="s">
        <v>1344</v>
      </c>
      <c r="B117" s="678"/>
      <c r="C117" s="678" t="s">
        <v>1347</v>
      </c>
      <c r="D117" s="678" t="s">
        <v>1114</v>
      </c>
      <c r="E117" s="678" t="s">
        <v>1386</v>
      </c>
      <c r="F117" s="678" t="s">
        <v>53</v>
      </c>
      <c r="G117" s="679" t="s">
        <v>47</v>
      </c>
      <c r="H117" s="678" t="s">
        <v>1366</v>
      </c>
      <c r="I117" s="680">
        <v>4280</v>
      </c>
      <c r="J117" s="680">
        <v>5350</v>
      </c>
      <c r="K117" s="680">
        <v>5350</v>
      </c>
      <c r="L117" s="680">
        <v>6775</v>
      </c>
      <c r="M117" s="679"/>
      <c r="N117" s="679"/>
      <c r="O117" s="679"/>
      <c r="P117" s="679"/>
      <c r="Q117" s="679"/>
      <c r="R117" s="679"/>
      <c r="S117" s="679"/>
      <c r="T117" s="679"/>
      <c r="U117" s="679"/>
      <c r="V117" s="679"/>
      <c r="W117" s="679"/>
      <c r="X117" s="681"/>
      <c r="Y117" s="681"/>
      <c r="Z117" s="679" t="s">
        <v>1367</v>
      </c>
      <c r="AA117" s="682" t="s">
        <v>304</v>
      </c>
    </row>
    <row r="118" spans="1:27" s="64" customFormat="1" x14ac:dyDescent="0.25">
      <c r="A118" s="677" t="s">
        <v>1344</v>
      </c>
      <c r="B118" s="678"/>
      <c r="C118" s="678" t="s">
        <v>1347</v>
      </c>
      <c r="D118" s="678" t="s">
        <v>1114</v>
      </c>
      <c r="E118" s="678" t="s">
        <v>1387</v>
      </c>
      <c r="F118" s="678" t="s">
        <v>53</v>
      </c>
      <c r="G118" s="679" t="s">
        <v>47</v>
      </c>
      <c r="H118" s="678" t="s">
        <v>1366</v>
      </c>
      <c r="I118" s="680">
        <v>5400</v>
      </c>
      <c r="J118" s="680">
        <v>6750</v>
      </c>
      <c r="K118" s="680">
        <v>6750</v>
      </c>
      <c r="L118" s="680">
        <v>8545</v>
      </c>
      <c r="M118" s="679"/>
      <c r="N118" s="679"/>
      <c r="O118" s="679"/>
      <c r="P118" s="679"/>
      <c r="Q118" s="679"/>
      <c r="R118" s="679"/>
      <c r="S118" s="679"/>
      <c r="T118" s="679"/>
      <c r="U118" s="679"/>
      <c r="V118" s="679"/>
      <c r="W118" s="679"/>
      <c r="X118" s="681"/>
      <c r="Y118" s="681"/>
      <c r="Z118" s="679" t="s">
        <v>1367</v>
      </c>
      <c r="AA118" s="682" t="s">
        <v>304</v>
      </c>
    </row>
    <row r="119" spans="1:27" s="64" customFormat="1" x14ac:dyDescent="0.25">
      <c r="A119" s="677" t="s">
        <v>1344</v>
      </c>
      <c r="B119" s="678"/>
      <c r="C119" s="678" t="s">
        <v>1347</v>
      </c>
      <c r="D119" s="678" t="s">
        <v>1114</v>
      </c>
      <c r="E119" s="678" t="s">
        <v>1388</v>
      </c>
      <c r="F119" s="678" t="s">
        <v>53</v>
      </c>
      <c r="G119" s="679" t="s">
        <v>47</v>
      </c>
      <c r="H119" s="678" t="s">
        <v>1366</v>
      </c>
      <c r="I119" s="680">
        <v>5400</v>
      </c>
      <c r="J119" s="680">
        <v>6750</v>
      </c>
      <c r="K119" s="680">
        <v>6750</v>
      </c>
      <c r="L119" s="680">
        <v>8545</v>
      </c>
      <c r="M119" s="679"/>
      <c r="N119" s="679"/>
      <c r="O119" s="679"/>
      <c r="P119" s="679"/>
      <c r="Q119" s="679"/>
      <c r="R119" s="679"/>
      <c r="S119" s="679"/>
      <c r="T119" s="679"/>
      <c r="U119" s="679"/>
      <c r="V119" s="679"/>
      <c r="W119" s="679"/>
      <c r="X119" s="681"/>
      <c r="Y119" s="681"/>
      <c r="Z119" s="679" t="s">
        <v>1367</v>
      </c>
      <c r="AA119" s="682" t="s">
        <v>304</v>
      </c>
    </row>
    <row r="120" spans="1:27" s="64" customFormat="1" x14ac:dyDescent="0.25">
      <c r="A120" s="677" t="s">
        <v>1344</v>
      </c>
      <c r="B120" s="678"/>
      <c r="C120" s="678" t="s">
        <v>1347</v>
      </c>
      <c r="D120" s="678" t="s">
        <v>1114</v>
      </c>
      <c r="E120" s="678" t="s">
        <v>1389</v>
      </c>
      <c r="F120" s="678" t="s">
        <v>53</v>
      </c>
      <c r="G120" s="679" t="s">
        <v>47</v>
      </c>
      <c r="H120" s="678" t="s">
        <v>1366</v>
      </c>
      <c r="I120" s="680">
        <v>5400</v>
      </c>
      <c r="J120" s="680">
        <v>6750</v>
      </c>
      <c r="K120" s="680">
        <v>6750</v>
      </c>
      <c r="L120" s="680">
        <v>8545</v>
      </c>
      <c r="M120" s="679"/>
      <c r="N120" s="679"/>
      <c r="O120" s="679"/>
      <c r="P120" s="679"/>
      <c r="Q120" s="679"/>
      <c r="R120" s="679"/>
      <c r="S120" s="679"/>
      <c r="T120" s="679"/>
      <c r="U120" s="679"/>
      <c r="V120" s="679"/>
      <c r="W120" s="679"/>
      <c r="X120" s="681"/>
      <c r="Y120" s="681"/>
      <c r="Z120" s="679" t="s">
        <v>1367</v>
      </c>
      <c r="AA120" s="682" t="s">
        <v>304</v>
      </c>
    </row>
    <row r="121" spans="1:27" s="64" customFormat="1" x14ac:dyDescent="0.25">
      <c r="A121" s="677" t="s">
        <v>1344</v>
      </c>
      <c r="B121" s="678"/>
      <c r="C121" s="678" t="s">
        <v>1347</v>
      </c>
      <c r="D121" s="678" t="s">
        <v>1114</v>
      </c>
      <c r="E121" s="678" t="s">
        <v>1390</v>
      </c>
      <c r="F121" s="678" t="s">
        <v>53</v>
      </c>
      <c r="G121" s="679" t="s">
        <v>47</v>
      </c>
      <c r="H121" s="678" t="s">
        <v>1366</v>
      </c>
      <c r="I121" s="680">
        <v>5400</v>
      </c>
      <c r="J121" s="680">
        <v>6750</v>
      </c>
      <c r="K121" s="680">
        <v>6750</v>
      </c>
      <c r="L121" s="680">
        <v>8545</v>
      </c>
      <c r="M121" s="679"/>
      <c r="N121" s="679"/>
      <c r="O121" s="679"/>
      <c r="P121" s="679"/>
      <c r="Q121" s="679"/>
      <c r="R121" s="679"/>
      <c r="S121" s="679"/>
      <c r="T121" s="679"/>
      <c r="U121" s="679"/>
      <c r="V121" s="679"/>
      <c r="W121" s="679"/>
      <c r="X121" s="681"/>
      <c r="Y121" s="681"/>
      <c r="Z121" s="679" t="s">
        <v>1367</v>
      </c>
      <c r="AA121" s="682" t="s">
        <v>304</v>
      </c>
    </row>
    <row r="122" spans="1:27" s="64" customFormat="1" x14ac:dyDescent="0.25">
      <c r="A122" s="677" t="s">
        <v>1344</v>
      </c>
      <c r="B122" s="678"/>
      <c r="C122" s="678" t="s">
        <v>1347</v>
      </c>
      <c r="D122" s="678" t="s">
        <v>1114</v>
      </c>
      <c r="E122" s="678" t="s">
        <v>1391</v>
      </c>
      <c r="F122" s="678" t="s">
        <v>53</v>
      </c>
      <c r="G122" s="679" t="s">
        <v>47</v>
      </c>
      <c r="H122" s="678" t="s">
        <v>1366</v>
      </c>
      <c r="I122" s="680">
        <v>5400</v>
      </c>
      <c r="J122" s="680">
        <v>6750</v>
      </c>
      <c r="K122" s="680">
        <v>6750</v>
      </c>
      <c r="L122" s="680">
        <v>8545</v>
      </c>
      <c r="M122" s="679"/>
      <c r="N122" s="679"/>
      <c r="O122" s="679"/>
      <c r="P122" s="679"/>
      <c r="Q122" s="679"/>
      <c r="R122" s="679"/>
      <c r="S122" s="679"/>
      <c r="T122" s="679"/>
      <c r="U122" s="679"/>
      <c r="V122" s="679"/>
      <c r="W122" s="679"/>
      <c r="X122" s="681"/>
      <c r="Y122" s="681"/>
      <c r="Z122" s="679" t="s">
        <v>1367</v>
      </c>
      <c r="AA122" s="682" t="s">
        <v>304</v>
      </c>
    </row>
    <row r="123" spans="1:27" s="64" customFormat="1" x14ac:dyDescent="0.25">
      <c r="A123" s="677" t="s">
        <v>1344</v>
      </c>
      <c r="B123" s="678"/>
      <c r="C123" s="678" t="s">
        <v>1392</v>
      </c>
      <c r="D123" s="678" t="s">
        <v>1114</v>
      </c>
      <c r="E123" s="678"/>
      <c r="F123" s="678" t="s">
        <v>51</v>
      </c>
      <c r="G123" s="679" t="s">
        <v>47</v>
      </c>
      <c r="H123" s="678" t="s">
        <v>1366</v>
      </c>
      <c r="I123" s="680">
        <v>1680</v>
      </c>
      <c r="J123" s="680">
        <v>2100</v>
      </c>
      <c r="K123" s="680">
        <v>2100</v>
      </c>
      <c r="L123" s="680">
        <v>2660</v>
      </c>
      <c r="M123" s="679"/>
      <c r="N123" s="679"/>
      <c r="O123" s="679"/>
      <c r="P123" s="679"/>
      <c r="Q123" s="679"/>
      <c r="R123" s="679"/>
      <c r="S123" s="679"/>
      <c r="T123" s="679"/>
      <c r="U123" s="679"/>
      <c r="V123" s="679"/>
      <c r="W123" s="679"/>
      <c r="X123" s="681"/>
      <c r="Y123" s="681"/>
      <c r="Z123" s="679" t="s">
        <v>1367</v>
      </c>
      <c r="AA123" s="682" t="s">
        <v>304</v>
      </c>
    </row>
    <row r="124" spans="1:27" s="64" customFormat="1" x14ac:dyDescent="0.25">
      <c r="A124" s="677" t="s">
        <v>1344</v>
      </c>
      <c r="B124" s="678"/>
      <c r="C124" s="678" t="s">
        <v>1392</v>
      </c>
      <c r="D124" s="678" t="s">
        <v>1368</v>
      </c>
      <c r="E124" s="678"/>
      <c r="F124" s="678" t="s">
        <v>51</v>
      </c>
      <c r="G124" s="679" t="s">
        <v>47</v>
      </c>
      <c r="H124" s="678" t="s">
        <v>1366</v>
      </c>
      <c r="I124" s="680">
        <v>1680</v>
      </c>
      <c r="J124" s="680">
        <v>2100</v>
      </c>
      <c r="K124" s="680">
        <v>2100</v>
      </c>
      <c r="L124" s="680">
        <v>2660</v>
      </c>
      <c r="M124" s="679"/>
      <c r="N124" s="679"/>
      <c r="O124" s="679"/>
      <c r="P124" s="679"/>
      <c r="Q124" s="679"/>
      <c r="R124" s="679"/>
      <c r="S124" s="679"/>
      <c r="T124" s="679"/>
      <c r="U124" s="679"/>
      <c r="V124" s="679"/>
      <c r="W124" s="679"/>
      <c r="X124" s="681"/>
      <c r="Y124" s="681"/>
      <c r="Z124" s="679" t="s">
        <v>1367</v>
      </c>
      <c r="AA124" s="682" t="s">
        <v>304</v>
      </c>
    </row>
    <row r="125" spans="1:27" s="64" customFormat="1" x14ac:dyDescent="0.25">
      <c r="A125" s="677" t="s">
        <v>1344</v>
      </c>
      <c r="B125" s="678"/>
      <c r="C125" s="678" t="s">
        <v>1392</v>
      </c>
      <c r="D125" s="678" t="s">
        <v>1114</v>
      </c>
      <c r="E125" s="678" t="s">
        <v>1369</v>
      </c>
      <c r="F125" s="678" t="s">
        <v>53</v>
      </c>
      <c r="G125" s="679" t="s">
        <v>47</v>
      </c>
      <c r="H125" s="678" t="s">
        <v>1366</v>
      </c>
      <c r="I125" s="680">
        <v>3870</v>
      </c>
      <c r="J125" s="680">
        <v>4550</v>
      </c>
      <c r="K125" s="680">
        <v>4550</v>
      </c>
      <c r="L125" s="680">
        <v>5760</v>
      </c>
      <c r="M125" s="679"/>
      <c r="N125" s="679"/>
      <c r="O125" s="679"/>
      <c r="P125" s="679"/>
      <c r="Q125" s="679"/>
      <c r="R125" s="679"/>
      <c r="S125" s="679"/>
      <c r="T125" s="679"/>
      <c r="U125" s="679"/>
      <c r="V125" s="679"/>
      <c r="W125" s="679"/>
      <c r="X125" s="681"/>
      <c r="Y125" s="681"/>
      <c r="Z125" s="679" t="s">
        <v>1367</v>
      </c>
      <c r="AA125" s="682" t="s">
        <v>304</v>
      </c>
    </row>
    <row r="126" spans="1:27" s="64" customFormat="1" x14ac:dyDescent="0.25">
      <c r="A126" s="677" t="s">
        <v>1344</v>
      </c>
      <c r="B126" s="678"/>
      <c r="C126" s="678" t="s">
        <v>1392</v>
      </c>
      <c r="D126" s="678" t="s">
        <v>1114</v>
      </c>
      <c r="E126" s="678" t="s">
        <v>1370</v>
      </c>
      <c r="F126" s="678" t="s">
        <v>53</v>
      </c>
      <c r="G126" s="679" t="s">
        <v>47</v>
      </c>
      <c r="H126" s="678" t="s">
        <v>1366</v>
      </c>
      <c r="I126" s="680">
        <v>4380</v>
      </c>
      <c r="J126" s="680">
        <v>5150</v>
      </c>
      <c r="K126" s="680">
        <v>5150</v>
      </c>
      <c r="L126" s="680">
        <v>6520</v>
      </c>
      <c r="M126" s="679"/>
      <c r="N126" s="679"/>
      <c r="O126" s="679"/>
      <c r="P126" s="679"/>
      <c r="Q126" s="679"/>
      <c r="R126" s="679"/>
      <c r="S126" s="679"/>
      <c r="T126" s="679"/>
      <c r="U126" s="679"/>
      <c r="V126" s="679"/>
      <c r="W126" s="679"/>
      <c r="X126" s="681"/>
      <c r="Y126" s="681"/>
      <c r="Z126" s="679" t="s">
        <v>1367</v>
      </c>
      <c r="AA126" s="682" t="s">
        <v>304</v>
      </c>
    </row>
    <row r="127" spans="1:27" s="64" customFormat="1" x14ac:dyDescent="0.25">
      <c r="A127" s="677" t="s">
        <v>1344</v>
      </c>
      <c r="B127" s="678"/>
      <c r="C127" s="678" t="s">
        <v>1392</v>
      </c>
      <c r="D127" s="678" t="s">
        <v>1114</v>
      </c>
      <c r="E127" s="678" t="s">
        <v>1371</v>
      </c>
      <c r="F127" s="678" t="s">
        <v>53</v>
      </c>
      <c r="G127" s="679" t="s">
        <v>47</v>
      </c>
      <c r="H127" s="678" t="s">
        <v>1366</v>
      </c>
      <c r="I127" s="680">
        <v>4380</v>
      </c>
      <c r="J127" s="680">
        <v>5150</v>
      </c>
      <c r="K127" s="680">
        <v>5150</v>
      </c>
      <c r="L127" s="680">
        <v>6520</v>
      </c>
      <c r="M127" s="679"/>
      <c r="N127" s="679"/>
      <c r="O127" s="679"/>
      <c r="P127" s="679"/>
      <c r="Q127" s="679"/>
      <c r="R127" s="679"/>
      <c r="S127" s="679"/>
      <c r="T127" s="679"/>
      <c r="U127" s="679"/>
      <c r="V127" s="679"/>
      <c r="W127" s="679"/>
      <c r="X127" s="681"/>
      <c r="Y127" s="681"/>
      <c r="Z127" s="679" t="s">
        <v>1367</v>
      </c>
      <c r="AA127" s="682" t="s">
        <v>304</v>
      </c>
    </row>
    <row r="128" spans="1:27" s="64" customFormat="1" x14ac:dyDescent="0.25">
      <c r="A128" s="677" t="s">
        <v>1344</v>
      </c>
      <c r="B128" s="678"/>
      <c r="C128" s="678" t="s">
        <v>1392</v>
      </c>
      <c r="D128" s="678" t="s">
        <v>1114</v>
      </c>
      <c r="E128" s="678" t="s">
        <v>1372</v>
      </c>
      <c r="F128" s="678" t="s">
        <v>53</v>
      </c>
      <c r="G128" s="679" t="s">
        <v>47</v>
      </c>
      <c r="H128" s="678" t="s">
        <v>1366</v>
      </c>
      <c r="I128" s="680">
        <v>4380</v>
      </c>
      <c r="J128" s="680">
        <v>5150</v>
      </c>
      <c r="K128" s="680">
        <v>5150</v>
      </c>
      <c r="L128" s="680">
        <v>6520</v>
      </c>
      <c r="M128" s="679"/>
      <c r="N128" s="679"/>
      <c r="O128" s="679"/>
      <c r="P128" s="679"/>
      <c r="Q128" s="679"/>
      <c r="R128" s="679"/>
      <c r="S128" s="679"/>
      <c r="T128" s="679"/>
      <c r="U128" s="679"/>
      <c r="V128" s="679"/>
      <c r="W128" s="679"/>
      <c r="X128" s="681"/>
      <c r="Y128" s="681"/>
      <c r="Z128" s="679" t="s">
        <v>1367</v>
      </c>
      <c r="AA128" s="682" t="s">
        <v>304</v>
      </c>
    </row>
    <row r="129" spans="1:27" s="64" customFormat="1" x14ac:dyDescent="0.25">
      <c r="A129" s="677" t="s">
        <v>1344</v>
      </c>
      <c r="B129" s="678"/>
      <c r="C129" s="678" t="s">
        <v>1392</v>
      </c>
      <c r="D129" s="678" t="s">
        <v>1114</v>
      </c>
      <c r="E129" s="678" t="s">
        <v>1373</v>
      </c>
      <c r="F129" s="678" t="s">
        <v>53</v>
      </c>
      <c r="G129" s="679" t="s">
        <v>47</v>
      </c>
      <c r="H129" s="678" t="s">
        <v>1366</v>
      </c>
      <c r="I129" s="680">
        <v>3870</v>
      </c>
      <c r="J129" s="680">
        <v>4550</v>
      </c>
      <c r="K129" s="680">
        <v>4550</v>
      </c>
      <c r="L129" s="680">
        <v>5760</v>
      </c>
      <c r="M129" s="679"/>
      <c r="N129" s="679"/>
      <c r="O129" s="679"/>
      <c r="P129" s="679"/>
      <c r="Q129" s="679"/>
      <c r="R129" s="679"/>
      <c r="S129" s="679"/>
      <c r="T129" s="679"/>
      <c r="U129" s="679"/>
      <c r="V129" s="679"/>
      <c r="W129" s="679"/>
      <c r="X129" s="681"/>
      <c r="Y129" s="681"/>
      <c r="Z129" s="679" t="s">
        <v>1367</v>
      </c>
      <c r="AA129" s="682" t="s">
        <v>304</v>
      </c>
    </row>
    <row r="130" spans="1:27" s="64" customFormat="1" x14ac:dyDescent="0.25">
      <c r="A130" s="677" t="s">
        <v>1344</v>
      </c>
      <c r="B130" s="678"/>
      <c r="C130" s="678" t="s">
        <v>1392</v>
      </c>
      <c r="D130" s="678" t="s">
        <v>1114</v>
      </c>
      <c r="E130" s="678" t="s">
        <v>1374</v>
      </c>
      <c r="F130" s="678" t="s">
        <v>53</v>
      </c>
      <c r="G130" s="679" t="s">
        <v>47</v>
      </c>
      <c r="H130" s="678" t="s">
        <v>1366</v>
      </c>
      <c r="I130" s="680">
        <v>4550</v>
      </c>
      <c r="J130" s="680">
        <v>5350</v>
      </c>
      <c r="K130" s="680">
        <v>5350</v>
      </c>
      <c r="L130" s="680">
        <v>6775</v>
      </c>
      <c r="M130" s="679"/>
      <c r="N130" s="679"/>
      <c r="O130" s="679"/>
      <c r="P130" s="679"/>
      <c r="Q130" s="679"/>
      <c r="R130" s="679"/>
      <c r="S130" s="679"/>
      <c r="T130" s="679"/>
      <c r="U130" s="679"/>
      <c r="V130" s="679"/>
      <c r="W130" s="679"/>
      <c r="X130" s="681"/>
      <c r="Y130" s="681"/>
      <c r="Z130" s="679" t="s">
        <v>1367</v>
      </c>
      <c r="AA130" s="682" t="s">
        <v>304</v>
      </c>
    </row>
    <row r="131" spans="1:27" s="64" customFormat="1" x14ac:dyDescent="0.25">
      <c r="A131" s="677" t="s">
        <v>1344</v>
      </c>
      <c r="B131" s="678"/>
      <c r="C131" s="678" t="s">
        <v>1392</v>
      </c>
      <c r="D131" s="678" t="s">
        <v>1114</v>
      </c>
      <c r="E131" s="678" t="s">
        <v>1375</v>
      </c>
      <c r="F131" s="678" t="s">
        <v>53</v>
      </c>
      <c r="G131" s="679" t="s">
        <v>47</v>
      </c>
      <c r="H131" s="678" t="s">
        <v>1366</v>
      </c>
      <c r="I131" s="680">
        <v>4720</v>
      </c>
      <c r="J131" s="680">
        <v>5550</v>
      </c>
      <c r="K131" s="680">
        <v>5550</v>
      </c>
      <c r="L131" s="680">
        <v>7025</v>
      </c>
      <c r="M131" s="679"/>
      <c r="N131" s="679"/>
      <c r="O131" s="679"/>
      <c r="P131" s="679"/>
      <c r="Q131" s="679"/>
      <c r="R131" s="679"/>
      <c r="S131" s="679"/>
      <c r="T131" s="679"/>
      <c r="U131" s="679"/>
      <c r="V131" s="679"/>
      <c r="W131" s="679"/>
      <c r="X131" s="681"/>
      <c r="Y131" s="681"/>
      <c r="Z131" s="679" t="s">
        <v>1367</v>
      </c>
      <c r="AA131" s="682" t="s">
        <v>304</v>
      </c>
    </row>
    <row r="132" spans="1:27" s="64" customFormat="1" x14ac:dyDescent="0.25">
      <c r="A132" s="677" t="s">
        <v>1344</v>
      </c>
      <c r="B132" s="678"/>
      <c r="C132" s="678" t="s">
        <v>1392</v>
      </c>
      <c r="D132" s="678" t="s">
        <v>1114</v>
      </c>
      <c r="E132" s="678" t="s">
        <v>1376</v>
      </c>
      <c r="F132" s="678" t="s">
        <v>53</v>
      </c>
      <c r="G132" s="679" t="s">
        <v>47</v>
      </c>
      <c r="H132" s="678" t="s">
        <v>1366</v>
      </c>
      <c r="I132" s="680">
        <v>4125</v>
      </c>
      <c r="J132" s="680">
        <v>4850</v>
      </c>
      <c r="K132" s="680">
        <v>4850</v>
      </c>
      <c r="L132" s="680">
        <v>6140</v>
      </c>
      <c r="M132" s="679"/>
      <c r="N132" s="679"/>
      <c r="O132" s="679"/>
      <c r="P132" s="679"/>
      <c r="Q132" s="679"/>
      <c r="R132" s="679"/>
      <c r="S132" s="679"/>
      <c r="T132" s="679"/>
      <c r="U132" s="679"/>
      <c r="V132" s="679"/>
      <c r="W132" s="679"/>
      <c r="X132" s="681"/>
      <c r="Y132" s="681"/>
      <c r="Z132" s="679" t="s">
        <v>1367</v>
      </c>
      <c r="AA132" s="682" t="s">
        <v>304</v>
      </c>
    </row>
    <row r="133" spans="1:27" s="64" customFormat="1" x14ac:dyDescent="0.25">
      <c r="A133" s="677" t="s">
        <v>1344</v>
      </c>
      <c r="B133" s="678"/>
      <c r="C133" s="678" t="s">
        <v>1392</v>
      </c>
      <c r="D133" s="678" t="s">
        <v>1114</v>
      </c>
      <c r="E133" s="678" t="s">
        <v>1377</v>
      </c>
      <c r="F133" s="678" t="s">
        <v>53</v>
      </c>
      <c r="G133" s="679" t="s">
        <v>47</v>
      </c>
      <c r="H133" s="678" t="s">
        <v>1366</v>
      </c>
      <c r="I133" s="680">
        <v>4210</v>
      </c>
      <c r="J133" s="680">
        <v>4950</v>
      </c>
      <c r="K133" s="680">
        <v>4950</v>
      </c>
      <c r="L133" s="680">
        <v>6265</v>
      </c>
      <c r="M133" s="679"/>
      <c r="N133" s="679"/>
      <c r="O133" s="679"/>
      <c r="P133" s="679"/>
      <c r="Q133" s="679"/>
      <c r="R133" s="679"/>
      <c r="S133" s="679"/>
      <c r="T133" s="679"/>
      <c r="U133" s="679"/>
      <c r="V133" s="679"/>
      <c r="W133" s="679"/>
      <c r="X133" s="681"/>
      <c r="Y133" s="681"/>
      <c r="Z133" s="679" t="s">
        <v>1367</v>
      </c>
      <c r="AA133" s="682" t="s">
        <v>304</v>
      </c>
    </row>
    <row r="134" spans="1:27" s="64" customFormat="1" x14ac:dyDescent="0.25">
      <c r="A134" s="677" t="s">
        <v>1344</v>
      </c>
      <c r="B134" s="678"/>
      <c r="C134" s="678" t="s">
        <v>1392</v>
      </c>
      <c r="D134" s="678" t="s">
        <v>1114</v>
      </c>
      <c r="E134" s="678" t="s">
        <v>1378</v>
      </c>
      <c r="F134" s="678" t="s">
        <v>120</v>
      </c>
      <c r="G134" s="679" t="s">
        <v>49</v>
      </c>
      <c r="H134" s="678" t="s">
        <v>1366</v>
      </c>
      <c r="I134" s="680">
        <v>6420</v>
      </c>
      <c r="J134" s="680">
        <v>7550</v>
      </c>
      <c r="K134" s="680">
        <v>7550</v>
      </c>
      <c r="L134" s="680">
        <v>9560</v>
      </c>
      <c r="M134" s="679"/>
      <c r="N134" s="679"/>
      <c r="O134" s="679"/>
      <c r="P134" s="679"/>
      <c r="Q134" s="679"/>
      <c r="R134" s="679"/>
      <c r="S134" s="679"/>
      <c r="T134" s="679"/>
      <c r="U134" s="679"/>
      <c r="V134" s="679"/>
      <c r="W134" s="679"/>
      <c r="X134" s="681"/>
      <c r="Y134" s="681"/>
      <c r="Z134" s="679" t="s">
        <v>1367</v>
      </c>
      <c r="AA134" s="682" t="s">
        <v>304</v>
      </c>
    </row>
    <row r="135" spans="1:27" s="64" customFormat="1" x14ac:dyDescent="0.25">
      <c r="A135" s="677" t="s">
        <v>1344</v>
      </c>
      <c r="B135" s="678"/>
      <c r="C135" s="678" t="s">
        <v>1392</v>
      </c>
      <c r="D135" s="678" t="s">
        <v>1114</v>
      </c>
      <c r="E135" s="678" t="s">
        <v>1379</v>
      </c>
      <c r="F135" s="678" t="s">
        <v>53</v>
      </c>
      <c r="G135" s="679" t="s">
        <v>47</v>
      </c>
      <c r="H135" s="678" t="s">
        <v>1366</v>
      </c>
      <c r="I135" s="680">
        <v>3870</v>
      </c>
      <c r="J135" s="680">
        <v>4550</v>
      </c>
      <c r="K135" s="680">
        <v>4550</v>
      </c>
      <c r="L135" s="680">
        <v>5760</v>
      </c>
      <c r="M135" s="679"/>
      <c r="N135" s="679"/>
      <c r="O135" s="679"/>
      <c r="P135" s="679"/>
      <c r="Q135" s="679"/>
      <c r="R135" s="679"/>
      <c r="S135" s="679"/>
      <c r="T135" s="679"/>
      <c r="U135" s="679"/>
      <c r="V135" s="679"/>
      <c r="W135" s="679"/>
      <c r="X135" s="681"/>
      <c r="Y135" s="681"/>
      <c r="Z135" s="679" t="s">
        <v>1367</v>
      </c>
      <c r="AA135" s="682" t="s">
        <v>304</v>
      </c>
    </row>
    <row r="136" spans="1:27" s="64" customFormat="1" x14ac:dyDescent="0.25">
      <c r="A136" s="677" t="s">
        <v>1344</v>
      </c>
      <c r="B136" s="678"/>
      <c r="C136" s="678" t="s">
        <v>1392</v>
      </c>
      <c r="D136" s="678" t="s">
        <v>1114</v>
      </c>
      <c r="E136" s="678" t="s">
        <v>1380</v>
      </c>
      <c r="F136" s="678" t="s">
        <v>53</v>
      </c>
      <c r="G136" s="679" t="s">
        <v>47</v>
      </c>
      <c r="H136" s="678" t="s">
        <v>1366</v>
      </c>
      <c r="I136" s="680">
        <v>4720</v>
      </c>
      <c r="J136" s="680">
        <v>5550</v>
      </c>
      <c r="K136" s="680">
        <v>5550</v>
      </c>
      <c r="L136" s="680">
        <v>7025</v>
      </c>
      <c r="M136" s="679"/>
      <c r="N136" s="679"/>
      <c r="O136" s="679"/>
      <c r="P136" s="679"/>
      <c r="Q136" s="679"/>
      <c r="R136" s="679"/>
      <c r="S136" s="679"/>
      <c r="T136" s="679"/>
      <c r="U136" s="679"/>
      <c r="V136" s="679"/>
      <c r="W136" s="679"/>
      <c r="X136" s="681"/>
      <c r="Y136" s="681"/>
      <c r="Z136" s="679" t="s">
        <v>1367</v>
      </c>
      <c r="AA136" s="682" t="s">
        <v>304</v>
      </c>
    </row>
    <row r="137" spans="1:27" s="64" customFormat="1" x14ac:dyDescent="0.25">
      <c r="A137" s="677" t="s">
        <v>1344</v>
      </c>
      <c r="B137" s="678"/>
      <c r="C137" s="678" t="s">
        <v>1392</v>
      </c>
      <c r="D137" s="678" t="s">
        <v>1114</v>
      </c>
      <c r="E137" s="678" t="s">
        <v>1382</v>
      </c>
      <c r="F137" s="678" t="s">
        <v>53</v>
      </c>
      <c r="G137" s="679" t="s">
        <v>47</v>
      </c>
      <c r="H137" s="678" t="s">
        <v>1366</v>
      </c>
      <c r="I137" s="680">
        <v>3955</v>
      </c>
      <c r="J137" s="680">
        <v>4650</v>
      </c>
      <c r="K137" s="680">
        <v>4650</v>
      </c>
      <c r="L137" s="680">
        <v>5885</v>
      </c>
      <c r="M137" s="679"/>
      <c r="N137" s="679"/>
      <c r="O137" s="679"/>
      <c r="P137" s="679"/>
      <c r="Q137" s="679"/>
      <c r="R137" s="679"/>
      <c r="S137" s="679"/>
      <c r="T137" s="679"/>
      <c r="U137" s="679"/>
      <c r="V137" s="679"/>
      <c r="W137" s="679"/>
      <c r="X137" s="681"/>
      <c r="Y137" s="681"/>
      <c r="Z137" s="679" t="s">
        <v>1367</v>
      </c>
      <c r="AA137" s="682" t="s">
        <v>304</v>
      </c>
    </row>
    <row r="138" spans="1:27" s="64" customFormat="1" x14ac:dyDescent="0.25">
      <c r="A138" s="677" t="s">
        <v>1344</v>
      </c>
      <c r="B138" s="678"/>
      <c r="C138" s="678" t="s">
        <v>1392</v>
      </c>
      <c r="D138" s="678" t="s">
        <v>1114</v>
      </c>
      <c r="E138" s="678" t="s">
        <v>1383</v>
      </c>
      <c r="F138" s="678" t="s">
        <v>53</v>
      </c>
      <c r="G138" s="679" t="s">
        <v>47</v>
      </c>
      <c r="H138" s="678" t="s">
        <v>1366</v>
      </c>
      <c r="I138" s="680">
        <v>3955</v>
      </c>
      <c r="J138" s="680">
        <v>4650</v>
      </c>
      <c r="K138" s="680">
        <v>4650</v>
      </c>
      <c r="L138" s="680">
        <v>5885</v>
      </c>
      <c r="M138" s="679"/>
      <c r="N138" s="679"/>
      <c r="O138" s="679"/>
      <c r="P138" s="679"/>
      <c r="Q138" s="679"/>
      <c r="R138" s="679"/>
      <c r="S138" s="679"/>
      <c r="T138" s="679"/>
      <c r="U138" s="679"/>
      <c r="V138" s="679"/>
      <c r="W138" s="679"/>
      <c r="X138" s="681"/>
      <c r="Y138" s="681"/>
      <c r="Z138" s="679" t="s">
        <v>1367</v>
      </c>
      <c r="AA138" s="682" t="s">
        <v>304</v>
      </c>
    </row>
    <row r="139" spans="1:27" s="64" customFormat="1" x14ac:dyDescent="0.25">
      <c r="A139" s="677" t="s">
        <v>1344</v>
      </c>
      <c r="B139" s="678"/>
      <c r="C139" s="678" t="s">
        <v>1392</v>
      </c>
      <c r="D139" s="678" t="s">
        <v>1114</v>
      </c>
      <c r="E139" s="678" t="s">
        <v>1384</v>
      </c>
      <c r="F139" s="678" t="s">
        <v>53</v>
      </c>
      <c r="G139" s="679" t="s">
        <v>47</v>
      </c>
      <c r="H139" s="678" t="s">
        <v>1366</v>
      </c>
      <c r="I139" s="680">
        <v>4040</v>
      </c>
      <c r="J139" s="680">
        <v>4750</v>
      </c>
      <c r="K139" s="680">
        <v>4750</v>
      </c>
      <c r="L139" s="680">
        <v>6015</v>
      </c>
      <c r="M139" s="679"/>
      <c r="N139" s="679"/>
      <c r="O139" s="679"/>
      <c r="P139" s="679"/>
      <c r="Q139" s="679"/>
      <c r="R139" s="679"/>
      <c r="S139" s="679"/>
      <c r="T139" s="679"/>
      <c r="U139" s="679"/>
      <c r="V139" s="679"/>
      <c r="W139" s="679"/>
      <c r="X139" s="681"/>
      <c r="Y139" s="681"/>
      <c r="Z139" s="679" t="s">
        <v>1367</v>
      </c>
      <c r="AA139" s="682" t="s">
        <v>304</v>
      </c>
    </row>
    <row r="140" spans="1:27" s="64" customFormat="1" x14ac:dyDescent="0.25">
      <c r="A140" s="677" t="s">
        <v>1344</v>
      </c>
      <c r="B140" s="678"/>
      <c r="C140" s="678" t="s">
        <v>1392</v>
      </c>
      <c r="D140" s="678" t="s">
        <v>1368</v>
      </c>
      <c r="E140" s="678" t="s">
        <v>1384</v>
      </c>
      <c r="F140" s="678" t="s">
        <v>53</v>
      </c>
      <c r="G140" s="679" t="s">
        <v>47</v>
      </c>
      <c r="H140" s="678" t="s">
        <v>1366</v>
      </c>
      <c r="I140" s="680">
        <v>3785</v>
      </c>
      <c r="J140" s="680">
        <v>4450</v>
      </c>
      <c r="K140" s="680">
        <v>4450</v>
      </c>
      <c r="L140" s="680">
        <v>5635</v>
      </c>
      <c r="M140" s="679"/>
      <c r="N140" s="679"/>
      <c r="O140" s="679"/>
      <c r="P140" s="679"/>
      <c r="Q140" s="679"/>
      <c r="R140" s="679"/>
      <c r="S140" s="679"/>
      <c r="T140" s="679"/>
      <c r="U140" s="679"/>
      <c r="V140" s="679"/>
      <c r="W140" s="679"/>
      <c r="X140" s="681"/>
      <c r="Y140" s="681"/>
      <c r="Z140" s="679" t="s">
        <v>1367</v>
      </c>
      <c r="AA140" s="682" t="s">
        <v>304</v>
      </c>
    </row>
    <row r="141" spans="1:27" s="64" customFormat="1" x14ac:dyDescent="0.25">
      <c r="A141" s="677" t="s">
        <v>1344</v>
      </c>
      <c r="B141" s="678"/>
      <c r="C141" s="678" t="s">
        <v>1392</v>
      </c>
      <c r="D141" s="678" t="s">
        <v>1114</v>
      </c>
      <c r="E141" s="678" t="s">
        <v>1385</v>
      </c>
      <c r="F141" s="678" t="s">
        <v>53</v>
      </c>
      <c r="G141" s="679" t="s">
        <v>47</v>
      </c>
      <c r="H141" s="678" t="s">
        <v>1366</v>
      </c>
      <c r="I141" s="680">
        <v>5145</v>
      </c>
      <c r="J141" s="680">
        <v>6050</v>
      </c>
      <c r="K141" s="680">
        <v>6050</v>
      </c>
      <c r="L141" s="680">
        <v>7660</v>
      </c>
      <c r="M141" s="679"/>
      <c r="N141" s="679"/>
      <c r="O141" s="679"/>
      <c r="P141" s="679"/>
      <c r="Q141" s="679"/>
      <c r="R141" s="679"/>
      <c r="S141" s="679"/>
      <c r="T141" s="679"/>
      <c r="U141" s="679"/>
      <c r="V141" s="679"/>
      <c r="W141" s="679"/>
      <c r="X141" s="681"/>
      <c r="Y141" s="681"/>
      <c r="Z141" s="679" t="s">
        <v>1367</v>
      </c>
      <c r="AA141" s="682" t="s">
        <v>304</v>
      </c>
    </row>
    <row r="142" spans="1:27" s="64" customFormat="1" x14ac:dyDescent="0.25">
      <c r="A142" s="677" t="s">
        <v>1344</v>
      </c>
      <c r="B142" s="678"/>
      <c r="C142" s="678" t="s">
        <v>1392</v>
      </c>
      <c r="D142" s="678" t="s">
        <v>1114</v>
      </c>
      <c r="E142" s="678" t="s">
        <v>1386</v>
      </c>
      <c r="F142" s="678" t="s">
        <v>53</v>
      </c>
      <c r="G142" s="679" t="s">
        <v>47</v>
      </c>
      <c r="H142" s="678" t="s">
        <v>1366</v>
      </c>
      <c r="I142" s="680">
        <v>4550</v>
      </c>
      <c r="J142" s="680">
        <v>5350</v>
      </c>
      <c r="K142" s="680">
        <v>5350</v>
      </c>
      <c r="L142" s="680">
        <v>6775</v>
      </c>
      <c r="M142" s="679"/>
      <c r="N142" s="679"/>
      <c r="O142" s="679"/>
      <c r="P142" s="679"/>
      <c r="Q142" s="679"/>
      <c r="R142" s="679"/>
      <c r="S142" s="679"/>
      <c r="T142" s="679"/>
      <c r="U142" s="679"/>
      <c r="V142" s="679"/>
      <c r="W142" s="679"/>
      <c r="X142" s="681"/>
      <c r="Y142" s="681"/>
      <c r="Z142" s="679" t="s">
        <v>1367</v>
      </c>
      <c r="AA142" s="682" t="s">
        <v>304</v>
      </c>
    </row>
    <row r="143" spans="1:27" s="64" customFormat="1" x14ac:dyDescent="0.25">
      <c r="A143" s="677" t="s">
        <v>1344</v>
      </c>
      <c r="B143" s="678"/>
      <c r="C143" s="678" t="s">
        <v>1392</v>
      </c>
      <c r="D143" s="678" t="s">
        <v>1114</v>
      </c>
      <c r="E143" s="678" t="s">
        <v>1387</v>
      </c>
      <c r="F143" s="678" t="s">
        <v>53</v>
      </c>
      <c r="G143" s="679" t="s">
        <v>47</v>
      </c>
      <c r="H143" s="678" t="s">
        <v>1366</v>
      </c>
      <c r="I143" s="680">
        <v>5740</v>
      </c>
      <c r="J143" s="680">
        <v>6750</v>
      </c>
      <c r="K143" s="680">
        <v>6750</v>
      </c>
      <c r="L143" s="680">
        <v>8545</v>
      </c>
      <c r="M143" s="679"/>
      <c r="N143" s="679"/>
      <c r="O143" s="679"/>
      <c r="P143" s="679"/>
      <c r="Q143" s="679"/>
      <c r="R143" s="679"/>
      <c r="S143" s="679"/>
      <c r="T143" s="679"/>
      <c r="U143" s="679"/>
      <c r="V143" s="679"/>
      <c r="W143" s="679"/>
      <c r="X143" s="681"/>
      <c r="Y143" s="681"/>
      <c r="Z143" s="679" t="s">
        <v>1367</v>
      </c>
      <c r="AA143" s="682" t="s">
        <v>304</v>
      </c>
    </row>
    <row r="144" spans="1:27" s="64" customFormat="1" x14ac:dyDescent="0.25">
      <c r="A144" s="677" t="s">
        <v>1344</v>
      </c>
      <c r="B144" s="678"/>
      <c r="C144" s="678" t="s">
        <v>1392</v>
      </c>
      <c r="D144" s="678" t="s">
        <v>1114</v>
      </c>
      <c r="E144" s="678" t="s">
        <v>1388</v>
      </c>
      <c r="F144" s="678" t="s">
        <v>53</v>
      </c>
      <c r="G144" s="679" t="s">
        <v>47</v>
      </c>
      <c r="H144" s="678" t="s">
        <v>1366</v>
      </c>
      <c r="I144" s="680">
        <v>5740</v>
      </c>
      <c r="J144" s="680">
        <v>6750</v>
      </c>
      <c r="K144" s="680">
        <v>6750</v>
      </c>
      <c r="L144" s="680">
        <v>8545</v>
      </c>
      <c r="M144" s="679"/>
      <c r="N144" s="679"/>
      <c r="O144" s="679"/>
      <c r="P144" s="679"/>
      <c r="Q144" s="679"/>
      <c r="R144" s="679"/>
      <c r="S144" s="679"/>
      <c r="T144" s="679"/>
      <c r="U144" s="679"/>
      <c r="V144" s="679"/>
      <c r="W144" s="679"/>
      <c r="X144" s="681"/>
      <c r="Y144" s="681"/>
      <c r="Z144" s="679" t="s">
        <v>1367</v>
      </c>
      <c r="AA144" s="682" t="s">
        <v>304</v>
      </c>
    </row>
    <row r="145" spans="1:27" s="64" customFormat="1" x14ac:dyDescent="0.25">
      <c r="A145" s="677" t="s">
        <v>1344</v>
      </c>
      <c r="B145" s="678"/>
      <c r="C145" s="678" t="s">
        <v>1392</v>
      </c>
      <c r="D145" s="678" t="s">
        <v>1114</v>
      </c>
      <c r="E145" s="678" t="s">
        <v>1389</v>
      </c>
      <c r="F145" s="678" t="s">
        <v>53</v>
      </c>
      <c r="G145" s="679" t="s">
        <v>47</v>
      </c>
      <c r="H145" s="678" t="s">
        <v>1366</v>
      </c>
      <c r="I145" s="680">
        <v>5740</v>
      </c>
      <c r="J145" s="680">
        <v>6750</v>
      </c>
      <c r="K145" s="680">
        <v>6750</v>
      </c>
      <c r="L145" s="680">
        <v>8545</v>
      </c>
      <c r="M145" s="679"/>
      <c r="N145" s="679"/>
      <c r="O145" s="679"/>
      <c r="P145" s="679"/>
      <c r="Q145" s="679"/>
      <c r="R145" s="679"/>
      <c r="S145" s="679"/>
      <c r="T145" s="679"/>
      <c r="U145" s="679"/>
      <c r="V145" s="679"/>
      <c r="W145" s="679"/>
      <c r="X145" s="681"/>
      <c r="Y145" s="681"/>
      <c r="Z145" s="679" t="s">
        <v>1367</v>
      </c>
      <c r="AA145" s="682" t="s">
        <v>304</v>
      </c>
    </row>
    <row r="146" spans="1:27" s="64" customFormat="1" x14ac:dyDescent="0.25">
      <c r="A146" s="677" t="s">
        <v>1344</v>
      </c>
      <c r="B146" s="678"/>
      <c r="C146" s="678" t="s">
        <v>1392</v>
      </c>
      <c r="D146" s="678" t="s">
        <v>1114</v>
      </c>
      <c r="E146" s="678" t="s">
        <v>1390</v>
      </c>
      <c r="F146" s="678" t="s">
        <v>53</v>
      </c>
      <c r="G146" s="679" t="s">
        <v>47</v>
      </c>
      <c r="H146" s="678" t="s">
        <v>1366</v>
      </c>
      <c r="I146" s="680">
        <v>5740</v>
      </c>
      <c r="J146" s="680">
        <v>6750</v>
      </c>
      <c r="K146" s="680">
        <v>6750</v>
      </c>
      <c r="L146" s="680">
        <v>8545</v>
      </c>
      <c r="M146" s="679"/>
      <c r="N146" s="679"/>
      <c r="O146" s="679"/>
      <c r="P146" s="679"/>
      <c r="Q146" s="679"/>
      <c r="R146" s="679"/>
      <c r="S146" s="679"/>
      <c r="T146" s="679"/>
      <c r="U146" s="679"/>
      <c r="V146" s="679"/>
      <c r="W146" s="679"/>
      <c r="X146" s="681"/>
      <c r="Y146" s="681"/>
      <c r="Z146" s="679" t="s">
        <v>1367</v>
      </c>
      <c r="AA146" s="682" t="s">
        <v>304</v>
      </c>
    </row>
    <row r="147" spans="1:27" s="64" customFormat="1" x14ac:dyDescent="0.25">
      <c r="A147" s="677" t="s">
        <v>1344</v>
      </c>
      <c r="B147" s="678"/>
      <c r="C147" s="678" t="s">
        <v>1392</v>
      </c>
      <c r="D147" s="678" t="s">
        <v>1114</v>
      </c>
      <c r="E147" s="678" t="s">
        <v>1391</v>
      </c>
      <c r="F147" s="678" t="s">
        <v>53</v>
      </c>
      <c r="G147" s="679" t="s">
        <v>47</v>
      </c>
      <c r="H147" s="678" t="s">
        <v>1366</v>
      </c>
      <c r="I147" s="680">
        <v>5740</v>
      </c>
      <c r="J147" s="680">
        <v>6750</v>
      </c>
      <c r="K147" s="680">
        <v>6750</v>
      </c>
      <c r="L147" s="680">
        <v>8545</v>
      </c>
      <c r="M147" s="679"/>
      <c r="N147" s="679"/>
      <c r="O147" s="679"/>
      <c r="P147" s="679"/>
      <c r="Q147" s="679"/>
      <c r="R147" s="679"/>
      <c r="S147" s="679"/>
      <c r="T147" s="679"/>
      <c r="U147" s="679"/>
      <c r="V147" s="679"/>
      <c r="W147" s="679"/>
      <c r="X147" s="681"/>
      <c r="Y147" s="681"/>
      <c r="Z147" s="679" t="s">
        <v>1367</v>
      </c>
      <c r="AA147" s="682" t="s">
        <v>304</v>
      </c>
    </row>
    <row r="148" spans="1:27" s="64" customFormat="1" x14ac:dyDescent="0.25">
      <c r="A148" s="677" t="s">
        <v>1344</v>
      </c>
      <c r="B148" s="678"/>
      <c r="C148" s="678" t="s">
        <v>1362</v>
      </c>
      <c r="D148" s="678" t="s">
        <v>1114</v>
      </c>
      <c r="E148" s="678"/>
      <c r="F148" s="678" t="s">
        <v>51</v>
      </c>
      <c r="G148" s="679" t="s">
        <v>47</v>
      </c>
      <c r="H148" s="678" t="s">
        <v>1366</v>
      </c>
      <c r="I148" s="680">
        <v>1785</v>
      </c>
      <c r="J148" s="680">
        <v>2100</v>
      </c>
      <c r="K148" s="680">
        <v>2100</v>
      </c>
      <c r="L148" s="680">
        <v>2660</v>
      </c>
      <c r="M148" s="679"/>
      <c r="N148" s="679"/>
      <c r="O148" s="679"/>
      <c r="P148" s="679"/>
      <c r="Q148" s="679"/>
      <c r="R148" s="679"/>
      <c r="S148" s="679"/>
      <c r="T148" s="679"/>
      <c r="U148" s="679"/>
      <c r="V148" s="679"/>
      <c r="W148" s="679"/>
      <c r="X148" s="681"/>
      <c r="Y148" s="681"/>
      <c r="Z148" s="679" t="s">
        <v>1367</v>
      </c>
      <c r="AA148" s="682" t="s">
        <v>304</v>
      </c>
    </row>
    <row r="149" spans="1:27" s="64" customFormat="1" x14ac:dyDescent="0.25">
      <c r="A149" s="677" t="s">
        <v>1344</v>
      </c>
      <c r="B149" s="678"/>
      <c r="C149" s="678" t="s">
        <v>1362</v>
      </c>
      <c r="D149" s="678" t="s">
        <v>1368</v>
      </c>
      <c r="E149" s="678"/>
      <c r="F149" s="678" t="s">
        <v>51</v>
      </c>
      <c r="G149" s="679" t="s">
        <v>47</v>
      </c>
      <c r="H149" s="678" t="s">
        <v>1366</v>
      </c>
      <c r="I149" s="680">
        <v>1785</v>
      </c>
      <c r="J149" s="680">
        <v>2100</v>
      </c>
      <c r="K149" s="680">
        <v>2100</v>
      </c>
      <c r="L149" s="680">
        <v>2660</v>
      </c>
      <c r="M149" s="679"/>
      <c r="N149" s="679"/>
      <c r="O149" s="679"/>
      <c r="P149" s="679"/>
      <c r="Q149" s="679"/>
      <c r="R149" s="679"/>
      <c r="S149" s="679"/>
      <c r="T149" s="679"/>
      <c r="U149" s="679"/>
      <c r="V149" s="679"/>
      <c r="W149" s="679"/>
      <c r="X149" s="681"/>
      <c r="Y149" s="681"/>
      <c r="Z149" s="679" t="s">
        <v>1367</v>
      </c>
      <c r="AA149" s="682" t="s">
        <v>304</v>
      </c>
    </row>
    <row r="150" spans="1:27" s="64" customFormat="1" x14ac:dyDescent="0.25">
      <c r="A150" s="677" t="s">
        <v>1344</v>
      </c>
      <c r="B150" s="678"/>
      <c r="C150" s="678" t="s">
        <v>1362</v>
      </c>
      <c r="D150" s="678" t="s">
        <v>1114</v>
      </c>
      <c r="E150" s="678" t="s">
        <v>1369</v>
      </c>
      <c r="F150" s="678" t="s">
        <v>53</v>
      </c>
      <c r="G150" s="679" t="s">
        <v>47</v>
      </c>
      <c r="H150" s="678" t="s">
        <v>1366</v>
      </c>
      <c r="I150" s="680">
        <v>3870</v>
      </c>
      <c r="J150" s="680">
        <v>4550</v>
      </c>
      <c r="K150" s="680">
        <v>4550</v>
      </c>
      <c r="L150" s="680">
        <v>5760</v>
      </c>
      <c r="M150" s="679"/>
      <c r="N150" s="679"/>
      <c r="O150" s="679"/>
      <c r="P150" s="679"/>
      <c r="Q150" s="679"/>
      <c r="R150" s="679"/>
      <c r="S150" s="679"/>
      <c r="T150" s="679"/>
      <c r="U150" s="679"/>
      <c r="V150" s="679"/>
      <c r="W150" s="679"/>
      <c r="X150" s="681"/>
      <c r="Y150" s="681"/>
      <c r="Z150" s="679" t="s">
        <v>1367</v>
      </c>
      <c r="AA150" s="682" t="s">
        <v>304</v>
      </c>
    </row>
    <row r="151" spans="1:27" s="64" customFormat="1" x14ac:dyDescent="0.25">
      <c r="A151" s="677" t="s">
        <v>1344</v>
      </c>
      <c r="B151" s="678"/>
      <c r="C151" s="678" t="s">
        <v>1362</v>
      </c>
      <c r="D151" s="678" t="s">
        <v>1114</v>
      </c>
      <c r="E151" s="678" t="s">
        <v>1370</v>
      </c>
      <c r="F151" s="678" t="s">
        <v>53</v>
      </c>
      <c r="G151" s="679" t="s">
        <v>47</v>
      </c>
      <c r="H151" s="678" t="s">
        <v>1366</v>
      </c>
      <c r="I151" s="680">
        <v>4380</v>
      </c>
      <c r="J151" s="680">
        <v>5150</v>
      </c>
      <c r="K151" s="680">
        <v>5150</v>
      </c>
      <c r="L151" s="680">
        <v>6520</v>
      </c>
      <c r="M151" s="679"/>
      <c r="N151" s="679"/>
      <c r="O151" s="679"/>
      <c r="P151" s="679"/>
      <c r="Q151" s="679"/>
      <c r="R151" s="679"/>
      <c r="S151" s="679"/>
      <c r="T151" s="679"/>
      <c r="U151" s="679"/>
      <c r="V151" s="679"/>
      <c r="W151" s="679"/>
      <c r="X151" s="681"/>
      <c r="Y151" s="681"/>
      <c r="Z151" s="679" t="s">
        <v>1367</v>
      </c>
      <c r="AA151" s="682" t="s">
        <v>304</v>
      </c>
    </row>
    <row r="152" spans="1:27" s="64" customFormat="1" x14ac:dyDescent="0.25">
      <c r="A152" s="677" t="s">
        <v>1344</v>
      </c>
      <c r="B152" s="678"/>
      <c r="C152" s="678" t="s">
        <v>1362</v>
      </c>
      <c r="D152" s="678" t="s">
        <v>1114</v>
      </c>
      <c r="E152" s="678" t="s">
        <v>1371</v>
      </c>
      <c r="F152" s="678" t="s">
        <v>53</v>
      </c>
      <c r="G152" s="679" t="s">
        <v>47</v>
      </c>
      <c r="H152" s="678" t="s">
        <v>1366</v>
      </c>
      <c r="I152" s="680">
        <v>4380</v>
      </c>
      <c r="J152" s="680">
        <v>5150</v>
      </c>
      <c r="K152" s="680">
        <v>5150</v>
      </c>
      <c r="L152" s="680">
        <v>6520</v>
      </c>
      <c r="M152" s="679"/>
      <c r="N152" s="679"/>
      <c r="O152" s="679"/>
      <c r="P152" s="679"/>
      <c r="Q152" s="679"/>
      <c r="R152" s="679"/>
      <c r="S152" s="679"/>
      <c r="T152" s="679"/>
      <c r="U152" s="679"/>
      <c r="V152" s="679"/>
      <c r="W152" s="679"/>
      <c r="X152" s="681"/>
      <c r="Y152" s="681"/>
      <c r="Z152" s="679" t="s">
        <v>1367</v>
      </c>
      <c r="AA152" s="682" t="s">
        <v>304</v>
      </c>
    </row>
    <row r="153" spans="1:27" s="64" customFormat="1" x14ac:dyDescent="0.25">
      <c r="A153" s="677" t="s">
        <v>1344</v>
      </c>
      <c r="B153" s="678"/>
      <c r="C153" s="678" t="s">
        <v>1362</v>
      </c>
      <c r="D153" s="678" t="s">
        <v>1114</v>
      </c>
      <c r="E153" s="678" t="s">
        <v>1372</v>
      </c>
      <c r="F153" s="678" t="s">
        <v>53</v>
      </c>
      <c r="G153" s="679" t="s">
        <v>47</v>
      </c>
      <c r="H153" s="678" t="s">
        <v>1366</v>
      </c>
      <c r="I153" s="680">
        <v>4380</v>
      </c>
      <c r="J153" s="680">
        <v>5150</v>
      </c>
      <c r="K153" s="680">
        <v>5150</v>
      </c>
      <c r="L153" s="680">
        <v>6520</v>
      </c>
      <c r="M153" s="679"/>
      <c r="N153" s="679"/>
      <c r="O153" s="679"/>
      <c r="P153" s="679"/>
      <c r="Q153" s="679"/>
      <c r="R153" s="679"/>
      <c r="S153" s="679"/>
      <c r="T153" s="679"/>
      <c r="U153" s="679"/>
      <c r="V153" s="679"/>
      <c r="W153" s="679"/>
      <c r="X153" s="681"/>
      <c r="Y153" s="681"/>
      <c r="Z153" s="679" t="s">
        <v>1367</v>
      </c>
      <c r="AA153" s="682" t="s">
        <v>304</v>
      </c>
    </row>
    <row r="154" spans="1:27" s="64" customFormat="1" x14ac:dyDescent="0.25">
      <c r="A154" s="677" t="s">
        <v>1344</v>
      </c>
      <c r="B154" s="678"/>
      <c r="C154" s="678" t="s">
        <v>1362</v>
      </c>
      <c r="D154" s="678" t="s">
        <v>1114</v>
      </c>
      <c r="E154" s="678" t="s">
        <v>1373</v>
      </c>
      <c r="F154" s="678" t="s">
        <v>53</v>
      </c>
      <c r="G154" s="679" t="s">
        <v>47</v>
      </c>
      <c r="H154" s="678" t="s">
        <v>1366</v>
      </c>
      <c r="I154" s="680">
        <v>3870</v>
      </c>
      <c r="J154" s="680">
        <v>4550</v>
      </c>
      <c r="K154" s="680">
        <v>4550</v>
      </c>
      <c r="L154" s="680">
        <v>5760</v>
      </c>
      <c r="M154" s="679"/>
      <c r="N154" s="679"/>
      <c r="O154" s="679"/>
      <c r="P154" s="679"/>
      <c r="Q154" s="679"/>
      <c r="R154" s="679"/>
      <c r="S154" s="679"/>
      <c r="T154" s="679"/>
      <c r="U154" s="679"/>
      <c r="V154" s="679"/>
      <c r="W154" s="679"/>
      <c r="X154" s="681"/>
      <c r="Y154" s="681"/>
      <c r="Z154" s="679" t="s">
        <v>1367</v>
      </c>
      <c r="AA154" s="682" t="s">
        <v>304</v>
      </c>
    </row>
    <row r="155" spans="1:27" s="64" customFormat="1" x14ac:dyDescent="0.25">
      <c r="A155" s="677" t="s">
        <v>1344</v>
      </c>
      <c r="B155" s="678"/>
      <c r="C155" s="678" t="s">
        <v>1362</v>
      </c>
      <c r="D155" s="678" t="s">
        <v>1114</v>
      </c>
      <c r="E155" s="678" t="s">
        <v>1374</v>
      </c>
      <c r="F155" s="678" t="s">
        <v>53</v>
      </c>
      <c r="G155" s="679" t="s">
        <v>47</v>
      </c>
      <c r="H155" s="678" t="s">
        <v>1366</v>
      </c>
      <c r="I155" s="680">
        <v>4550</v>
      </c>
      <c r="J155" s="680">
        <v>5350</v>
      </c>
      <c r="K155" s="680">
        <v>5350</v>
      </c>
      <c r="L155" s="680">
        <v>6775</v>
      </c>
      <c r="M155" s="679"/>
      <c r="N155" s="679"/>
      <c r="O155" s="679"/>
      <c r="P155" s="679"/>
      <c r="Q155" s="679"/>
      <c r="R155" s="679"/>
      <c r="S155" s="679"/>
      <c r="T155" s="679"/>
      <c r="U155" s="679"/>
      <c r="V155" s="679"/>
      <c r="W155" s="679"/>
      <c r="X155" s="681"/>
      <c r="Y155" s="681"/>
      <c r="Z155" s="679" t="s">
        <v>1367</v>
      </c>
      <c r="AA155" s="682" t="s">
        <v>304</v>
      </c>
    </row>
    <row r="156" spans="1:27" s="64" customFormat="1" x14ac:dyDescent="0.25">
      <c r="A156" s="677" t="s">
        <v>1344</v>
      </c>
      <c r="B156" s="678"/>
      <c r="C156" s="678" t="s">
        <v>1362</v>
      </c>
      <c r="D156" s="678" t="s">
        <v>1114</v>
      </c>
      <c r="E156" s="678" t="s">
        <v>1375</v>
      </c>
      <c r="F156" s="678" t="s">
        <v>53</v>
      </c>
      <c r="G156" s="679" t="s">
        <v>47</v>
      </c>
      <c r="H156" s="678" t="s">
        <v>1366</v>
      </c>
      <c r="I156" s="680">
        <v>4720</v>
      </c>
      <c r="J156" s="680">
        <v>5550</v>
      </c>
      <c r="K156" s="680">
        <v>5550</v>
      </c>
      <c r="L156" s="680">
        <v>7025</v>
      </c>
      <c r="M156" s="679"/>
      <c r="N156" s="679"/>
      <c r="O156" s="679"/>
      <c r="P156" s="679"/>
      <c r="Q156" s="679"/>
      <c r="R156" s="679"/>
      <c r="S156" s="679"/>
      <c r="T156" s="679"/>
      <c r="U156" s="679"/>
      <c r="V156" s="679"/>
      <c r="W156" s="679"/>
      <c r="X156" s="681"/>
      <c r="Y156" s="681"/>
      <c r="Z156" s="679" t="s">
        <v>1367</v>
      </c>
      <c r="AA156" s="682" t="s">
        <v>304</v>
      </c>
    </row>
    <row r="157" spans="1:27" s="64" customFormat="1" x14ac:dyDescent="0.25">
      <c r="A157" s="677" t="s">
        <v>1344</v>
      </c>
      <c r="B157" s="678"/>
      <c r="C157" s="678" t="s">
        <v>1362</v>
      </c>
      <c r="D157" s="678" t="s">
        <v>1114</v>
      </c>
      <c r="E157" s="678" t="s">
        <v>1376</v>
      </c>
      <c r="F157" s="678" t="s">
        <v>53</v>
      </c>
      <c r="G157" s="679" t="s">
        <v>47</v>
      </c>
      <c r="H157" s="678" t="s">
        <v>1366</v>
      </c>
      <c r="I157" s="680">
        <v>4125</v>
      </c>
      <c r="J157" s="680">
        <v>4850</v>
      </c>
      <c r="K157" s="680">
        <v>4850</v>
      </c>
      <c r="L157" s="680">
        <v>6140</v>
      </c>
      <c r="M157" s="679"/>
      <c r="N157" s="679"/>
      <c r="O157" s="679"/>
      <c r="P157" s="679"/>
      <c r="Q157" s="679"/>
      <c r="R157" s="679"/>
      <c r="S157" s="679"/>
      <c r="T157" s="679"/>
      <c r="U157" s="679"/>
      <c r="V157" s="679"/>
      <c r="W157" s="679"/>
      <c r="X157" s="681"/>
      <c r="Y157" s="681"/>
      <c r="Z157" s="679" t="s">
        <v>1367</v>
      </c>
      <c r="AA157" s="682" t="s">
        <v>304</v>
      </c>
    </row>
    <row r="158" spans="1:27" s="64" customFormat="1" x14ac:dyDescent="0.25">
      <c r="A158" s="677" t="s">
        <v>1344</v>
      </c>
      <c r="B158" s="678"/>
      <c r="C158" s="678" t="s">
        <v>1362</v>
      </c>
      <c r="D158" s="678" t="s">
        <v>1114</v>
      </c>
      <c r="E158" s="678" t="s">
        <v>1377</v>
      </c>
      <c r="F158" s="678" t="s">
        <v>53</v>
      </c>
      <c r="G158" s="679" t="s">
        <v>47</v>
      </c>
      <c r="H158" s="678" t="s">
        <v>1366</v>
      </c>
      <c r="I158" s="680">
        <v>4210</v>
      </c>
      <c r="J158" s="680">
        <v>4950</v>
      </c>
      <c r="K158" s="680">
        <v>4950</v>
      </c>
      <c r="L158" s="680">
        <v>6265</v>
      </c>
      <c r="M158" s="679"/>
      <c r="N158" s="679"/>
      <c r="O158" s="679"/>
      <c r="P158" s="679"/>
      <c r="Q158" s="679"/>
      <c r="R158" s="679"/>
      <c r="S158" s="679"/>
      <c r="T158" s="679"/>
      <c r="U158" s="679"/>
      <c r="V158" s="679"/>
      <c r="W158" s="679"/>
      <c r="X158" s="681"/>
      <c r="Y158" s="681"/>
      <c r="Z158" s="679" t="s">
        <v>1367</v>
      </c>
      <c r="AA158" s="682" t="s">
        <v>304</v>
      </c>
    </row>
    <row r="159" spans="1:27" s="64" customFormat="1" x14ac:dyDescent="0.25">
      <c r="A159" s="677" t="s">
        <v>1344</v>
      </c>
      <c r="B159" s="678"/>
      <c r="C159" s="678" t="s">
        <v>1362</v>
      </c>
      <c r="D159" s="678" t="s">
        <v>1114</v>
      </c>
      <c r="E159" s="678" t="s">
        <v>1378</v>
      </c>
      <c r="F159" s="678" t="s">
        <v>120</v>
      </c>
      <c r="G159" s="679" t="s">
        <v>49</v>
      </c>
      <c r="H159" s="678" t="s">
        <v>1366</v>
      </c>
      <c r="I159" s="680">
        <v>6420</v>
      </c>
      <c r="J159" s="680">
        <v>7550</v>
      </c>
      <c r="K159" s="680">
        <v>7550</v>
      </c>
      <c r="L159" s="680">
        <v>9560</v>
      </c>
      <c r="M159" s="679"/>
      <c r="N159" s="679"/>
      <c r="O159" s="679"/>
      <c r="P159" s="679"/>
      <c r="Q159" s="679"/>
      <c r="R159" s="679"/>
      <c r="S159" s="679"/>
      <c r="T159" s="679"/>
      <c r="U159" s="679"/>
      <c r="V159" s="679"/>
      <c r="W159" s="679"/>
      <c r="X159" s="681"/>
      <c r="Y159" s="681"/>
      <c r="Z159" s="679" t="s">
        <v>1367</v>
      </c>
      <c r="AA159" s="682" t="s">
        <v>304</v>
      </c>
    </row>
    <row r="160" spans="1:27" s="64" customFormat="1" x14ac:dyDescent="0.25">
      <c r="A160" s="677" t="s">
        <v>1344</v>
      </c>
      <c r="B160" s="678"/>
      <c r="C160" s="678" t="s">
        <v>1362</v>
      </c>
      <c r="D160" s="678" t="s">
        <v>1114</v>
      </c>
      <c r="E160" s="678" t="s">
        <v>1379</v>
      </c>
      <c r="F160" s="678" t="s">
        <v>53</v>
      </c>
      <c r="G160" s="679" t="s">
        <v>47</v>
      </c>
      <c r="H160" s="678" t="s">
        <v>1366</v>
      </c>
      <c r="I160" s="680">
        <v>3870</v>
      </c>
      <c r="J160" s="680">
        <v>4550</v>
      </c>
      <c r="K160" s="680">
        <v>4550</v>
      </c>
      <c r="L160" s="680">
        <v>5760</v>
      </c>
      <c r="M160" s="679"/>
      <c r="N160" s="679"/>
      <c r="O160" s="679"/>
      <c r="P160" s="679"/>
      <c r="Q160" s="679"/>
      <c r="R160" s="679"/>
      <c r="S160" s="679"/>
      <c r="T160" s="679"/>
      <c r="U160" s="679"/>
      <c r="V160" s="679"/>
      <c r="W160" s="679"/>
      <c r="X160" s="681"/>
      <c r="Y160" s="681"/>
      <c r="Z160" s="679" t="s">
        <v>1367</v>
      </c>
      <c r="AA160" s="682" t="s">
        <v>304</v>
      </c>
    </row>
    <row r="161" spans="1:27" s="64" customFormat="1" x14ac:dyDescent="0.25">
      <c r="A161" s="677" t="s">
        <v>1344</v>
      </c>
      <c r="B161" s="678"/>
      <c r="C161" s="678" t="s">
        <v>1362</v>
      </c>
      <c r="D161" s="678" t="s">
        <v>1114</v>
      </c>
      <c r="E161" s="678" t="s">
        <v>1380</v>
      </c>
      <c r="F161" s="678" t="s">
        <v>53</v>
      </c>
      <c r="G161" s="679" t="s">
        <v>47</v>
      </c>
      <c r="H161" s="678" t="s">
        <v>1366</v>
      </c>
      <c r="I161" s="680">
        <v>4720</v>
      </c>
      <c r="J161" s="680">
        <v>5550</v>
      </c>
      <c r="K161" s="680">
        <v>5550</v>
      </c>
      <c r="L161" s="680">
        <v>7025</v>
      </c>
      <c r="M161" s="679"/>
      <c r="N161" s="679"/>
      <c r="O161" s="679"/>
      <c r="P161" s="679"/>
      <c r="Q161" s="679"/>
      <c r="R161" s="679"/>
      <c r="S161" s="679"/>
      <c r="T161" s="679"/>
      <c r="U161" s="679"/>
      <c r="V161" s="679"/>
      <c r="W161" s="679"/>
      <c r="X161" s="681"/>
      <c r="Y161" s="681"/>
      <c r="Z161" s="679" t="s">
        <v>1367</v>
      </c>
      <c r="AA161" s="682" t="s">
        <v>304</v>
      </c>
    </row>
    <row r="162" spans="1:27" s="64" customFormat="1" x14ac:dyDescent="0.25">
      <c r="A162" s="677" t="s">
        <v>1344</v>
      </c>
      <c r="B162" s="678"/>
      <c r="C162" s="678" t="s">
        <v>1362</v>
      </c>
      <c r="D162" s="678" t="s">
        <v>1114</v>
      </c>
      <c r="E162" s="678" t="s">
        <v>1382</v>
      </c>
      <c r="F162" s="678" t="s">
        <v>53</v>
      </c>
      <c r="G162" s="679" t="s">
        <v>47</v>
      </c>
      <c r="H162" s="678" t="s">
        <v>1366</v>
      </c>
      <c r="I162" s="680">
        <v>3955</v>
      </c>
      <c r="J162" s="680">
        <v>4650</v>
      </c>
      <c r="K162" s="680">
        <v>4650</v>
      </c>
      <c r="L162" s="680">
        <v>5885</v>
      </c>
      <c r="M162" s="679"/>
      <c r="N162" s="679"/>
      <c r="O162" s="679"/>
      <c r="P162" s="679"/>
      <c r="Q162" s="679"/>
      <c r="R162" s="679"/>
      <c r="S162" s="679"/>
      <c r="T162" s="679"/>
      <c r="U162" s="679"/>
      <c r="V162" s="679"/>
      <c r="W162" s="679"/>
      <c r="X162" s="681"/>
      <c r="Y162" s="681"/>
      <c r="Z162" s="679" t="s">
        <v>1367</v>
      </c>
      <c r="AA162" s="682" t="s">
        <v>304</v>
      </c>
    </row>
    <row r="163" spans="1:27" s="64" customFormat="1" x14ac:dyDescent="0.25">
      <c r="A163" s="677" t="s">
        <v>1344</v>
      </c>
      <c r="B163" s="678"/>
      <c r="C163" s="678" t="s">
        <v>1362</v>
      </c>
      <c r="D163" s="678" t="s">
        <v>1114</v>
      </c>
      <c r="E163" s="678" t="s">
        <v>1383</v>
      </c>
      <c r="F163" s="678" t="s">
        <v>53</v>
      </c>
      <c r="G163" s="679" t="s">
        <v>47</v>
      </c>
      <c r="H163" s="678" t="s">
        <v>1366</v>
      </c>
      <c r="I163" s="680">
        <v>3955</v>
      </c>
      <c r="J163" s="680">
        <v>4650</v>
      </c>
      <c r="K163" s="680">
        <v>4650</v>
      </c>
      <c r="L163" s="680">
        <v>5885</v>
      </c>
      <c r="M163" s="679"/>
      <c r="N163" s="679"/>
      <c r="O163" s="679"/>
      <c r="P163" s="679"/>
      <c r="Q163" s="679"/>
      <c r="R163" s="679"/>
      <c r="S163" s="679"/>
      <c r="T163" s="679"/>
      <c r="U163" s="679"/>
      <c r="V163" s="679"/>
      <c r="W163" s="679"/>
      <c r="X163" s="681"/>
      <c r="Y163" s="681"/>
      <c r="Z163" s="679" t="s">
        <v>1367</v>
      </c>
      <c r="AA163" s="682" t="s">
        <v>304</v>
      </c>
    </row>
    <row r="164" spans="1:27" s="64" customFormat="1" x14ac:dyDescent="0.25">
      <c r="A164" s="677" t="s">
        <v>1344</v>
      </c>
      <c r="B164" s="678"/>
      <c r="C164" s="678" t="s">
        <v>1362</v>
      </c>
      <c r="D164" s="678" t="s">
        <v>1114</v>
      </c>
      <c r="E164" s="678" t="s">
        <v>1384</v>
      </c>
      <c r="F164" s="678" t="s">
        <v>53</v>
      </c>
      <c r="G164" s="679" t="s">
        <v>47</v>
      </c>
      <c r="H164" s="678" t="s">
        <v>1366</v>
      </c>
      <c r="I164" s="680">
        <v>4040</v>
      </c>
      <c r="J164" s="680">
        <v>4750</v>
      </c>
      <c r="K164" s="680">
        <v>4750</v>
      </c>
      <c r="L164" s="680">
        <v>6015</v>
      </c>
      <c r="M164" s="679"/>
      <c r="N164" s="679"/>
      <c r="O164" s="679"/>
      <c r="P164" s="679"/>
      <c r="Q164" s="679"/>
      <c r="R164" s="679"/>
      <c r="S164" s="679"/>
      <c r="T164" s="679"/>
      <c r="U164" s="679"/>
      <c r="V164" s="679"/>
      <c r="W164" s="679"/>
      <c r="X164" s="681"/>
      <c r="Y164" s="681"/>
      <c r="Z164" s="679" t="s">
        <v>1367</v>
      </c>
      <c r="AA164" s="682" t="s">
        <v>304</v>
      </c>
    </row>
    <row r="165" spans="1:27" s="64" customFormat="1" x14ac:dyDescent="0.25">
      <c r="A165" s="677" t="s">
        <v>1344</v>
      </c>
      <c r="B165" s="678"/>
      <c r="C165" s="678" t="s">
        <v>1362</v>
      </c>
      <c r="D165" s="678" t="s">
        <v>1368</v>
      </c>
      <c r="E165" s="678" t="s">
        <v>1384</v>
      </c>
      <c r="F165" s="678" t="s">
        <v>53</v>
      </c>
      <c r="G165" s="679" t="s">
        <v>47</v>
      </c>
      <c r="H165" s="678" t="s">
        <v>1366</v>
      </c>
      <c r="I165" s="680">
        <v>3785</v>
      </c>
      <c r="J165" s="680">
        <v>4450</v>
      </c>
      <c r="K165" s="680">
        <v>4450</v>
      </c>
      <c r="L165" s="680">
        <v>5635</v>
      </c>
      <c r="M165" s="679"/>
      <c r="N165" s="679"/>
      <c r="O165" s="679"/>
      <c r="P165" s="679"/>
      <c r="Q165" s="679"/>
      <c r="R165" s="679"/>
      <c r="S165" s="679"/>
      <c r="T165" s="679"/>
      <c r="U165" s="679"/>
      <c r="V165" s="679"/>
      <c r="W165" s="679"/>
      <c r="X165" s="681"/>
      <c r="Y165" s="681"/>
      <c r="Z165" s="679" t="s">
        <v>1367</v>
      </c>
      <c r="AA165" s="682" t="s">
        <v>304</v>
      </c>
    </row>
    <row r="166" spans="1:27" s="64" customFormat="1" x14ac:dyDescent="0.25">
      <c r="A166" s="677" t="s">
        <v>1344</v>
      </c>
      <c r="B166" s="678"/>
      <c r="C166" s="678" t="s">
        <v>1362</v>
      </c>
      <c r="D166" s="678" t="s">
        <v>1114</v>
      </c>
      <c r="E166" s="678" t="s">
        <v>1385</v>
      </c>
      <c r="F166" s="678" t="s">
        <v>53</v>
      </c>
      <c r="G166" s="679" t="s">
        <v>47</v>
      </c>
      <c r="H166" s="678" t="s">
        <v>1366</v>
      </c>
      <c r="I166" s="680">
        <v>5145</v>
      </c>
      <c r="J166" s="680">
        <v>6050</v>
      </c>
      <c r="K166" s="680">
        <v>6050</v>
      </c>
      <c r="L166" s="680">
        <v>7660</v>
      </c>
      <c r="M166" s="679"/>
      <c r="N166" s="679"/>
      <c r="O166" s="679"/>
      <c r="P166" s="679"/>
      <c r="Q166" s="679"/>
      <c r="R166" s="679"/>
      <c r="S166" s="679"/>
      <c r="T166" s="679"/>
      <c r="U166" s="679"/>
      <c r="V166" s="679"/>
      <c r="W166" s="679"/>
      <c r="X166" s="681"/>
      <c r="Y166" s="681"/>
      <c r="Z166" s="679" t="s">
        <v>1367</v>
      </c>
      <c r="AA166" s="682" t="s">
        <v>304</v>
      </c>
    </row>
    <row r="167" spans="1:27" s="64" customFormat="1" x14ac:dyDescent="0.25">
      <c r="A167" s="677" t="s">
        <v>1344</v>
      </c>
      <c r="B167" s="678"/>
      <c r="C167" s="678" t="s">
        <v>1362</v>
      </c>
      <c r="D167" s="678" t="s">
        <v>1114</v>
      </c>
      <c r="E167" s="678" t="s">
        <v>1386</v>
      </c>
      <c r="F167" s="678" t="s">
        <v>53</v>
      </c>
      <c r="G167" s="679" t="s">
        <v>47</v>
      </c>
      <c r="H167" s="678" t="s">
        <v>1366</v>
      </c>
      <c r="I167" s="680">
        <v>4550</v>
      </c>
      <c r="J167" s="680">
        <v>5350</v>
      </c>
      <c r="K167" s="680">
        <v>5350</v>
      </c>
      <c r="L167" s="680">
        <v>6775</v>
      </c>
      <c r="M167" s="679"/>
      <c r="N167" s="679"/>
      <c r="O167" s="679"/>
      <c r="P167" s="679"/>
      <c r="Q167" s="679"/>
      <c r="R167" s="679"/>
      <c r="S167" s="679"/>
      <c r="T167" s="679"/>
      <c r="U167" s="679"/>
      <c r="V167" s="679"/>
      <c r="W167" s="679"/>
      <c r="X167" s="681"/>
      <c r="Y167" s="681"/>
      <c r="Z167" s="679" t="s">
        <v>1367</v>
      </c>
      <c r="AA167" s="682" t="s">
        <v>304</v>
      </c>
    </row>
    <row r="168" spans="1:27" s="64" customFormat="1" x14ac:dyDescent="0.25">
      <c r="A168" s="677" t="s">
        <v>1344</v>
      </c>
      <c r="B168" s="678"/>
      <c r="C168" s="678" t="s">
        <v>1362</v>
      </c>
      <c r="D168" s="678" t="s">
        <v>1114</v>
      </c>
      <c r="E168" s="678" t="s">
        <v>1387</v>
      </c>
      <c r="F168" s="678" t="s">
        <v>53</v>
      </c>
      <c r="G168" s="679" t="s">
        <v>47</v>
      </c>
      <c r="H168" s="678" t="s">
        <v>1366</v>
      </c>
      <c r="I168" s="680">
        <v>5740</v>
      </c>
      <c r="J168" s="680">
        <v>6750</v>
      </c>
      <c r="K168" s="680">
        <v>6750</v>
      </c>
      <c r="L168" s="680">
        <v>8545</v>
      </c>
      <c r="M168" s="679"/>
      <c r="N168" s="679"/>
      <c r="O168" s="679"/>
      <c r="P168" s="679"/>
      <c r="Q168" s="679"/>
      <c r="R168" s="679"/>
      <c r="S168" s="679"/>
      <c r="T168" s="679"/>
      <c r="U168" s="679"/>
      <c r="V168" s="679"/>
      <c r="W168" s="679"/>
      <c r="X168" s="681"/>
      <c r="Y168" s="681"/>
      <c r="Z168" s="679" t="s">
        <v>1367</v>
      </c>
      <c r="AA168" s="682" t="s">
        <v>304</v>
      </c>
    </row>
    <row r="169" spans="1:27" s="64" customFormat="1" x14ac:dyDescent="0.25">
      <c r="A169" s="677" t="s">
        <v>1344</v>
      </c>
      <c r="B169" s="678"/>
      <c r="C169" s="678" t="s">
        <v>1362</v>
      </c>
      <c r="D169" s="678" t="s">
        <v>1114</v>
      </c>
      <c r="E169" s="678" t="s">
        <v>1388</v>
      </c>
      <c r="F169" s="678" t="s">
        <v>53</v>
      </c>
      <c r="G169" s="679" t="s">
        <v>47</v>
      </c>
      <c r="H169" s="678" t="s">
        <v>1366</v>
      </c>
      <c r="I169" s="680">
        <v>5740</v>
      </c>
      <c r="J169" s="680">
        <v>6750</v>
      </c>
      <c r="K169" s="680">
        <v>6750</v>
      </c>
      <c r="L169" s="680">
        <v>8545</v>
      </c>
      <c r="M169" s="679"/>
      <c r="N169" s="679"/>
      <c r="O169" s="679"/>
      <c r="P169" s="679"/>
      <c r="Q169" s="679"/>
      <c r="R169" s="679"/>
      <c r="S169" s="679"/>
      <c r="T169" s="679"/>
      <c r="U169" s="679"/>
      <c r="V169" s="679"/>
      <c r="W169" s="679"/>
      <c r="X169" s="681"/>
      <c r="Y169" s="681"/>
      <c r="Z169" s="679" t="s">
        <v>1367</v>
      </c>
      <c r="AA169" s="682" t="s">
        <v>304</v>
      </c>
    </row>
    <row r="170" spans="1:27" s="64" customFormat="1" x14ac:dyDescent="0.25">
      <c r="A170" s="677" t="s">
        <v>1344</v>
      </c>
      <c r="B170" s="678"/>
      <c r="C170" s="678" t="s">
        <v>1362</v>
      </c>
      <c r="D170" s="678" t="s">
        <v>1114</v>
      </c>
      <c r="E170" s="678" t="s">
        <v>1389</v>
      </c>
      <c r="F170" s="678" t="s">
        <v>53</v>
      </c>
      <c r="G170" s="679" t="s">
        <v>47</v>
      </c>
      <c r="H170" s="678" t="s">
        <v>1366</v>
      </c>
      <c r="I170" s="680">
        <v>5740</v>
      </c>
      <c r="J170" s="680">
        <v>6750</v>
      </c>
      <c r="K170" s="680">
        <v>6750</v>
      </c>
      <c r="L170" s="680">
        <v>8545</v>
      </c>
      <c r="M170" s="679"/>
      <c r="N170" s="679"/>
      <c r="O170" s="679"/>
      <c r="P170" s="679"/>
      <c r="Q170" s="679"/>
      <c r="R170" s="679"/>
      <c r="S170" s="679"/>
      <c r="T170" s="679"/>
      <c r="U170" s="679"/>
      <c r="V170" s="679"/>
      <c r="W170" s="679"/>
      <c r="X170" s="681"/>
      <c r="Y170" s="681"/>
      <c r="Z170" s="679" t="s">
        <v>1367</v>
      </c>
      <c r="AA170" s="682" t="s">
        <v>304</v>
      </c>
    </row>
    <row r="171" spans="1:27" s="64" customFormat="1" x14ac:dyDescent="0.25">
      <c r="A171" s="677" t="s">
        <v>1344</v>
      </c>
      <c r="B171" s="678"/>
      <c r="C171" s="678" t="s">
        <v>1362</v>
      </c>
      <c r="D171" s="678" t="s">
        <v>1114</v>
      </c>
      <c r="E171" s="678" t="s">
        <v>1390</v>
      </c>
      <c r="F171" s="678" t="s">
        <v>53</v>
      </c>
      <c r="G171" s="679" t="s">
        <v>47</v>
      </c>
      <c r="H171" s="678" t="s">
        <v>1366</v>
      </c>
      <c r="I171" s="680">
        <v>5740</v>
      </c>
      <c r="J171" s="680">
        <v>6750</v>
      </c>
      <c r="K171" s="680">
        <v>6750</v>
      </c>
      <c r="L171" s="680">
        <v>8545</v>
      </c>
      <c r="M171" s="679"/>
      <c r="N171" s="679"/>
      <c r="O171" s="679"/>
      <c r="P171" s="679"/>
      <c r="Q171" s="679"/>
      <c r="R171" s="679"/>
      <c r="S171" s="679"/>
      <c r="T171" s="679"/>
      <c r="U171" s="679"/>
      <c r="V171" s="679"/>
      <c r="W171" s="679"/>
      <c r="X171" s="681"/>
      <c r="Y171" s="681"/>
      <c r="Z171" s="679" t="s">
        <v>1367</v>
      </c>
      <c r="AA171" s="682" t="s">
        <v>304</v>
      </c>
    </row>
    <row r="172" spans="1:27" s="64" customFormat="1" x14ac:dyDescent="0.25">
      <c r="A172" s="677" t="s">
        <v>1344</v>
      </c>
      <c r="B172" s="678"/>
      <c r="C172" s="678" t="s">
        <v>1362</v>
      </c>
      <c r="D172" s="678" t="s">
        <v>1114</v>
      </c>
      <c r="E172" s="678" t="s">
        <v>1391</v>
      </c>
      <c r="F172" s="678" t="s">
        <v>53</v>
      </c>
      <c r="G172" s="679" t="s">
        <v>47</v>
      </c>
      <c r="H172" s="678" t="s">
        <v>1366</v>
      </c>
      <c r="I172" s="680">
        <v>5740</v>
      </c>
      <c r="J172" s="680">
        <v>6750</v>
      </c>
      <c r="K172" s="680">
        <v>6750</v>
      </c>
      <c r="L172" s="680">
        <v>8545</v>
      </c>
      <c r="M172" s="679"/>
      <c r="N172" s="679"/>
      <c r="O172" s="679"/>
      <c r="P172" s="679"/>
      <c r="Q172" s="679"/>
      <c r="R172" s="679"/>
      <c r="S172" s="679"/>
      <c r="T172" s="679"/>
      <c r="U172" s="679"/>
      <c r="V172" s="679"/>
      <c r="W172" s="679"/>
      <c r="X172" s="681"/>
      <c r="Y172" s="681"/>
      <c r="Z172" s="679" t="s">
        <v>1367</v>
      </c>
      <c r="AA172" s="682" t="s">
        <v>304</v>
      </c>
    </row>
    <row r="173" spans="1:27" s="64" customFormat="1" x14ac:dyDescent="0.25">
      <c r="A173" s="677" t="s">
        <v>1345</v>
      </c>
      <c r="B173" s="678"/>
      <c r="C173" s="678" t="s">
        <v>1352</v>
      </c>
      <c r="D173" s="678" t="s">
        <v>1393</v>
      </c>
      <c r="E173" s="678"/>
      <c r="F173" s="678" t="s">
        <v>51</v>
      </c>
      <c r="G173" s="679" t="s">
        <v>47</v>
      </c>
      <c r="H173" s="678" t="s">
        <v>1366</v>
      </c>
      <c r="I173" s="680">
        <v>1470</v>
      </c>
      <c r="J173" s="680">
        <v>2100</v>
      </c>
      <c r="K173" s="680">
        <v>2100</v>
      </c>
      <c r="L173" s="680">
        <v>2660</v>
      </c>
      <c r="M173" s="679"/>
      <c r="N173" s="679"/>
      <c r="O173" s="679"/>
      <c r="P173" s="679"/>
      <c r="Q173" s="679"/>
      <c r="R173" s="679"/>
      <c r="S173" s="679"/>
      <c r="T173" s="679"/>
      <c r="U173" s="679"/>
      <c r="V173" s="679"/>
      <c r="W173" s="679"/>
      <c r="X173" s="681"/>
      <c r="Y173" s="681"/>
      <c r="Z173" s="679" t="s">
        <v>1367</v>
      </c>
      <c r="AA173" s="682" t="s">
        <v>304</v>
      </c>
    </row>
    <row r="174" spans="1:27" s="64" customFormat="1" x14ac:dyDescent="0.25">
      <c r="A174" s="677" t="s">
        <v>1345</v>
      </c>
      <c r="B174" s="678"/>
      <c r="C174" s="678" t="s">
        <v>1354</v>
      </c>
      <c r="D174" s="678" t="s">
        <v>1394</v>
      </c>
      <c r="E174" s="678"/>
      <c r="F174" s="678" t="s">
        <v>51</v>
      </c>
      <c r="G174" s="679" t="s">
        <v>47</v>
      </c>
      <c r="H174" s="678" t="s">
        <v>1366</v>
      </c>
      <c r="I174" s="680">
        <v>1470</v>
      </c>
      <c r="J174" s="680">
        <v>2100</v>
      </c>
      <c r="K174" s="680">
        <v>2100</v>
      </c>
      <c r="L174" s="680">
        <v>2660</v>
      </c>
      <c r="M174" s="679"/>
      <c r="N174" s="679"/>
      <c r="O174" s="679"/>
      <c r="P174" s="679"/>
      <c r="Q174" s="679"/>
      <c r="R174" s="679"/>
      <c r="S174" s="679"/>
      <c r="T174" s="679"/>
      <c r="U174" s="679"/>
      <c r="V174" s="679"/>
      <c r="W174" s="679"/>
      <c r="X174" s="681"/>
      <c r="Y174" s="681"/>
      <c r="Z174" s="679" t="s">
        <v>1367</v>
      </c>
      <c r="AA174" s="682" t="s">
        <v>304</v>
      </c>
    </row>
    <row r="175" spans="1:27" s="64" customFormat="1" x14ac:dyDescent="0.25">
      <c r="A175" s="677" t="s">
        <v>1345</v>
      </c>
      <c r="B175" s="678"/>
      <c r="C175" s="678" t="s">
        <v>1352</v>
      </c>
      <c r="D175" s="678" t="s">
        <v>1393</v>
      </c>
      <c r="E175" s="678" t="s">
        <v>1369</v>
      </c>
      <c r="F175" s="678" t="s">
        <v>53</v>
      </c>
      <c r="G175" s="679" t="s">
        <v>47</v>
      </c>
      <c r="H175" s="678" t="s">
        <v>1366</v>
      </c>
      <c r="I175" s="680">
        <v>3700</v>
      </c>
      <c r="J175" s="680">
        <v>4350</v>
      </c>
      <c r="K175" s="680">
        <v>4350</v>
      </c>
      <c r="L175" s="680">
        <v>5505</v>
      </c>
      <c r="M175" s="679"/>
      <c r="N175" s="679"/>
      <c r="O175" s="679"/>
      <c r="P175" s="679"/>
      <c r="Q175" s="679"/>
      <c r="R175" s="679"/>
      <c r="S175" s="679"/>
      <c r="T175" s="679"/>
      <c r="U175" s="679"/>
      <c r="V175" s="679"/>
      <c r="W175" s="679"/>
      <c r="X175" s="681"/>
      <c r="Y175" s="681"/>
      <c r="Z175" s="679" t="s">
        <v>1367</v>
      </c>
      <c r="AA175" s="682" t="s">
        <v>304</v>
      </c>
    </row>
    <row r="176" spans="1:27" s="64" customFormat="1" x14ac:dyDescent="0.25">
      <c r="A176" s="677" t="s">
        <v>1345</v>
      </c>
      <c r="B176" s="678"/>
      <c r="C176" s="678" t="s">
        <v>1352</v>
      </c>
      <c r="D176" s="678" t="s">
        <v>1393</v>
      </c>
      <c r="E176" s="678" t="s">
        <v>1370</v>
      </c>
      <c r="F176" s="678" t="s">
        <v>53</v>
      </c>
      <c r="G176" s="679" t="s">
        <v>47</v>
      </c>
      <c r="H176" s="678" t="s">
        <v>1366</v>
      </c>
      <c r="I176" s="680">
        <v>4210</v>
      </c>
      <c r="J176" s="680">
        <v>4950</v>
      </c>
      <c r="K176" s="680">
        <v>4950</v>
      </c>
      <c r="L176" s="680">
        <v>6265</v>
      </c>
      <c r="M176" s="679"/>
      <c r="N176" s="679"/>
      <c r="O176" s="679"/>
      <c r="P176" s="679"/>
      <c r="Q176" s="679"/>
      <c r="R176" s="679"/>
      <c r="S176" s="679"/>
      <c r="T176" s="679"/>
      <c r="U176" s="679"/>
      <c r="V176" s="679"/>
      <c r="W176" s="679"/>
      <c r="X176" s="681"/>
      <c r="Y176" s="681"/>
      <c r="Z176" s="679" t="s">
        <v>1367</v>
      </c>
      <c r="AA176" s="682" t="s">
        <v>304</v>
      </c>
    </row>
    <row r="177" spans="1:27" s="64" customFormat="1" x14ac:dyDescent="0.25">
      <c r="A177" s="677" t="s">
        <v>1345</v>
      </c>
      <c r="B177" s="678"/>
      <c r="C177" s="678" t="s">
        <v>1352</v>
      </c>
      <c r="D177" s="678" t="s">
        <v>1393</v>
      </c>
      <c r="E177" s="678" t="s">
        <v>1371</v>
      </c>
      <c r="F177" s="678" t="s">
        <v>53</v>
      </c>
      <c r="G177" s="679" t="s">
        <v>47</v>
      </c>
      <c r="H177" s="678" t="s">
        <v>1366</v>
      </c>
      <c r="I177" s="680">
        <v>4210</v>
      </c>
      <c r="J177" s="680">
        <v>4950</v>
      </c>
      <c r="K177" s="680">
        <v>4950</v>
      </c>
      <c r="L177" s="680">
        <v>6265</v>
      </c>
      <c r="M177" s="679"/>
      <c r="N177" s="679"/>
      <c r="O177" s="679"/>
      <c r="P177" s="679"/>
      <c r="Q177" s="679"/>
      <c r="R177" s="679"/>
      <c r="S177" s="679"/>
      <c r="T177" s="679"/>
      <c r="U177" s="679"/>
      <c r="V177" s="679"/>
      <c r="W177" s="679"/>
      <c r="X177" s="681"/>
      <c r="Y177" s="681"/>
      <c r="Z177" s="679" t="s">
        <v>1367</v>
      </c>
      <c r="AA177" s="682" t="s">
        <v>304</v>
      </c>
    </row>
    <row r="178" spans="1:27" s="64" customFormat="1" x14ac:dyDescent="0.25">
      <c r="A178" s="677" t="s">
        <v>1345</v>
      </c>
      <c r="B178" s="678"/>
      <c r="C178" s="678" t="s">
        <v>1352</v>
      </c>
      <c r="D178" s="678" t="s">
        <v>1393</v>
      </c>
      <c r="E178" s="678" t="s">
        <v>1372</v>
      </c>
      <c r="F178" s="678" t="s">
        <v>53</v>
      </c>
      <c r="G178" s="679" t="s">
        <v>47</v>
      </c>
      <c r="H178" s="678" t="s">
        <v>1366</v>
      </c>
      <c r="I178" s="680">
        <v>4210</v>
      </c>
      <c r="J178" s="680">
        <v>4950</v>
      </c>
      <c r="K178" s="680">
        <v>4950</v>
      </c>
      <c r="L178" s="680">
        <v>6265</v>
      </c>
      <c r="M178" s="679"/>
      <c r="N178" s="679"/>
      <c r="O178" s="679"/>
      <c r="P178" s="679"/>
      <c r="Q178" s="679"/>
      <c r="R178" s="679"/>
      <c r="S178" s="679"/>
      <c r="T178" s="679"/>
      <c r="U178" s="679"/>
      <c r="V178" s="679"/>
      <c r="W178" s="679"/>
      <c r="X178" s="681"/>
      <c r="Y178" s="681"/>
      <c r="Z178" s="679" t="s">
        <v>1367</v>
      </c>
      <c r="AA178" s="682" t="s">
        <v>304</v>
      </c>
    </row>
    <row r="179" spans="1:27" s="64" customFormat="1" x14ac:dyDescent="0.25">
      <c r="A179" s="677" t="s">
        <v>1345</v>
      </c>
      <c r="B179" s="678"/>
      <c r="C179" s="678" t="s">
        <v>1352</v>
      </c>
      <c r="D179" s="678" t="s">
        <v>1393</v>
      </c>
      <c r="E179" s="678" t="s">
        <v>1375</v>
      </c>
      <c r="F179" s="678" t="s">
        <v>53</v>
      </c>
      <c r="G179" s="679" t="s">
        <v>47</v>
      </c>
      <c r="H179" s="678" t="s">
        <v>1366</v>
      </c>
      <c r="I179" s="680">
        <v>4295</v>
      </c>
      <c r="J179" s="680">
        <v>5050</v>
      </c>
      <c r="K179" s="680">
        <v>5050</v>
      </c>
      <c r="L179" s="680">
        <v>6395</v>
      </c>
      <c r="M179" s="679"/>
      <c r="N179" s="679"/>
      <c r="O179" s="679"/>
      <c r="P179" s="679"/>
      <c r="Q179" s="679"/>
      <c r="R179" s="679"/>
      <c r="S179" s="679"/>
      <c r="T179" s="679"/>
      <c r="U179" s="679"/>
      <c r="V179" s="679"/>
      <c r="W179" s="679"/>
      <c r="X179" s="681"/>
      <c r="Y179" s="681"/>
      <c r="Z179" s="679" t="s">
        <v>1367</v>
      </c>
      <c r="AA179" s="682" t="s">
        <v>304</v>
      </c>
    </row>
    <row r="180" spans="1:27" s="64" customFormat="1" x14ac:dyDescent="0.25">
      <c r="A180" s="677" t="s">
        <v>1345</v>
      </c>
      <c r="B180" s="678"/>
      <c r="C180" s="678" t="s">
        <v>1352</v>
      </c>
      <c r="D180" s="678" t="s">
        <v>1393</v>
      </c>
      <c r="E180" s="678" t="s">
        <v>1378</v>
      </c>
      <c r="F180" s="678" t="s">
        <v>120</v>
      </c>
      <c r="G180" s="679" t="s">
        <v>49</v>
      </c>
      <c r="H180" s="678" t="s">
        <v>1366</v>
      </c>
      <c r="I180" s="680">
        <v>6250</v>
      </c>
      <c r="J180" s="680">
        <v>7350</v>
      </c>
      <c r="K180" s="680">
        <v>7350</v>
      </c>
      <c r="L180" s="680">
        <v>9305</v>
      </c>
      <c r="M180" s="679"/>
      <c r="N180" s="679"/>
      <c r="O180" s="679"/>
      <c r="P180" s="679"/>
      <c r="Q180" s="679"/>
      <c r="R180" s="679"/>
      <c r="S180" s="679"/>
      <c r="T180" s="679"/>
      <c r="U180" s="679"/>
      <c r="V180" s="679"/>
      <c r="W180" s="679"/>
      <c r="X180" s="681"/>
      <c r="Y180" s="681"/>
      <c r="Z180" s="679" t="s">
        <v>1367</v>
      </c>
      <c r="AA180" s="682" t="s">
        <v>304</v>
      </c>
    </row>
    <row r="181" spans="1:27" s="64" customFormat="1" x14ac:dyDescent="0.25">
      <c r="A181" s="677" t="s">
        <v>1345</v>
      </c>
      <c r="B181" s="678"/>
      <c r="C181" s="678" t="s">
        <v>1352</v>
      </c>
      <c r="D181" s="678" t="s">
        <v>1393</v>
      </c>
      <c r="E181" s="678" t="s">
        <v>1380</v>
      </c>
      <c r="F181" s="678" t="s">
        <v>53</v>
      </c>
      <c r="G181" s="679" t="s">
        <v>47</v>
      </c>
      <c r="H181" s="678" t="s">
        <v>1366</v>
      </c>
      <c r="I181" s="680">
        <v>4550</v>
      </c>
      <c r="J181" s="680">
        <v>5350</v>
      </c>
      <c r="K181" s="680">
        <v>5350</v>
      </c>
      <c r="L181" s="680">
        <v>6775</v>
      </c>
      <c r="M181" s="679"/>
      <c r="N181" s="679"/>
      <c r="O181" s="679"/>
      <c r="P181" s="679"/>
      <c r="Q181" s="679"/>
      <c r="R181" s="679"/>
      <c r="S181" s="679"/>
      <c r="T181" s="679"/>
      <c r="U181" s="679"/>
      <c r="V181" s="679"/>
      <c r="W181" s="679"/>
      <c r="X181" s="681"/>
      <c r="Y181" s="681"/>
      <c r="Z181" s="679" t="s">
        <v>1367</v>
      </c>
      <c r="AA181" s="682" t="s">
        <v>304</v>
      </c>
    </row>
    <row r="182" spans="1:27" s="64" customFormat="1" x14ac:dyDescent="0.25">
      <c r="A182" s="677" t="s">
        <v>1345</v>
      </c>
      <c r="B182" s="678"/>
      <c r="C182" s="678" t="s">
        <v>1352</v>
      </c>
      <c r="D182" s="678" t="s">
        <v>1393</v>
      </c>
      <c r="E182" s="678" t="s">
        <v>1382</v>
      </c>
      <c r="F182" s="678" t="s">
        <v>53</v>
      </c>
      <c r="G182" s="679" t="s">
        <v>47</v>
      </c>
      <c r="H182" s="678" t="s">
        <v>1366</v>
      </c>
      <c r="I182" s="680">
        <v>3785</v>
      </c>
      <c r="J182" s="680">
        <v>4450</v>
      </c>
      <c r="K182" s="680">
        <v>4450</v>
      </c>
      <c r="L182" s="680">
        <v>5635</v>
      </c>
      <c r="M182" s="679"/>
      <c r="N182" s="679"/>
      <c r="O182" s="679"/>
      <c r="P182" s="679"/>
      <c r="Q182" s="679"/>
      <c r="R182" s="679"/>
      <c r="S182" s="679"/>
      <c r="T182" s="679"/>
      <c r="U182" s="679"/>
      <c r="V182" s="679"/>
      <c r="W182" s="679"/>
      <c r="X182" s="681"/>
      <c r="Y182" s="681"/>
      <c r="Z182" s="679" t="s">
        <v>1367</v>
      </c>
      <c r="AA182" s="682" t="s">
        <v>304</v>
      </c>
    </row>
    <row r="183" spans="1:27" s="64" customFormat="1" x14ac:dyDescent="0.25">
      <c r="A183" s="677" t="s">
        <v>1345</v>
      </c>
      <c r="B183" s="678"/>
      <c r="C183" s="678" t="s">
        <v>1352</v>
      </c>
      <c r="D183" s="678" t="s">
        <v>1393</v>
      </c>
      <c r="E183" s="678" t="s">
        <v>1395</v>
      </c>
      <c r="F183" s="678" t="s">
        <v>53</v>
      </c>
      <c r="G183" s="679" t="s">
        <v>47</v>
      </c>
      <c r="H183" s="678" t="s">
        <v>1366</v>
      </c>
      <c r="I183" s="680">
        <v>3700</v>
      </c>
      <c r="J183" s="680">
        <v>4350</v>
      </c>
      <c r="K183" s="680">
        <v>4350</v>
      </c>
      <c r="L183" s="680">
        <v>5505</v>
      </c>
      <c r="M183" s="679"/>
      <c r="N183" s="679"/>
      <c r="O183" s="679"/>
      <c r="P183" s="679"/>
      <c r="Q183" s="679"/>
      <c r="R183" s="679"/>
      <c r="S183" s="679"/>
      <c r="T183" s="679"/>
      <c r="U183" s="679"/>
      <c r="V183" s="679"/>
      <c r="W183" s="679"/>
      <c r="X183" s="681"/>
      <c r="Y183" s="681"/>
      <c r="Z183" s="679" t="s">
        <v>1367</v>
      </c>
      <c r="AA183" s="682" t="s">
        <v>304</v>
      </c>
    </row>
    <row r="184" spans="1:27" s="64" customFormat="1" x14ac:dyDescent="0.25">
      <c r="A184" s="677" t="s">
        <v>1345</v>
      </c>
      <c r="B184" s="678"/>
      <c r="C184" s="678" t="s">
        <v>1352</v>
      </c>
      <c r="D184" s="678" t="s">
        <v>1393</v>
      </c>
      <c r="E184" s="678" t="s">
        <v>1396</v>
      </c>
      <c r="F184" s="678" t="s">
        <v>53</v>
      </c>
      <c r="G184" s="679" t="s">
        <v>47</v>
      </c>
      <c r="H184" s="678" t="s">
        <v>1366</v>
      </c>
      <c r="I184" s="680">
        <v>2550</v>
      </c>
      <c r="J184" s="680">
        <v>3000</v>
      </c>
      <c r="K184" s="680">
        <v>3000</v>
      </c>
      <c r="L184" s="680">
        <v>3800</v>
      </c>
      <c r="M184" s="679"/>
      <c r="N184" s="679"/>
      <c r="O184" s="679"/>
      <c r="P184" s="679"/>
      <c r="Q184" s="679"/>
      <c r="R184" s="679"/>
      <c r="S184" s="679"/>
      <c r="T184" s="679"/>
      <c r="U184" s="679"/>
      <c r="V184" s="679"/>
      <c r="W184" s="679"/>
      <c r="X184" s="681"/>
      <c r="Y184" s="681"/>
      <c r="Z184" s="679" t="s">
        <v>1367</v>
      </c>
      <c r="AA184" s="682" t="s">
        <v>304</v>
      </c>
    </row>
    <row r="185" spans="1:27" s="64" customFormat="1" x14ac:dyDescent="0.25">
      <c r="A185" s="677" t="s">
        <v>1345</v>
      </c>
      <c r="B185" s="678"/>
      <c r="C185" s="678" t="s">
        <v>1352</v>
      </c>
      <c r="D185" s="678" t="s">
        <v>1393</v>
      </c>
      <c r="E185" s="678" t="s">
        <v>1397</v>
      </c>
      <c r="F185" s="678" t="s">
        <v>53</v>
      </c>
      <c r="G185" s="679" t="s">
        <v>47</v>
      </c>
      <c r="H185" s="678" t="s">
        <v>1366</v>
      </c>
      <c r="I185" s="680">
        <v>4040</v>
      </c>
      <c r="J185" s="680">
        <v>4750</v>
      </c>
      <c r="K185" s="680">
        <v>4750</v>
      </c>
      <c r="L185" s="680">
        <v>6015</v>
      </c>
      <c r="M185" s="679"/>
      <c r="N185" s="679"/>
      <c r="O185" s="679"/>
      <c r="P185" s="679"/>
      <c r="Q185" s="679"/>
      <c r="R185" s="679"/>
      <c r="S185" s="679"/>
      <c r="T185" s="679"/>
      <c r="U185" s="679"/>
      <c r="V185" s="679"/>
      <c r="W185" s="679"/>
      <c r="X185" s="681"/>
      <c r="Y185" s="681"/>
      <c r="Z185" s="679" t="s">
        <v>1367</v>
      </c>
      <c r="AA185" s="682" t="s">
        <v>304</v>
      </c>
    </row>
    <row r="186" spans="1:27" s="64" customFormat="1" x14ac:dyDescent="0.25">
      <c r="A186" s="677" t="s">
        <v>1345</v>
      </c>
      <c r="B186" s="678"/>
      <c r="C186" s="678" t="s">
        <v>1398</v>
      </c>
      <c r="D186" s="678" t="s">
        <v>1393</v>
      </c>
      <c r="E186" s="678"/>
      <c r="F186" s="678" t="s">
        <v>51</v>
      </c>
      <c r="G186" s="679" t="s">
        <v>47</v>
      </c>
      <c r="H186" s="678" t="s">
        <v>1366</v>
      </c>
      <c r="I186" s="680">
        <v>1470</v>
      </c>
      <c r="J186" s="680">
        <v>2100</v>
      </c>
      <c r="K186" s="680">
        <v>2100</v>
      </c>
      <c r="L186" s="680">
        <v>2660</v>
      </c>
      <c r="M186" s="679"/>
      <c r="N186" s="679"/>
      <c r="O186" s="679"/>
      <c r="P186" s="679"/>
      <c r="Q186" s="679"/>
      <c r="R186" s="679"/>
      <c r="S186" s="679"/>
      <c r="T186" s="679"/>
      <c r="U186" s="679"/>
      <c r="V186" s="679"/>
      <c r="W186" s="679"/>
      <c r="X186" s="681"/>
      <c r="Y186" s="681"/>
      <c r="Z186" s="679" t="s">
        <v>1367</v>
      </c>
      <c r="AA186" s="682" t="s">
        <v>304</v>
      </c>
    </row>
    <row r="187" spans="1:27" s="64" customFormat="1" x14ac:dyDescent="0.25">
      <c r="A187" s="677" t="s">
        <v>1345</v>
      </c>
      <c r="B187" s="678"/>
      <c r="C187" s="678" t="s">
        <v>1398</v>
      </c>
      <c r="D187" s="678" t="s">
        <v>1393</v>
      </c>
      <c r="E187" s="678" t="s">
        <v>1369</v>
      </c>
      <c r="F187" s="678" t="s">
        <v>53</v>
      </c>
      <c r="G187" s="679" t="s">
        <v>47</v>
      </c>
      <c r="H187" s="678" t="s">
        <v>1366</v>
      </c>
      <c r="I187" s="680">
        <v>3480</v>
      </c>
      <c r="J187" s="680">
        <v>4350</v>
      </c>
      <c r="K187" s="680">
        <v>4350</v>
      </c>
      <c r="L187" s="680">
        <v>5505</v>
      </c>
      <c r="M187" s="679"/>
      <c r="N187" s="679"/>
      <c r="O187" s="679"/>
      <c r="P187" s="679"/>
      <c r="Q187" s="679"/>
      <c r="R187" s="679"/>
      <c r="S187" s="679"/>
      <c r="T187" s="679"/>
      <c r="U187" s="679"/>
      <c r="V187" s="679"/>
      <c r="W187" s="679"/>
      <c r="X187" s="681"/>
      <c r="Y187" s="681"/>
      <c r="Z187" s="679" t="s">
        <v>1367</v>
      </c>
      <c r="AA187" s="682" t="s">
        <v>304</v>
      </c>
    </row>
    <row r="188" spans="1:27" s="64" customFormat="1" x14ac:dyDescent="0.25">
      <c r="A188" s="677" t="s">
        <v>1345</v>
      </c>
      <c r="B188" s="678"/>
      <c r="C188" s="678" t="s">
        <v>1398</v>
      </c>
      <c r="D188" s="678" t="s">
        <v>1393</v>
      </c>
      <c r="E188" s="678" t="s">
        <v>1370</v>
      </c>
      <c r="F188" s="678" t="s">
        <v>53</v>
      </c>
      <c r="G188" s="679" t="s">
        <v>47</v>
      </c>
      <c r="H188" s="678" t="s">
        <v>1366</v>
      </c>
      <c r="I188" s="680">
        <v>3960</v>
      </c>
      <c r="J188" s="680">
        <v>4950</v>
      </c>
      <c r="K188" s="680">
        <v>4950</v>
      </c>
      <c r="L188" s="680">
        <v>6265</v>
      </c>
      <c r="M188" s="679"/>
      <c r="N188" s="679"/>
      <c r="O188" s="679"/>
      <c r="P188" s="679"/>
      <c r="Q188" s="679"/>
      <c r="R188" s="679"/>
      <c r="S188" s="679"/>
      <c r="T188" s="679"/>
      <c r="U188" s="679"/>
      <c r="V188" s="679"/>
      <c r="W188" s="679"/>
      <c r="X188" s="681"/>
      <c r="Y188" s="681"/>
      <c r="Z188" s="679" t="s">
        <v>1367</v>
      </c>
      <c r="AA188" s="682" t="s">
        <v>304</v>
      </c>
    </row>
    <row r="189" spans="1:27" s="64" customFormat="1" x14ac:dyDescent="0.25">
      <c r="A189" s="677" t="s">
        <v>1345</v>
      </c>
      <c r="B189" s="678"/>
      <c r="C189" s="678" t="s">
        <v>1398</v>
      </c>
      <c r="D189" s="678" t="s">
        <v>1393</v>
      </c>
      <c r="E189" s="678" t="s">
        <v>1371</v>
      </c>
      <c r="F189" s="678" t="s">
        <v>53</v>
      </c>
      <c r="G189" s="679" t="s">
        <v>47</v>
      </c>
      <c r="H189" s="678" t="s">
        <v>1366</v>
      </c>
      <c r="I189" s="680">
        <v>3960</v>
      </c>
      <c r="J189" s="680">
        <v>4950</v>
      </c>
      <c r="K189" s="680">
        <v>4950</v>
      </c>
      <c r="L189" s="680">
        <v>6265</v>
      </c>
      <c r="M189" s="679"/>
      <c r="N189" s="679"/>
      <c r="O189" s="679"/>
      <c r="P189" s="679"/>
      <c r="Q189" s="679"/>
      <c r="R189" s="679"/>
      <c r="S189" s="679"/>
      <c r="T189" s="679"/>
      <c r="U189" s="679"/>
      <c r="V189" s="679"/>
      <c r="W189" s="679"/>
      <c r="X189" s="681"/>
      <c r="Y189" s="681"/>
      <c r="Z189" s="679" t="s">
        <v>1367</v>
      </c>
      <c r="AA189" s="682" t="s">
        <v>304</v>
      </c>
    </row>
    <row r="190" spans="1:27" s="64" customFormat="1" x14ac:dyDescent="0.25">
      <c r="A190" s="677" t="s">
        <v>1345</v>
      </c>
      <c r="B190" s="678"/>
      <c r="C190" s="678" t="s">
        <v>1398</v>
      </c>
      <c r="D190" s="678" t="s">
        <v>1393</v>
      </c>
      <c r="E190" s="678" t="s">
        <v>1372</v>
      </c>
      <c r="F190" s="678" t="s">
        <v>53</v>
      </c>
      <c r="G190" s="679" t="s">
        <v>47</v>
      </c>
      <c r="H190" s="678" t="s">
        <v>1366</v>
      </c>
      <c r="I190" s="680">
        <v>3960</v>
      </c>
      <c r="J190" s="680">
        <v>4950</v>
      </c>
      <c r="K190" s="680">
        <v>4950</v>
      </c>
      <c r="L190" s="680">
        <v>6265</v>
      </c>
      <c r="M190" s="679"/>
      <c r="N190" s="679"/>
      <c r="O190" s="679"/>
      <c r="P190" s="679"/>
      <c r="Q190" s="679"/>
      <c r="R190" s="679"/>
      <c r="S190" s="679"/>
      <c r="T190" s="679"/>
      <c r="U190" s="679"/>
      <c r="V190" s="679"/>
      <c r="W190" s="679"/>
      <c r="X190" s="681"/>
      <c r="Y190" s="681"/>
      <c r="Z190" s="679" t="s">
        <v>1367</v>
      </c>
      <c r="AA190" s="682" t="s">
        <v>304</v>
      </c>
    </row>
    <row r="191" spans="1:27" s="64" customFormat="1" x14ac:dyDescent="0.25">
      <c r="A191" s="677" t="s">
        <v>1345</v>
      </c>
      <c r="B191" s="678"/>
      <c r="C191" s="678" t="s">
        <v>1398</v>
      </c>
      <c r="D191" s="678" t="s">
        <v>1393</v>
      </c>
      <c r="E191" s="678" t="s">
        <v>1375</v>
      </c>
      <c r="F191" s="678" t="s">
        <v>53</v>
      </c>
      <c r="G191" s="679" t="s">
        <v>47</v>
      </c>
      <c r="H191" s="678" t="s">
        <v>1366</v>
      </c>
      <c r="I191" s="680">
        <v>4040</v>
      </c>
      <c r="J191" s="680">
        <v>5050</v>
      </c>
      <c r="K191" s="680">
        <v>5050</v>
      </c>
      <c r="L191" s="680">
        <v>6395</v>
      </c>
      <c r="M191" s="679"/>
      <c r="N191" s="679"/>
      <c r="O191" s="679"/>
      <c r="P191" s="679"/>
      <c r="Q191" s="679"/>
      <c r="R191" s="679"/>
      <c r="S191" s="679"/>
      <c r="T191" s="679"/>
      <c r="U191" s="679"/>
      <c r="V191" s="679"/>
      <c r="W191" s="679"/>
      <c r="X191" s="681"/>
      <c r="Y191" s="681"/>
      <c r="Z191" s="679" t="s">
        <v>1367</v>
      </c>
      <c r="AA191" s="682" t="s">
        <v>304</v>
      </c>
    </row>
    <row r="192" spans="1:27" s="64" customFormat="1" x14ac:dyDescent="0.25">
      <c r="A192" s="677" t="s">
        <v>1345</v>
      </c>
      <c r="B192" s="678"/>
      <c r="C192" s="678" t="s">
        <v>1398</v>
      </c>
      <c r="D192" s="678" t="s">
        <v>1393</v>
      </c>
      <c r="E192" s="678" t="s">
        <v>1378</v>
      </c>
      <c r="F192" s="678" t="s">
        <v>120</v>
      </c>
      <c r="G192" s="679" t="s">
        <v>49</v>
      </c>
      <c r="H192" s="678" t="s">
        <v>1366</v>
      </c>
      <c r="I192" s="680">
        <v>5880</v>
      </c>
      <c r="J192" s="680">
        <v>7350</v>
      </c>
      <c r="K192" s="680">
        <v>7350</v>
      </c>
      <c r="L192" s="680">
        <v>9305</v>
      </c>
      <c r="M192" s="679"/>
      <c r="N192" s="679"/>
      <c r="O192" s="679"/>
      <c r="P192" s="679"/>
      <c r="Q192" s="679"/>
      <c r="R192" s="679"/>
      <c r="S192" s="679"/>
      <c r="T192" s="679"/>
      <c r="U192" s="679"/>
      <c r="V192" s="679"/>
      <c r="W192" s="679"/>
      <c r="X192" s="681"/>
      <c r="Y192" s="681"/>
      <c r="Z192" s="679" t="s">
        <v>1367</v>
      </c>
      <c r="AA192" s="682" t="s">
        <v>304</v>
      </c>
    </row>
    <row r="193" spans="1:27" s="64" customFormat="1" x14ac:dyDescent="0.25">
      <c r="A193" s="677" t="s">
        <v>1345</v>
      </c>
      <c r="B193" s="678"/>
      <c r="C193" s="678" t="s">
        <v>1398</v>
      </c>
      <c r="D193" s="678" t="s">
        <v>1393</v>
      </c>
      <c r="E193" s="678" t="s">
        <v>1380</v>
      </c>
      <c r="F193" s="678" t="s">
        <v>53</v>
      </c>
      <c r="G193" s="679" t="s">
        <v>47</v>
      </c>
      <c r="H193" s="678" t="s">
        <v>1366</v>
      </c>
      <c r="I193" s="680">
        <v>4280</v>
      </c>
      <c r="J193" s="680">
        <v>5350</v>
      </c>
      <c r="K193" s="680">
        <v>5350</v>
      </c>
      <c r="L193" s="680">
        <v>6775</v>
      </c>
      <c r="M193" s="679"/>
      <c r="N193" s="679"/>
      <c r="O193" s="679"/>
      <c r="P193" s="679"/>
      <c r="Q193" s="679"/>
      <c r="R193" s="679"/>
      <c r="S193" s="679"/>
      <c r="T193" s="679"/>
      <c r="U193" s="679"/>
      <c r="V193" s="679"/>
      <c r="W193" s="679"/>
      <c r="X193" s="681"/>
      <c r="Y193" s="681"/>
      <c r="Z193" s="679" t="s">
        <v>1367</v>
      </c>
      <c r="AA193" s="682" t="s">
        <v>304</v>
      </c>
    </row>
    <row r="194" spans="1:27" s="64" customFormat="1" x14ac:dyDescent="0.25">
      <c r="A194" s="677" t="s">
        <v>1345</v>
      </c>
      <c r="B194" s="678"/>
      <c r="C194" s="678" t="s">
        <v>1398</v>
      </c>
      <c r="D194" s="678" t="s">
        <v>1393</v>
      </c>
      <c r="E194" s="678" t="s">
        <v>1382</v>
      </c>
      <c r="F194" s="678" t="s">
        <v>53</v>
      </c>
      <c r="G194" s="679" t="s">
        <v>47</v>
      </c>
      <c r="H194" s="678" t="s">
        <v>1366</v>
      </c>
      <c r="I194" s="680">
        <v>3560</v>
      </c>
      <c r="J194" s="680">
        <v>4450</v>
      </c>
      <c r="K194" s="680">
        <v>4450</v>
      </c>
      <c r="L194" s="680">
        <v>5635</v>
      </c>
      <c r="M194" s="679"/>
      <c r="N194" s="679"/>
      <c r="O194" s="679"/>
      <c r="P194" s="679"/>
      <c r="Q194" s="679"/>
      <c r="R194" s="679"/>
      <c r="S194" s="679"/>
      <c r="T194" s="679"/>
      <c r="U194" s="679"/>
      <c r="V194" s="679"/>
      <c r="W194" s="679"/>
      <c r="X194" s="681"/>
      <c r="Y194" s="681"/>
      <c r="Z194" s="679" t="s">
        <v>1367</v>
      </c>
      <c r="AA194" s="682" t="s">
        <v>304</v>
      </c>
    </row>
    <row r="195" spans="1:27" s="64" customFormat="1" x14ac:dyDescent="0.25">
      <c r="A195" s="677" t="s">
        <v>1345</v>
      </c>
      <c r="B195" s="678"/>
      <c r="C195" s="678" t="s">
        <v>1398</v>
      </c>
      <c r="D195" s="678" t="s">
        <v>1393</v>
      </c>
      <c r="E195" s="678" t="s">
        <v>1395</v>
      </c>
      <c r="F195" s="678" t="s">
        <v>53</v>
      </c>
      <c r="G195" s="679" t="s">
        <v>47</v>
      </c>
      <c r="H195" s="678" t="s">
        <v>1366</v>
      </c>
      <c r="I195" s="680">
        <v>3480</v>
      </c>
      <c r="J195" s="680">
        <v>4350</v>
      </c>
      <c r="K195" s="680">
        <v>4350</v>
      </c>
      <c r="L195" s="680">
        <v>5505</v>
      </c>
      <c r="M195" s="679"/>
      <c r="N195" s="679"/>
      <c r="O195" s="679"/>
      <c r="P195" s="679"/>
      <c r="Q195" s="679"/>
      <c r="R195" s="679"/>
      <c r="S195" s="679"/>
      <c r="T195" s="679"/>
      <c r="U195" s="679"/>
      <c r="V195" s="679"/>
      <c r="W195" s="679"/>
      <c r="X195" s="681"/>
      <c r="Y195" s="681"/>
      <c r="Z195" s="679" t="s">
        <v>1367</v>
      </c>
      <c r="AA195" s="682" t="s">
        <v>304</v>
      </c>
    </row>
    <row r="196" spans="1:27" s="64" customFormat="1" x14ac:dyDescent="0.25">
      <c r="A196" s="677" t="s">
        <v>1345</v>
      </c>
      <c r="B196" s="678"/>
      <c r="C196" s="678" t="s">
        <v>1398</v>
      </c>
      <c r="D196" s="678" t="s">
        <v>1393</v>
      </c>
      <c r="E196" s="678" t="s">
        <v>1396</v>
      </c>
      <c r="F196" s="678" t="s">
        <v>53</v>
      </c>
      <c r="G196" s="679" t="s">
        <v>47</v>
      </c>
      <c r="H196" s="678" t="s">
        <v>1366</v>
      </c>
      <c r="I196" s="680">
        <v>2400</v>
      </c>
      <c r="J196" s="680">
        <v>3000</v>
      </c>
      <c r="K196" s="680">
        <v>3000</v>
      </c>
      <c r="L196" s="680">
        <v>3800</v>
      </c>
      <c r="M196" s="679"/>
      <c r="N196" s="679"/>
      <c r="O196" s="679"/>
      <c r="P196" s="679"/>
      <c r="Q196" s="679"/>
      <c r="R196" s="679"/>
      <c r="S196" s="679"/>
      <c r="T196" s="679"/>
      <c r="U196" s="679"/>
      <c r="V196" s="679"/>
      <c r="W196" s="679"/>
      <c r="X196" s="681"/>
      <c r="Y196" s="681"/>
      <c r="Z196" s="679" t="s">
        <v>1367</v>
      </c>
      <c r="AA196" s="682" t="s">
        <v>304</v>
      </c>
    </row>
    <row r="197" spans="1:27" s="64" customFormat="1" x14ac:dyDescent="0.25">
      <c r="A197" s="677" t="s">
        <v>1345</v>
      </c>
      <c r="B197" s="678"/>
      <c r="C197" s="678" t="s">
        <v>1398</v>
      </c>
      <c r="D197" s="678" t="s">
        <v>1393</v>
      </c>
      <c r="E197" s="678" t="s">
        <v>1397</v>
      </c>
      <c r="F197" s="678" t="s">
        <v>53</v>
      </c>
      <c r="G197" s="679" t="s">
        <v>47</v>
      </c>
      <c r="H197" s="678" t="s">
        <v>1366</v>
      </c>
      <c r="I197" s="680">
        <v>3800</v>
      </c>
      <c r="J197" s="680">
        <v>4750</v>
      </c>
      <c r="K197" s="680">
        <v>4750</v>
      </c>
      <c r="L197" s="680">
        <v>6015</v>
      </c>
      <c r="M197" s="679"/>
      <c r="N197" s="679"/>
      <c r="O197" s="679"/>
      <c r="P197" s="679"/>
      <c r="Q197" s="679"/>
      <c r="R197" s="679"/>
      <c r="S197" s="679"/>
      <c r="T197" s="679"/>
      <c r="U197" s="679"/>
      <c r="V197" s="679"/>
      <c r="W197" s="679"/>
      <c r="X197" s="681"/>
      <c r="Y197" s="681"/>
      <c r="Z197" s="679" t="s">
        <v>1367</v>
      </c>
      <c r="AA197" s="682" t="s">
        <v>304</v>
      </c>
    </row>
    <row r="198" spans="1:27" s="64" customFormat="1" x14ac:dyDescent="0.25">
      <c r="A198" s="677" t="s">
        <v>1345</v>
      </c>
      <c r="B198" s="678"/>
      <c r="C198" s="678" t="s">
        <v>1347</v>
      </c>
      <c r="D198" s="678" t="s">
        <v>1394</v>
      </c>
      <c r="E198" s="678"/>
      <c r="F198" s="678" t="s">
        <v>51</v>
      </c>
      <c r="G198" s="679" t="s">
        <v>47</v>
      </c>
      <c r="H198" s="678" t="s">
        <v>1366</v>
      </c>
      <c r="I198" s="680">
        <v>1470</v>
      </c>
      <c r="J198" s="680">
        <v>2100</v>
      </c>
      <c r="K198" s="680">
        <v>2100</v>
      </c>
      <c r="L198" s="680">
        <v>2660</v>
      </c>
      <c r="M198" s="679"/>
      <c r="N198" s="679"/>
      <c r="O198" s="679"/>
      <c r="P198" s="679"/>
      <c r="Q198" s="679"/>
      <c r="R198" s="679"/>
      <c r="S198" s="679"/>
      <c r="T198" s="679"/>
      <c r="U198" s="679"/>
      <c r="V198" s="679"/>
      <c r="W198" s="679"/>
      <c r="X198" s="681"/>
      <c r="Y198" s="681"/>
      <c r="Z198" s="679" t="s">
        <v>1367</v>
      </c>
      <c r="AA198" s="682" t="s">
        <v>304</v>
      </c>
    </row>
    <row r="199" spans="1:27" s="64" customFormat="1" x14ac:dyDescent="0.25">
      <c r="A199" s="677" t="s">
        <v>1345</v>
      </c>
      <c r="B199" s="678"/>
      <c r="C199" s="678" t="s">
        <v>1392</v>
      </c>
      <c r="D199" s="678" t="s">
        <v>1393</v>
      </c>
      <c r="E199" s="678"/>
      <c r="F199" s="678" t="s">
        <v>51</v>
      </c>
      <c r="G199" s="679" t="s">
        <v>47</v>
      </c>
      <c r="H199" s="678" t="s">
        <v>1366</v>
      </c>
      <c r="I199" s="680">
        <v>1470</v>
      </c>
      <c r="J199" s="680">
        <v>2100</v>
      </c>
      <c r="K199" s="680">
        <v>2100</v>
      </c>
      <c r="L199" s="680">
        <v>2660</v>
      </c>
      <c r="M199" s="679"/>
      <c r="N199" s="679"/>
      <c r="O199" s="679"/>
      <c r="P199" s="679"/>
      <c r="Q199" s="679"/>
      <c r="R199" s="679"/>
      <c r="S199" s="679"/>
      <c r="T199" s="679"/>
      <c r="U199" s="679"/>
      <c r="V199" s="679"/>
      <c r="W199" s="679"/>
      <c r="X199" s="681"/>
      <c r="Y199" s="681"/>
      <c r="Z199" s="679" t="s">
        <v>1367</v>
      </c>
      <c r="AA199" s="682" t="s">
        <v>304</v>
      </c>
    </row>
    <row r="200" spans="1:27" s="64" customFormat="1" x14ac:dyDescent="0.25">
      <c r="A200" s="677" t="s">
        <v>1345</v>
      </c>
      <c r="B200" s="678"/>
      <c r="C200" s="678" t="s">
        <v>1392</v>
      </c>
      <c r="D200" s="678" t="s">
        <v>1393</v>
      </c>
      <c r="E200" s="678" t="s">
        <v>1369</v>
      </c>
      <c r="F200" s="678" t="s">
        <v>53</v>
      </c>
      <c r="G200" s="679" t="s">
        <v>47</v>
      </c>
      <c r="H200" s="678" t="s">
        <v>1366</v>
      </c>
      <c r="I200" s="680">
        <v>3700</v>
      </c>
      <c r="J200" s="680">
        <v>4350</v>
      </c>
      <c r="K200" s="680">
        <v>4350</v>
      </c>
      <c r="L200" s="680">
        <v>5505</v>
      </c>
      <c r="M200" s="679"/>
      <c r="N200" s="679"/>
      <c r="O200" s="679"/>
      <c r="P200" s="679"/>
      <c r="Q200" s="679"/>
      <c r="R200" s="679"/>
      <c r="S200" s="679"/>
      <c r="T200" s="679"/>
      <c r="U200" s="679"/>
      <c r="V200" s="679"/>
      <c r="W200" s="679"/>
      <c r="X200" s="681"/>
      <c r="Y200" s="681"/>
      <c r="Z200" s="679" t="s">
        <v>1367</v>
      </c>
      <c r="AA200" s="682" t="s">
        <v>304</v>
      </c>
    </row>
    <row r="201" spans="1:27" s="64" customFormat="1" x14ac:dyDescent="0.25">
      <c r="A201" s="677" t="s">
        <v>1345</v>
      </c>
      <c r="B201" s="678"/>
      <c r="C201" s="678" t="s">
        <v>1392</v>
      </c>
      <c r="D201" s="678" t="s">
        <v>1393</v>
      </c>
      <c r="E201" s="678" t="s">
        <v>1370</v>
      </c>
      <c r="F201" s="678" t="s">
        <v>53</v>
      </c>
      <c r="G201" s="679" t="s">
        <v>47</v>
      </c>
      <c r="H201" s="678" t="s">
        <v>1366</v>
      </c>
      <c r="I201" s="680">
        <v>4210</v>
      </c>
      <c r="J201" s="680">
        <v>4950</v>
      </c>
      <c r="K201" s="680">
        <v>4950</v>
      </c>
      <c r="L201" s="680">
        <v>6265</v>
      </c>
      <c r="M201" s="679"/>
      <c r="N201" s="679"/>
      <c r="O201" s="679"/>
      <c r="P201" s="679"/>
      <c r="Q201" s="679"/>
      <c r="R201" s="679"/>
      <c r="S201" s="679"/>
      <c r="T201" s="679"/>
      <c r="U201" s="679"/>
      <c r="V201" s="679"/>
      <c r="W201" s="679"/>
      <c r="X201" s="681"/>
      <c r="Y201" s="681"/>
      <c r="Z201" s="679" t="s">
        <v>1367</v>
      </c>
      <c r="AA201" s="682" t="s">
        <v>304</v>
      </c>
    </row>
    <row r="202" spans="1:27" s="64" customFormat="1" x14ac:dyDescent="0.25">
      <c r="A202" s="677" t="s">
        <v>1345</v>
      </c>
      <c r="B202" s="678"/>
      <c r="C202" s="678" t="s">
        <v>1392</v>
      </c>
      <c r="D202" s="678" t="s">
        <v>1393</v>
      </c>
      <c r="E202" s="678" t="s">
        <v>1371</v>
      </c>
      <c r="F202" s="678" t="s">
        <v>53</v>
      </c>
      <c r="G202" s="679" t="s">
        <v>47</v>
      </c>
      <c r="H202" s="678" t="s">
        <v>1366</v>
      </c>
      <c r="I202" s="680">
        <v>4210</v>
      </c>
      <c r="J202" s="680">
        <v>4950</v>
      </c>
      <c r="K202" s="680">
        <v>4950</v>
      </c>
      <c r="L202" s="680">
        <v>6265</v>
      </c>
      <c r="M202" s="679"/>
      <c r="N202" s="679"/>
      <c r="O202" s="679"/>
      <c r="P202" s="679"/>
      <c r="Q202" s="679"/>
      <c r="R202" s="679"/>
      <c r="S202" s="679"/>
      <c r="T202" s="679"/>
      <c r="U202" s="679"/>
      <c r="V202" s="679"/>
      <c r="W202" s="679"/>
      <c r="X202" s="681"/>
      <c r="Y202" s="681"/>
      <c r="Z202" s="679" t="s">
        <v>1367</v>
      </c>
      <c r="AA202" s="682" t="s">
        <v>304</v>
      </c>
    </row>
    <row r="203" spans="1:27" s="64" customFormat="1" x14ac:dyDescent="0.25">
      <c r="A203" s="677" t="s">
        <v>1345</v>
      </c>
      <c r="B203" s="678"/>
      <c r="C203" s="678" t="s">
        <v>1392</v>
      </c>
      <c r="D203" s="678" t="s">
        <v>1393</v>
      </c>
      <c r="E203" s="678" t="s">
        <v>1372</v>
      </c>
      <c r="F203" s="678" t="s">
        <v>53</v>
      </c>
      <c r="G203" s="679" t="s">
        <v>47</v>
      </c>
      <c r="H203" s="678" t="s">
        <v>1366</v>
      </c>
      <c r="I203" s="680">
        <v>4210</v>
      </c>
      <c r="J203" s="680">
        <v>4950</v>
      </c>
      <c r="K203" s="680">
        <v>4950</v>
      </c>
      <c r="L203" s="680">
        <v>6265</v>
      </c>
      <c r="M203" s="679"/>
      <c r="N203" s="679"/>
      <c r="O203" s="679"/>
      <c r="P203" s="679"/>
      <c r="Q203" s="679"/>
      <c r="R203" s="679"/>
      <c r="S203" s="679"/>
      <c r="T203" s="679"/>
      <c r="U203" s="679"/>
      <c r="V203" s="679"/>
      <c r="W203" s="679"/>
      <c r="X203" s="681"/>
      <c r="Y203" s="681"/>
      <c r="Z203" s="679" t="s">
        <v>1367</v>
      </c>
      <c r="AA203" s="682" t="s">
        <v>304</v>
      </c>
    </row>
    <row r="204" spans="1:27" s="64" customFormat="1" x14ac:dyDescent="0.25">
      <c r="A204" s="677" t="s">
        <v>1345</v>
      </c>
      <c r="B204" s="678"/>
      <c r="C204" s="678" t="s">
        <v>1392</v>
      </c>
      <c r="D204" s="678" t="s">
        <v>1393</v>
      </c>
      <c r="E204" s="678" t="s">
        <v>1375</v>
      </c>
      <c r="F204" s="678" t="s">
        <v>53</v>
      </c>
      <c r="G204" s="679" t="s">
        <v>47</v>
      </c>
      <c r="H204" s="678" t="s">
        <v>1366</v>
      </c>
      <c r="I204" s="680">
        <v>4295</v>
      </c>
      <c r="J204" s="680">
        <v>5050</v>
      </c>
      <c r="K204" s="680">
        <v>5050</v>
      </c>
      <c r="L204" s="680">
        <v>6395</v>
      </c>
      <c r="M204" s="679"/>
      <c r="N204" s="679"/>
      <c r="O204" s="679"/>
      <c r="P204" s="679"/>
      <c r="Q204" s="679"/>
      <c r="R204" s="679"/>
      <c r="S204" s="679"/>
      <c r="T204" s="679"/>
      <c r="U204" s="679"/>
      <c r="V204" s="679"/>
      <c r="W204" s="679"/>
      <c r="X204" s="681"/>
      <c r="Y204" s="681"/>
      <c r="Z204" s="679" t="s">
        <v>1367</v>
      </c>
      <c r="AA204" s="682" t="s">
        <v>304</v>
      </c>
    </row>
    <row r="205" spans="1:27" s="64" customFormat="1" x14ac:dyDescent="0.25">
      <c r="A205" s="677" t="s">
        <v>1345</v>
      </c>
      <c r="B205" s="678"/>
      <c r="C205" s="678" t="s">
        <v>1392</v>
      </c>
      <c r="D205" s="678" t="s">
        <v>1393</v>
      </c>
      <c r="E205" s="678" t="s">
        <v>1378</v>
      </c>
      <c r="F205" s="678" t="s">
        <v>120</v>
      </c>
      <c r="G205" s="679" t="s">
        <v>49</v>
      </c>
      <c r="H205" s="678" t="s">
        <v>1366</v>
      </c>
      <c r="I205" s="680">
        <v>6250</v>
      </c>
      <c r="J205" s="680">
        <v>7350</v>
      </c>
      <c r="K205" s="680">
        <v>7350</v>
      </c>
      <c r="L205" s="680">
        <v>9305</v>
      </c>
      <c r="M205" s="679"/>
      <c r="N205" s="679"/>
      <c r="O205" s="679"/>
      <c r="P205" s="679"/>
      <c r="Q205" s="679"/>
      <c r="R205" s="679"/>
      <c r="S205" s="679"/>
      <c r="T205" s="679"/>
      <c r="U205" s="679"/>
      <c r="V205" s="679"/>
      <c r="W205" s="679"/>
      <c r="X205" s="681"/>
      <c r="Y205" s="681"/>
      <c r="Z205" s="679" t="s">
        <v>1367</v>
      </c>
      <c r="AA205" s="682" t="s">
        <v>304</v>
      </c>
    </row>
    <row r="206" spans="1:27" s="64" customFormat="1" x14ac:dyDescent="0.25">
      <c r="A206" s="677" t="s">
        <v>1345</v>
      </c>
      <c r="B206" s="678"/>
      <c r="C206" s="678" t="s">
        <v>1392</v>
      </c>
      <c r="D206" s="678" t="s">
        <v>1393</v>
      </c>
      <c r="E206" s="678" t="s">
        <v>1380</v>
      </c>
      <c r="F206" s="678" t="s">
        <v>53</v>
      </c>
      <c r="G206" s="679" t="s">
        <v>47</v>
      </c>
      <c r="H206" s="678" t="s">
        <v>1366</v>
      </c>
      <c r="I206" s="680">
        <v>4550</v>
      </c>
      <c r="J206" s="680">
        <v>5350</v>
      </c>
      <c r="K206" s="680">
        <v>5350</v>
      </c>
      <c r="L206" s="680">
        <v>6775</v>
      </c>
      <c r="M206" s="679"/>
      <c r="N206" s="679"/>
      <c r="O206" s="679"/>
      <c r="P206" s="679"/>
      <c r="Q206" s="679"/>
      <c r="R206" s="679"/>
      <c r="S206" s="679"/>
      <c r="T206" s="679"/>
      <c r="U206" s="679"/>
      <c r="V206" s="679"/>
      <c r="W206" s="679"/>
      <c r="X206" s="681"/>
      <c r="Y206" s="681"/>
      <c r="Z206" s="679" t="s">
        <v>1367</v>
      </c>
      <c r="AA206" s="682" t="s">
        <v>304</v>
      </c>
    </row>
    <row r="207" spans="1:27" s="64" customFormat="1" x14ac:dyDescent="0.25">
      <c r="A207" s="677" t="s">
        <v>1345</v>
      </c>
      <c r="B207" s="678"/>
      <c r="C207" s="678" t="s">
        <v>1392</v>
      </c>
      <c r="D207" s="678" t="s">
        <v>1393</v>
      </c>
      <c r="E207" s="678" t="s">
        <v>1382</v>
      </c>
      <c r="F207" s="678" t="s">
        <v>53</v>
      </c>
      <c r="G207" s="679" t="s">
        <v>47</v>
      </c>
      <c r="H207" s="678" t="s">
        <v>1366</v>
      </c>
      <c r="I207" s="680">
        <v>3785</v>
      </c>
      <c r="J207" s="680">
        <v>4450</v>
      </c>
      <c r="K207" s="680">
        <v>4450</v>
      </c>
      <c r="L207" s="680">
        <v>5635</v>
      </c>
      <c r="M207" s="679"/>
      <c r="N207" s="679"/>
      <c r="O207" s="679"/>
      <c r="P207" s="679"/>
      <c r="Q207" s="679"/>
      <c r="R207" s="679"/>
      <c r="S207" s="679"/>
      <c r="T207" s="679"/>
      <c r="U207" s="679"/>
      <c r="V207" s="679"/>
      <c r="W207" s="679"/>
      <c r="X207" s="681"/>
      <c r="Y207" s="681"/>
      <c r="Z207" s="679" t="s">
        <v>1367</v>
      </c>
      <c r="AA207" s="682" t="s">
        <v>304</v>
      </c>
    </row>
    <row r="208" spans="1:27" s="64" customFormat="1" x14ac:dyDescent="0.25">
      <c r="A208" s="677" t="s">
        <v>1345</v>
      </c>
      <c r="B208" s="678"/>
      <c r="C208" s="678" t="s">
        <v>1392</v>
      </c>
      <c r="D208" s="678" t="s">
        <v>1393</v>
      </c>
      <c r="E208" s="678" t="s">
        <v>1395</v>
      </c>
      <c r="F208" s="678" t="s">
        <v>53</v>
      </c>
      <c r="G208" s="679" t="s">
        <v>47</v>
      </c>
      <c r="H208" s="678" t="s">
        <v>1366</v>
      </c>
      <c r="I208" s="680">
        <v>3700</v>
      </c>
      <c r="J208" s="680">
        <v>4350</v>
      </c>
      <c r="K208" s="680">
        <v>4350</v>
      </c>
      <c r="L208" s="680">
        <v>5505</v>
      </c>
      <c r="M208" s="679"/>
      <c r="N208" s="679"/>
      <c r="O208" s="679"/>
      <c r="P208" s="679"/>
      <c r="Q208" s="679"/>
      <c r="R208" s="679"/>
      <c r="S208" s="679"/>
      <c r="T208" s="679"/>
      <c r="U208" s="679"/>
      <c r="V208" s="679"/>
      <c r="W208" s="679"/>
      <c r="X208" s="681"/>
      <c r="Y208" s="681"/>
      <c r="Z208" s="679" t="s">
        <v>1367</v>
      </c>
      <c r="AA208" s="682" t="s">
        <v>304</v>
      </c>
    </row>
    <row r="209" spans="1:27" s="64" customFormat="1" x14ac:dyDescent="0.25">
      <c r="A209" s="677" t="s">
        <v>1345</v>
      </c>
      <c r="B209" s="678"/>
      <c r="C209" s="678" t="s">
        <v>1392</v>
      </c>
      <c r="D209" s="678" t="s">
        <v>1393</v>
      </c>
      <c r="E209" s="678" t="s">
        <v>1396</v>
      </c>
      <c r="F209" s="678" t="s">
        <v>53</v>
      </c>
      <c r="G209" s="679" t="s">
        <v>47</v>
      </c>
      <c r="H209" s="678" t="s">
        <v>1366</v>
      </c>
      <c r="I209" s="680">
        <v>2550</v>
      </c>
      <c r="J209" s="680">
        <v>3000</v>
      </c>
      <c r="K209" s="680">
        <v>3000</v>
      </c>
      <c r="L209" s="680">
        <v>3800</v>
      </c>
      <c r="M209" s="679"/>
      <c r="N209" s="679"/>
      <c r="O209" s="679"/>
      <c r="P209" s="679"/>
      <c r="Q209" s="679"/>
      <c r="R209" s="679"/>
      <c r="S209" s="679"/>
      <c r="T209" s="679"/>
      <c r="U209" s="679"/>
      <c r="V209" s="679"/>
      <c r="W209" s="679"/>
      <c r="X209" s="681"/>
      <c r="Y209" s="681"/>
      <c r="Z209" s="679" t="s">
        <v>1367</v>
      </c>
      <c r="AA209" s="682" t="s">
        <v>304</v>
      </c>
    </row>
    <row r="210" spans="1:27" s="64" customFormat="1" x14ac:dyDescent="0.25">
      <c r="A210" s="677" t="s">
        <v>1345</v>
      </c>
      <c r="B210" s="678"/>
      <c r="C210" s="678" t="s">
        <v>1392</v>
      </c>
      <c r="D210" s="678" t="s">
        <v>1393</v>
      </c>
      <c r="E210" s="678" t="s">
        <v>1397</v>
      </c>
      <c r="F210" s="678" t="s">
        <v>53</v>
      </c>
      <c r="G210" s="679" t="s">
        <v>47</v>
      </c>
      <c r="H210" s="678" t="s">
        <v>1366</v>
      </c>
      <c r="I210" s="680">
        <v>4040</v>
      </c>
      <c r="J210" s="680">
        <v>4750</v>
      </c>
      <c r="K210" s="680">
        <v>4750</v>
      </c>
      <c r="L210" s="680">
        <v>6015</v>
      </c>
      <c r="M210" s="679"/>
      <c r="N210" s="679"/>
      <c r="O210" s="679"/>
      <c r="P210" s="679"/>
      <c r="Q210" s="679"/>
      <c r="R210" s="679"/>
      <c r="S210" s="679"/>
      <c r="T210" s="679"/>
      <c r="U210" s="679"/>
      <c r="V210" s="679"/>
      <c r="W210" s="679"/>
      <c r="X210" s="681"/>
      <c r="Y210" s="681"/>
      <c r="Z210" s="679" t="s">
        <v>1367</v>
      </c>
      <c r="AA210" s="682" t="s">
        <v>304</v>
      </c>
    </row>
    <row r="211" spans="1:27" s="64" customFormat="1" x14ac:dyDescent="0.25">
      <c r="A211" s="677" t="s">
        <v>1345</v>
      </c>
      <c r="B211" s="678"/>
      <c r="C211" s="678" t="s">
        <v>1399</v>
      </c>
      <c r="D211" s="678" t="s">
        <v>1393</v>
      </c>
      <c r="E211" s="678"/>
      <c r="F211" s="678" t="s">
        <v>51</v>
      </c>
      <c r="G211" s="679" t="s">
        <v>47</v>
      </c>
      <c r="H211" s="678" t="s">
        <v>1366</v>
      </c>
      <c r="I211" s="680">
        <v>1470</v>
      </c>
      <c r="J211" s="680">
        <v>2100</v>
      </c>
      <c r="K211" s="680">
        <v>2100</v>
      </c>
      <c r="L211" s="680">
        <v>2660</v>
      </c>
      <c r="M211" s="679"/>
      <c r="N211" s="679"/>
      <c r="O211" s="679"/>
      <c r="P211" s="679"/>
      <c r="Q211" s="679"/>
      <c r="R211" s="679"/>
      <c r="S211" s="679"/>
      <c r="T211" s="679"/>
      <c r="U211" s="679"/>
      <c r="V211" s="679"/>
      <c r="W211" s="679"/>
      <c r="X211" s="681"/>
      <c r="Y211" s="681"/>
      <c r="Z211" s="679" t="s">
        <v>1367</v>
      </c>
      <c r="AA211" s="682" t="s">
        <v>304</v>
      </c>
    </row>
    <row r="212" spans="1:27" s="64" customFormat="1" x14ac:dyDescent="0.25">
      <c r="A212" s="677" t="s">
        <v>1345</v>
      </c>
      <c r="B212" s="678"/>
      <c r="C212" s="678" t="s">
        <v>1399</v>
      </c>
      <c r="D212" s="678" t="s">
        <v>1394</v>
      </c>
      <c r="E212" s="678"/>
      <c r="F212" s="678" t="s">
        <v>51</v>
      </c>
      <c r="G212" s="679" t="s">
        <v>47</v>
      </c>
      <c r="H212" s="678" t="s">
        <v>1366</v>
      </c>
      <c r="I212" s="680">
        <v>1470</v>
      </c>
      <c r="J212" s="680">
        <v>2100</v>
      </c>
      <c r="K212" s="680">
        <v>2100</v>
      </c>
      <c r="L212" s="680">
        <v>2660</v>
      </c>
      <c r="M212" s="679"/>
      <c r="N212" s="679"/>
      <c r="O212" s="679"/>
      <c r="P212" s="679"/>
      <c r="Q212" s="679"/>
      <c r="R212" s="679"/>
      <c r="S212" s="679"/>
      <c r="T212" s="679"/>
      <c r="U212" s="679"/>
      <c r="V212" s="679"/>
      <c r="W212" s="679"/>
      <c r="X212" s="681"/>
      <c r="Y212" s="681"/>
      <c r="Z212" s="679" t="s">
        <v>1367</v>
      </c>
      <c r="AA212" s="682" t="s">
        <v>304</v>
      </c>
    </row>
    <row r="213" spans="1:27" s="64" customFormat="1" x14ac:dyDescent="0.25">
      <c r="A213" s="677" t="s">
        <v>1345</v>
      </c>
      <c r="B213" s="678"/>
      <c r="C213" s="678" t="s">
        <v>1399</v>
      </c>
      <c r="D213" s="678" t="s">
        <v>1393</v>
      </c>
      <c r="E213" s="678" t="s">
        <v>1369</v>
      </c>
      <c r="F213" s="678" t="s">
        <v>53</v>
      </c>
      <c r="G213" s="679" t="s">
        <v>47</v>
      </c>
      <c r="H213" s="678" t="s">
        <v>1366</v>
      </c>
      <c r="I213" s="680">
        <v>3700</v>
      </c>
      <c r="J213" s="680">
        <v>4350</v>
      </c>
      <c r="K213" s="680">
        <v>4350</v>
      </c>
      <c r="L213" s="680">
        <v>5505</v>
      </c>
      <c r="M213" s="679"/>
      <c r="N213" s="679"/>
      <c r="O213" s="679"/>
      <c r="P213" s="679"/>
      <c r="Q213" s="679"/>
      <c r="R213" s="679"/>
      <c r="S213" s="679"/>
      <c r="T213" s="679"/>
      <c r="U213" s="679"/>
      <c r="V213" s="679"/>
      <c r="W213" s="679"/>
      <c r="X213" s="681"/>
      <c r="Y213" s="681"/>
      <c r="Z213" s="679" t="s">
        <v>1367</v>
      </c>
      <c r="AA213" s="682" t="s">
        <v>304</v>
      </c>
    </row>
    <row r="214" spans="1:27" s="64" customFormat="1" x14ac:dyDescent="0.25">
      <c r="A214" s="677" t="s">
        <v>1345</v>
      </c>
      <c r="B214" s="678"/>
      <c r="C214" s="678" t="s">
        <v>1399</v>
      </c>
      <c r="D214" s="678" t="s">
        <v>1393</v>
      </c>
      <c r="E214" s="678" t="s">
        <v>1370</v>
      </c>
      <c r="F214" s="678" t="s">
        <v>53</v>
      </c>
      <c r="G214" s="679" t="s">
        <v>47</v>
      </c>
      <c r="H214" s="678" t="s">
        <v>1366</v>
      </c>
      <c r="I214" s="680">
        <v>4210</v>
      </c>
      <c r="J214" s="680">
        <v>4950</v>
      </c>
      <c r="K214" s="680">
        <v>4950</v>
      </c>
      <c r="L214" s="680">
        <v>6265</v>
      </c>
      <c r="M214" s="679"/>
      <c r="N214" s="679"/>
      <c r="O214" s="679"/>
      <c r="P214" s="679"/>
      <c r="Q214" s="679"/>
      <c r="R214" s="679"/>
      <c r="S214" s="679"/>
      <c r="T214" s="679"/>
      <c r="U214" s="679"/>
      <c r="V214" s="679"/>
      <c r="W214" s="679"/>
      <c r="X214" s="681"/>
      <c r="Y214" s="681"/>
      <c r="Z214" s="679" t="s">
        <v>1367</v>
      </c>
      <c r="AA214" s="682" t="s">
        <v>304</v>
      </c>
    </row>
    <row r="215" spans="1:27" s="64" customFormat="1" x14ac:dyDescent="0.25">
      <c r="A215" s="677" t="s">
        <v>1345</v>
      </c>
      <c r="B215" s="678"/>
      <c r="C215" s="678" t="s">
        <v>1399</v>
      </c>
      <c r="D215" s="678" t="s">
        <v>1393</v>
      </c>
      <c r="E215" s="678" t="s">
        <v>1371</v>
      </c>
      <c r="F215" s="678" t="s">
        <v>53</v>
      </c>
      <c r="G215" s="679" t="s">
        <v>47</v>
      </c>
      <c r="H215" s="678" t="s">
        <v>1366</v>
      </c>
      <c r="I215" s="680">
        <v>4210</v>
      </c>
      <c r="J215" s="680">
        <v>4950</v>
      </c>
      <c r="K215" s="680">
        <v>4950</v>
      </c>
      <c r="L215" s="680">
        <v>6265</v>
      </c>
      <c r="M215" s="679"/>
      <c r="N215" s="679"/>
      <c r="O215" s="679"/>
      <c r="P215" s="679"/>
      <c r="Q215" s="679"/>
      <c r="R215" s="679"/>
      <c r="S215" s="679"/>
      <c r="T215" s="679"/>
      <c r="U215" s="679"/>
      <c r="V215" s="679"/>
      <c r="W215" s="679"/>
      <c r="X215" s="681"/>
      <c r="Y215" s="681"/>
      <c r="Z215" s="679" t="s">
        <v>1367</v>
      </c>
      <c r="AA215" s="682" t="s">
        <v>304</v>
      </c>
    </row>
    <row r="216" spans="1:27" s="64" customFormat="1" x14ac:dyDescent="0.25">
      <c r="A216" s="677" t="s">
        <v>1345</v>
      </c>
      <c r="B216" s="678"/>
      <c r="C216" s="678" t="s">
        <v>1399</v>
      </c>
      <c r="D216" s="678" t="s">
        <v>1393</v>
      </c>
      <c r="E216" s="678" t="s">
        <v>1372</v>
      </c>
      <c r="F216" s="678" t="s">
        <v>53</v>
      </c>
      <c r="G216" s="679" t="s">
        <v>47</v>
      </c>
      <c r="H216" s="678" t="s">
        <v>1366</v>
      </c>
      <c r="I216" s="680">
        <v>4210</v>
      </c>
      <c r="J216" s="680">
        <v>4950</v>
      </c>
      <c r="K216" s="680">
        <v>4950</v>
      </c>
      <c r="L216" s="680">
        <v>6265</v>
      </c>
      <c r="M216" s="679"/>
      <c r="N216" s="679"/>
      <c r="O216" s="679"/>
      <c r="P216" s="679"/>
      <c r="Q216" s="679"/>
      <c r="R216" s="679"/>
      <c r="S216" s="679"/>
      <c r="T216" s="679"/>
      <c r="U216" s="679"/>
      <c r="V216" s="679"/>
      <c r="W216" s="679"/>
      <c r="X216" s="681"/>
      <c r="Y216" s="681"/>
      <c r="Z216" s="679" t="s">
        <v>1367</v>
      </c>
      <c r="AA216" s="682" t="s">
        <v>304</v>
      </c>
    </row>
    <row r="217" spans="1:27" s="64" customFormat="1" x14ac:dyDescent="0.25">
      <c r="A217" s="677" t="s">
        <v>1345</v>
      </c>
      <c r="B217" s="678"/>
      <c r="C217" s="678" t="s">
        <v>1399</v>
      </c>
      <c r="D217" s="678" t="s">
        <v>1393</v>
      </c>
      <c r="E217" s="678" t="s">
        <v>1375</v>
      </c>
      <c r="F217" s="678" t="s">
        <v>53</v>
      </c>
      <c r="G217" s="679" t="s">
        <v>47</v>
      </c>
      <c r="H217" s="678" t="s">
        <v>1366</v>
      </c>
      <c r="I217" s="680">
        <v>4295</v>
      </c>
      <c r="J217" s="680">
        <v>5050</v>
      </c>
      <c r="K217" s="680">
        <v>5050</v>
      </c>
      <c r="L217" s="680">
        <v>6395</v>
      </c>
      <c r="M217" s="679"/>
      <c r="N217" s="679"/>
      <c r="O217" s="679"/>
      <c r="P217" s="679"/>
      <c r="Q217" s="679"/>
      <c r="R217" s="679"/>
      <c r="S217" s="679"/>
      <c r="T217" s="679"/>
      <c r="U217" s="679"/>
      <c r="V217" s="679"/>
      <c r="W217" s="679"/>
      <c r="X217" s="681"/>
      <c r="Y217" s="681"/>
      <c r="Z217" s="679" t="s">
        <v>1367</v>
      </c>
      <c r="AA217" s="682" t="s">
        <v>304</v>
      </c>
    </row>
    <row r="218" spans="1:27" s="64" customFormat="1" x14ac:dyDescent="0.25">
      <c r="A218" s="677" t="s">
        <v>1345</v>
      </c>
      <c r="B218" s="678"/>
      <c r="C218" s="678" t="s">
        <v>1399</v>
      </c>
      <c r="D218" s="678" t="s">
        <v>1393</v>
      </c>
      <c r="E218" s="678" t="s">
        <v>1378</v>
      </c>
      <c r="F218" s="678" t="s">
        <v>120</v>
      </c>
      <c r="G218" s="679" t="s">
        <v>49</v>
      </c>
      <c r="H218" s="678" t="s">
        <v>1366</v>
      </c>
      <c r="I218" s="680">
        <v>6250</v>
      </c>
      <c r="J218" s="680">
        <v>7350</v>
      </c>
      <c r="K218" s="680">
        <v>7350</v>
      </c>
      <c r="L218" s="680">
        <v>9305</v>
      </c>
      <c r="M218" s="679"/>
      <c r="N218" s="679"/>
      <c r="O218" s="679"/>
      <c r="P218" s="679"/>
      <c r="Q218" s="679"/>
      <c r="R218" s="679"/>
      <c r="S218" s="679"/>
      <c r="T218" s="679"/>
      <c r="U218" s="679"/>
      <c r="V218" s="679"/>
      <c r="W218" s="679"/>
      <c r="X218" s="681"/>
      <c r="Y218" s="681"/>
      <c r="Z218" s="679" t="s">
        <v>1367</v>
      </c>
      <c r="AA218" s="682" t="s">
        <v>304</v>
      </c>
    </row>
    <row r="219" spans="1:27" s="64" customFormat="1" x14ac:dyDescent="0.25">
      <c r="A219" s="677" t="s">
        <v>1345</v>
      </c>
      <c r="B219" s="678"/>
      <c r="C219" s="678" t="s">
        <v>1399</v>
      </c>
      <c r="D219" s="678" t="s">
        <v>1393</v>
      </c>
      <c r="E219" s="678" t="s">
        <v>1380</v>
      </c>
      <c r="F219" s="678" t="s">
        <v>53</v>
      </c>
      <c r="G219" s="679" t="s">
        <v>47</v>
      </c>
      <c r="H219" s="678" t="s">
        <v>1366</v>
      </c>
      <c r="I219" s="680">
        <v>4550</v>
      </c>
      <c r="J219" s="680">
        <v>5350</v>
      </c>
      <c r="K219" s="680">
        <v>5350</v>
      </c>
      <c r="L219" s="680">
        <v>6775</v>
      </c>
      <c r="M219" s="679"/>
      <c r="N219" s="679"/>
      <c r="O219" s="679"/>
      <c r="P219" s="679"/>
      <c r="Q219" s="679"/>
      <c r="R219" s="679"/>
      <c r="S219" s="679"/>
      <c r="T219" s="679"/>
      <c r="U219" s="679"/>
      <c r="V219" s="679"/>
      <c r="W219" s="679"/>
      <c r="X219" s="681"/>
      <c r="Y219" s="681"/>
      <c r="Z219" s="679" t="s">
        <v>1367</v>
      </c>
      <c r="AA219" s="682" t="s">
        <v>304</v>
      </c>
    </row>
    <row r="220" spans="1:27" s="64" customFormat="1" x14ac:dyDescent="0.25">
      <c r="A220" s="677" t="s">
        <v>1345</v>
      </c>
      <c r="B220" s="678"/>
      <c r="C220" s="678" t="s">
        <v>1399</v>
      </c>
      <c r="D220" s="678" t="s">
        <v>1393</v>
      </c>
      <c r="E220" s="678" t="s">
        <v>1382</v>
      </c>
      <c r="F220" s="678" t="s">
        <v>53</v>
      </c>
      <c r="G220" s="679" t="s">
        <v>47</v>
      </c>
      <c r="H220" s="678" t="s">
        <v>1366</v>
      </c>
      <c r="I220" s="680">
        <v>3785</v>
      </c>
      <c r="J220" s="680">
        <v>4450</v>
      </c>
      <c r="K220" s="680">
        <v>4450</v>
      </c>
      <c r="L220" s="680">
        <v>5635</v>
      </c>
      <c r="M220" s="679"/>
      <c r="N220" s="679"/>
      <c r="O220" s="679"/>
      <c r="P220" s="679"/>
      <c r="Q220" s="679"/>
      <c r="R220" s="679"/>
      <c r="S220" s="679"/>
      <c r="T220" s="679"/>
      <c r="U220" s="679"/>
      <c r="V220" s="679"/>
      <c r="W220" s="679"/>
      <c r="X220" s="681"/>
      <c r="Y220" s="681"/>
      <c r="Z220" s="679" t="s">
        <v>1367</v>
      </c>
      <c r="AA220" s="682" t="s">
        <v>304</v>
      </c>
    </row>
    <row r="221" spans="1:27" s="64" customFormat="1" x14ac:dyDescent="0.25">
      <c r="A221" s="677" t="s">
        <v>1345</v>
      </c>
      <c r="B221" s="678"/>
      <c r="C221" s="678" t="s">
        <v>1399</v>
      </c>
      <c r="D221" s="678" t="s">
        <v>1393</v>
      </c>
      <c r="E221" s="678" t="s">
        <v>1395</v>
      </c>
      <c r="F221" s="678" t="s">
        <v>53</v>
      </c>
      <c r="G221" s="679" t="s">
        <v>47</v>
      </c>
      <c r="H221" s="678" t="s">
        <v>1366</v>
      </c>
      <c r="I221" s="680">
        <v>3700</v>
      </c>
      <c r="J221" s="680">
        <v>4350</v>
      </c>
      <c r="K221" s="680">
        <v>4350</v>
      </c>
      <c r="L221" s="680">
        <v>5505</v>
      </c>
      <c r="M221" s="679"/>
      <c r="N221" s="679"/>
      <c r="O221" s="679"/>
      <c r="P221" s="679"/>
      <c r="Q221" s="679"/>
      <c r="R221" s="679"/>
      <c r="S221" s="679"/>
      <c r="T221" s="679"/>
      <c r="U221" s="679"/>
      <c r="V221" s="679"/>
      <c r="W221" s="679"/>
      <c r="X221" s="681"/>
      <c r="Y221" s="681"/>
      <c r="Z221" s="679" t="s">
        <v>1367</v>
      </c>
      <c r="AA221" s="682" t="s">
        <v>304</v>
      </c>
    </row>
    <row r="222" spans="1:27" s="64" customFormat="1" x14ac:dyDescent="0.25">
      <c r="A222" s="677" t="s">
        <v>1345</v>
      </c>
      <c r="B222" s="678"/>
      <c r="C222" s="678" t="s">
        <v>1399</v>
      </c>
      <c r="D222" s="678" t="s">
        <v>1393</v>
      </c>
      <c r="E222" s="678" t="s">
        <v>1396</v>
      </c>
      <c r="F222" s="678" t="s">
        <v>53</v>
      </c>
      <c r="G222" s="679" t="s">
        <v>47</v>
      </c>
      <c r="H222" s="678" t="s">
        <v>1366</v>
      </c>
      <c r="I222" s="680">
        <v>2550</v>
      </c>
      <c r="J222" s="680">
        <v>3000</v>
      </c>
      <c r="K222" s="680">
        <v>3000</v>
      </c>
      <c r="L222" s="680">
        <v>3800</v>
      </c>
      <c r="M222" s="679"/>
      <c r="N222" s="679"/>
      <c r="O222" s="679"/>
      <c r="P222" s="679"/>
      <c r="Q222" s="679"/>
      <c r="R222" s="679"/>
      <c r="S222" s="679"/>
      <c r="T222" s="679"/>
      <c r="U222" s="679"/>
      <c r="V222" s="679"/>
      <c r="W222" s="679"/>
      <c r="X222" s="681"/>
      <c r="Y222" s="681"/>
      <c r="Z222" s="679" t="s">
        <v>1367</v>
      </c>
      <c r="AA222" s="682" t="s">
        <v>304</v>
      </c>
    </row>
    <row r="223" spans="1:27" s="64" customFormat="1" x14ac:dyDescent="0.25">
      <c r="A223" s="677" t="s">
        <v>1345</v>
      </c>
      <c r="B223" s="678"/>
      <c r="C223" s="678" t="s">
        <v>1399</v>
      </c>
      <c r="D223" s="678" t="s">
        <v>1393</v>
      </c>
      <c r="E223" s="678" t="s">
        <v>1397</v>
      </c>
      <c r="F223" s="678" t="s">
        <v>53</v>
      </c>
      <c r="G223" s="679" t="s">
        <v>47</v>
      </c>
      <c r="H223" s="678" t="s">
        <v>1366</v>
      </c>
      <c r="I223" s="680">
        <v>4040</v>
      </c>
      <c r="J223" s="680">
        <v>4750</v>
      </c>
      <c r="K223" s="680">
        <v>4750</v>
      </c>
      <c r="L223" s="680">
        <v>6015</v>
      </c>
      <c r="M223" s="679"/>
      <c r="N223" s="679"/>
      <c r="O223" s="679"/>
      <c r="P223" s="679"/>
      <c r="Q223" s="679"/>
      <c r="R223" s="679"/>
      <c r="S223" s="679"/>
      <c r="T223" s="679"/>
      <c r="U223" s="679"/>
      <c r="V223" s="679"/>
      <c r="W223" s="679"/>
      <c r="X223" s="681"/>
      <c r="Y223" s="681"/>
      <c r="Z223" s="679" t="s">
        <v>1367</v>
      </c>
      <c r="AA223" s="682" t="s">
        <v>304</v>
      </c>
    </row>
    <row r="224" spans="1:27" s="64" customFormat="1" x14ac:dyDescent="0.25">
      <c r="A224" s="677" t="s">
        <v>1345</v>
      </c>
      <c r="B224" s="678"/>
      <c r="C224" s="678" t="s">
        <v>1400</v>
      </c>
      <c r="D224" s="678" t="s">
        <v>1393</v>
      </c>
      <c r="E224" s="678"/>
      <c r="F224" s="678" t="s">
        <v>51</v>
      </c>
      <c r="G224" s="679" t="s">
        <v>47</v>
      </c>
      <c r="H224" s="678" t="s">
        <v>1366</v>
      </c>
      <c r="I224" s="680">
        <v>1540</v>
      </c>
      <c r="J224" s="680">
        <v>2200</v>
      </c>
      <c r="K224" s="680">
        <v>2200</v>
      </c>
      <c r="L224" s="680">
        <v>2785</v>
      </c>
      <c r="M224" s="679"/>
      <c r="N224" s="679"/>
      <c r="O224" s="679"/>
      <c r="P224" s="679"/>
      <c r="Q224" s="679"/>
      <c r="R224" s="679"/>
      <c r="S224" s="679"/>
      <c r="T224" s="679"/>
      <c r="U224" s="679"/>
      <c r="V224" s="679"/>
      <c r="W224" s="679"/>
      <c r="X224" s="681"/>
      <c r="Y224" s="681"/>
      <c r="Z224" s="679" t="s">
        <v>1367</v>
      </c>
      <c r="AA224" s="682" t="s">
        <v>304</v>
      </c>
    </row>
    <row r="225" spans="1:27" s="64" customFormat="1" x14ac:dyDescent="0.25">
      <c r="A225" s="677" t="s">
        <v>1345</v>
      </c>
      <c r="B225" s="678"/>
      <c r="C225" s="678" t="s">
        <v>1400</v>
      </c>
      <c r="D225" s="678" t="s">
        <v>1394</v>
      </c>
      <c r="E225" s="678"/>
      <c r="F225" s="678" t="s">
        <v>51</v>
      </c>
      <c r="G225" s="679" t="s">
        <v>47</v>
      </c>
      <c r="H225" s="678" t="s">
        <v>1366</v>
      </c>
      <c r="I225" s="680">
        <v>1540</v>
      </c>
      <c r="J225" s="680">
        <v>2200</v>
      </c>
      <c r="K225" s="680">
        <v>2200</v>
      </c>
      <c r="L225" s="680">
        <v>2785</v>
      </c>
      <c r="M225" s="679"/>
      <c r="N225" s="679"/>
      <c r="O225" s="679"/>
      <c r="P225" s="679"/>
      <c r="Q225" s="679"/>
      <c r="R225" s="679"/>
      <c r="S225" s="679"/>
      <c r="T225" s="679"/>
      <c r="U225" s="679"/>
      <c r="V225" s="679"/>
      <c r="W225" s="679"/>
      <c r="X225" s="681"/>
      <c r="Y225" s="681"/>
      <c r="Z225" s="679" t="s">
        <v>1367</v>
      </c>
      <c r="AA225" s="682" t="s">
        <v>304</v>
      </c>
    </row>
    <row r="226" spans="1:27" s="64" customFormat="1" x14ac:dyDescent="0.25">
      <c r="A226" s="677" t="s">
        <v>1345</v>
      </c>
      <c r="B226" s="678"/>
      <c r="C226" s="678" t="s">
        <v>1400</v>
      </c>
      <c r="D226" s="678" t="s">
        <v>1393</v>
      </c>
      <c r="E226" s="678" t="s">
        <v>1369</v>
      </c>
      <c r="F226" s="678" t="s">
        <v>53</v>
      </c>
      <c r="G226" s="679" t="s">
        <v>47</v>
      </c>
      <c r="H226" s="678" t="s">
        <v>1366</v>
      </c>
      <c r="I226" s="680">
        <v>3785</v>
      </c>
      <c r="J226" s="680">
        <v>4450</v>
      </c>
      <c r="K226" s="680">
        <v>4450</v>
      </c>
      <c r="L226" s="680">
        <v>5635</v>
      </c>
      <c r="M226" s="679"/>
      <c r="N226" s="679"/>
      <c r="O226" s="679"/>
      <c r="P226" s="679"/>
      <c r="Q226" s="679"/>
      <c r="R226" s="679"/>
      <c r="S226" s="679"/>
      <c r="T226" s="679"/>
      <c r="U226" s="679"/>
      <c r="V226" s="679"/>
      <c r="W226" s="679"/>
      <c r="X226" s="681"/>
      <c r="Y226" s="681"/>
      <c r="Z226" s="679" t="s">
        <v>1367</v>
      </c>
      <c r="AA226" s="682" t="s">
        <v>304</v>
      </c>
    </row>
    <row r="227" spans="1:27" s="64" customFormat="1" x14ac:dyDescent="0.25">
      <c r="A227" s="677" t="s">
        <v>1345</v>
      </c>
      <c r="B227" s="678"/>
      <c r="C227" s="678" t="s">
        <v>1400</v>
      </c>
      <c r="D227" s="678" t="s">
        <v>1393</v>
      </c>
      <c r="E227" s="678" t="s">
        <v>1370</v>
      </c>
      <c r="F227" s="678" t="s">
        <v>53</v>
      </c>
      <c r="G227" s="679" t="s">
        <v>47</v>
      </c>
      <c r="H227" s="678" t="s">
        <v>1366</v>
      </c>
      <c r="I227" s="680">
        <v>4295</v>
      </c>
      <c r="J227" s="680">
        <v>5050</v>
      </c>
      <c r="K227" s="680">
        <v>5050</v>
      </c>
      <c r="L227" s="680">
        <v>6395</v>
      </c>
      <c r="M227" s="679"/>
      <c r="N227" s="679"/>
      <c r="O227" s="679"/>
      <c r="P227" s="679"/>
      <c r="Q227" s="679"/>
      <c r="R227" s="679"/>
      <c r="S227" s="679"/>
      <c r="T227" s="679"/>
      <c r="U227" s="679"/>
      <c r="V227" s="679"/>
      <c r="W227" s="679"/>
      <c r="X227" s="681"/>
      <c r="Y227" s="681"/>
      <c r="Z227" s="679" t="s">
        <v>1367</v>
      </c>
      <c r="AA227" s="682" t="s">
        <v>304</v>
      </c>
    </row>
    <row r="228" spans="1:27" s="64" customFormat="1" x14ac:dyDescent="0.25">
      <c r="A228" s="677" t="s">
        <v>1345</v>
      </c>
      <c r="B228" s="678"/>
      <c r="C228" s="678" t="s">
        <v>1400</v>
      </c>
      <c r="D228" s="678" t="s">
        <v>1393</v>
      </c>
      <c r="E228" s="678" t="s">
        <v>1371</v>
      </c>
      <c r="F228" s="678" t="s">
        <v>53</v>
      </c>
      <c r="G228" s="679" t="s">
        <v>47</v>
      </c>
      <c r="H228" s="678" t="s">
        <v>1366</v>
      </c>
      <c r="I228" s="680">
        <v>4295</v>
      </c>
      <c r="J228" s="680">
        <v>5050</v>
      </c>
      <c r="K228" s="680">
        <v>5050</v>
      </c>
      <c r="L228" s="680">
        <v>6395</v>
      </c>
      <c r="M228" s="679"/>
      <c r="N228" s="679"/>
      <c r="O228" s="679"/>
      <c r="P228" s="679"/>
      <c r="Q228" s="679"/>
      <c r="R228" s="679"/>
      <c r="S228" s="679"/>
      <c r="T228" s="679"/>
      <c r="U228" s="679"/>
      <c r="V228" s="679"/>
      <c r="W228" s="679"/>
      <c r="X228" s="681"/>
      <c r="Y228" s="681"/>
      <c r="Z228" s="679" t="s">
        <v>1367</v>
      </c>
      <c r="AA228" s="682" t="s">
        <v>304</v>
      </c>
    </row>
    <row r="229" spans="1:27" s="64" customFormat="1" x14ac:dyDescent="0.25">
      <c r="A229" s="677" t="s">
        <v>1345</v>
      </c>
      <c r="B229" s="678"/>
      <c r="C229" s="678" t="s">
        <v>1400</v>
      </c>
      <c r="D229" s="678" t="s">
        <v>1393</v>
      </c>
      <c r="E229" s="678" t="s">
        <v>1372</v>
      </c>
      <c r="F229" s="678" t="s">
        <v>53</v>
      </c>
      <c r="G229" s="679" t="s">
        <v>47</v>
      </c>
      <c r="H229" s="678" t="s">
        <v>1366</v>
      </c>
      <c r="I229" s="680">
        <v>4295</v>
      </c>
      <c r="J229" s="680">
        <v>5050</v>
      </c>
      <c r="K229" s="680">
        <v>5050</v>
      </c>
      <c r="L229" s="680">
        <v>6395</v>
      </c>
      <c r="M229" s="679"/>
      <c r="N229" s="679"/>
      <c r="O229" s="679"/>
      <c r="P229" s="679"/>
      <c r="Q229" s="679"/>
      <c r="R229" s="679"/>
      <c r="S229" s="679"/>
      <c r="T229" s="679"/>
      <c r="U229" s="679"/>
      <c r="V229" s="679"/>
      <c r="W229" s="679"/>
      <c r="X229" s="681"/>
      <c r="Y229" s="681"/>
      <c r="Z229" s="679" t="s">
        <v>1367</v>
      </c>
      <c r="AA229" s="682" t="s">
        <v>304</v>
      </c>
    </row>
    <row r="230" spans="1:27" s="64" customFormat="1" x14ac:dyDescent="0.25">
      <c r="A230" s="677" t="s">
        <v>1345</v>
      </c>
      <c r="B230" s="678"/>
      <c r="C230" s="678" t="s">
        <v>1400</v>
      </c>
      <c r="D230" s="678" t="s">
        <v>1393</v>
      </c>
      <c r="E230" s="678" t="s">
        <v>1375</v>
      </c>
      <c r="F230" s="678" t="s">
        <v>53</v>
      </c>
      <c r="G230" s="679" t="s">
        <v>47</v>
      </c>
      <c r="H230" s="678" t="s">
        <v>1366</v>
      </c>
      <c r="I230" s="680">
        <v>4380</v>
      </c>
      <c r="J230" s="680">
        <v>5150</v>
      </c>
      <c r="K230" s="680">
        <v>5150</v>
      </c>
      <c r="L230" s="680">
        <v>6520</v>
      </c>
      <c r="M230" s="679"/>
      <c r="N230" s="679"/>
      <c r="O230" s="679"/>
      <c r="P230" s="679"/>
      <c r="Q230" s="679"/>
      <c r="R230" s="679"/>
      <c r="S230" s="679"/>
      <c r="T230" s="679"/>
      <c r="U230" s="679"/>
      <c r="V230" s="679"/>
      <c r="W230" s="679"/>
      <c r="X230" s="681"/>
      <c r="Y230" s="681"/>
      <c r="Z230" s="679" t="s">
        <v>1367</v>
      </c>
      <c r="AA230" s="682" t="s">
        <v>304</v>
      </c>
    </row>
    <row r="231" spans="1:27" s="64" customFormat="1" x14ac:dyDescent="0.25">
      <c r="A231" s="677" t="s">
        <v>1345</v>
      </c>
      <c r="B231" s="678"/>
      <c r="C231" s="678" t="s">
        <v>1400</v>
      </c>
      <c r="D231" s="678" t="s">
        <v>1393</v>
      </c>
      <c r="E231" s="678" t="s">
        <v>1378</v>
      </c>
      <c r="F231" s="678" t="s">
        <v>120</v>
      </c>
      <c r="G231" s="679" t="s">
        <v>49</v>
      </c>
      <c r="H231" s="678" t="s">
        <v>1366</v>
      </c>
      <c r="I231" s="680">
        <v>6335</v>
      </c>
      <c r="J231" s="680">
        <v>7450</v>
      </c>
      <c r="K231" s="680">
        <v>7450</v>
      </c>
      <c r="L231" s="680">
        <v>9430</v>
      </c>
      <c r="M231" s="679"/>
      <c r="N231" s="679"/>
      <c r="O231" s="679"/>
      <c r="P231" s="679"/>
      <c r="Q231" s="679"/>
      <c r="R231" s="679"/>
      <c r="S231" s="679"/>
      <c r="T231" s="679"/>
      <c r="U231" s="679"/>
      <c r="V231" s="679"/>
      <c r="W231" s="679"/>
      <c r="X231" s="681"/>
      <c r="Y231" s="681"/>
      <c r="Z231" s="679" t="s">
        <v>1367</v>
      </c>
      <c r="AA231" s="682" t="s">
        <v>304</v>
      </c>
    </row>
    <row r="232" spans="1:27" s="64" customFormat="1" x14ac:dyDescent="0.25">
      <c r="A232" s="677" t="s">
        <v>1345</v>
      </c>
      <c r="B232" s="678"/>
      <c r="C232" s="678" t="s">
        <v>1400</v>
      </c>
      <c r="D232" s="678" t="s">
        <v>1393</v>
      </c>
      <c r="E232" s="678" t="s">
        <v>1380</v>
      </c>
      <c r="F232" s="678" t="s">
        <v>53</v>
      </c>
      <c r="G232" s="679" t="s">
        <v>47</v>
      </c>
      <c r="H232" s="678" t="s">
        <v>1366</v>
      </c>
      <c r="I232" s="680">
        <v>4635</v>
      </c>
      <c r="J232" s="680">
        <v>5450</v>
      </c>
      <c r="K232" s="680">
        <v>5450</v>
      </c>
      <c r="L232" s="680">
        <v>6900</v>
      </c>
      <c r="M232" s="679"/>
      <c r="N232" s="679"/>
      <c r="O232" s="679"/>
      <c r="P232" s="679"/>
      <c r="Q232" s="679"/>
      <c r="R232" s="679"/>
      <c r="S232" s="679"/>
      <c r="T232" s="679"/>
      <c r="U232" s="679"/>
      <c r="V232" s="679"/>
      <c r="W232" s="679"/>
      <c r="X232" s="681"/>
      <c r="Y232" s="681"/>
      <c r="Z232" s="679" t="s">
        <v>1367</v>
      </c>
      <c r="AA232" s="682" t="s">
        <v>304</v>
      </c>
    </row>
    <row r="233" spans="1:27" s="64" customFormat="1" x14ac:dyDescent="0.25">
      <c r="A233" s="677" t="s">
        <v>1345</v>
      </c>
      <c r="B233" s="678"/>
      <c r="C233" s="678" t="s">
        <v>1400</v>
      </c>
      <c r="D233" s="678" t="s">
        <v>1393</v>
      </c>
      <c r="E233" s="678" t="s">
        <v>1382</v>
      </c>
      <c r="F233" s="678" t="s">
        <v>53</v>
      </c>
      <c r="G233" s="679" t="s">
        <v>47</v>
      </c>
      <c r="H233" s="678" t="s">
        <v>1366</v>
      </c>
      <c r="I233" s="680">
        <v>3870</v>
      </c>
      <c r="J233" s="680">
        <v>4550</v>
      </c>
      <c r="K233" s="680">
        <v>4550</v>
      </c>
      <c r="L233" s="680">
        <v>5760</v>
      </c>
      <c r="M233" s="679"/>
      <c r="N233" s="679"/>
      <c r="O233" s="679"/>
      <c r="P233" s="679"/>
      <c r="Q233" s="679"/>
      <c r="R233" s="679"/>
      <c r="S233" s="679"/>
      <c r="T233" s="679"/>
      <c r="U233" s="679"/>
      <c r="V233" s="679"/>
      <c r="W233" s="679"/>
      <c r="X233" s="681"/>
      <c r="Y233" s="681"/>
      <c r="Z233" s="679" t="s">
        <v>1367</v>
      </c>
      <c r="AA233" s="682" t="s">
        <v>304</v>
      </c>
    </row>
    <row r="234" spans="1:27" s="64" customFormat="1" x14ac:dyDescent="0.25">
      <c r="A234" s="677" t="s">
        <v>1345</v>
      </c>
      <c r="B234" s="678"/>
      <c r="C234" s="678" t="s">
        <v>1400</v>
      </c>
      <c r="D234" s="678" t="s">
        <v>1393</v>
      </c>
      <c r="E234" s="678" t="s">
        <v>1395</v>
      </c>
      <c r="F234" s="678" t="s">
        <v>53</v>
      </c>
      <c r="G234" s="679" t="s">
        <v>47</v>
      </c>
      <c r="H234" s="678" t="s">
        <v>1366</v>
      </c>
      <c r="I234" s="680">
        <v>3785</v>
      </c>
      <c r="J234" s="680">
        <v>4450</v>
      </c>
      <c r="K234" s="680">
        <v>4450</v>
      </c>
      <c r="L234" s="680">
        <v>5635</v>
      </c>
      <c r="M234" s="679"/>
      <c r="N234" s="679"/>
      <c r="O234" s="679"/>
      <c r="P234" s="679"/>
      <c r="Q234" s="679"/>
      <c r="R234" s="679"/>
      <c r="S234" s="679"/>
      <c r="T234" s="679"/>
      <c r="U234" s="679"/>
      <c r="V234" s="679"/>
      <c r="W234" s="679"/>
      <c r="X234" s="681"/>
      <c r="Y234" s="681"/>
      <c r="Z234" s="679" t="s">
        <v>1367</v>
      </c>
      <c r="AA234" s="682" t="s">
        <v>304</v>
      </c>
    </row>
    <row r="235" spans="1:27" s="64" customFormat="1" x14ac:dyDescent="0.25">
      <c r="A235" s="677" t="s">
        <v>1345</v>
      </c>
      <c r="B235" s="678"/>
      <c r="C235" s="678" t="s">
        <v>1400</v>
      </c>
      <c r="D235" s="678" t="s">
        <v>1393</v>
      </c>
      <c r="E235" s="678" t="s">
        <v>1396</v>
      </c>
      <c r="F235" s="678" t="s">
        <v>53</v>
      </c>
      <c r="G235" s="679" t="s">
        <v>47</v>
      </c>
      <c r="H235" s="678" t="s">
        <v>1366</v>
      </c>
      <c r="I235" s="680">
        <v>2635</v>
      </c>
      <c r="J235" s="680">
        <v>3100</v>
      </c>
      <c r="K235" s="680">
        <v>3100</v>
      </c>
      <c r="L235" s="680">
        <v>3925</v>
      </c>
      <c r="M235" s="679"/>
      <c r="N235" s="679"/>
      <c r="O235" s="679"/>
      <c r="P235" s="679"/>
      <c r="Q235" s="679"/>
      <c r="R235" s="679"/>
      <c r="S235" s="679"/>
      <c r="T235" s="679"/>
      <c r="U235" s="679"/>
      <c r="V235" s="679"/>
      <c r="W235" s="679"/>
      <c r="X235" s="681"/>
      <c r="Y235" s="681"/>
      <c r="Z235" s="679" t="s">
        <v>1367</v>
      </c>
      <c r="AA235" s="682" t="s">
        <v>304</v>
      </c>
    </row>
    <row r="236" spans="1:27" s="64" customFormat="1" x14ac:dyDescent="0.25">
      <c r="A236" s="677" t="s">
        <v>1345</v>
      </c>
      <c r="B236" s="678"/>
      <c r="C236" s="678" t="s">
        <v>1400</v>
      </c>
      <c r="D236" s="678" t="s">
        <v>1393</v>
      </c>
      <c r="E236" s="678" t="s">
        <v>1397</v>
      </c>
      <c r="F236" s="678" t="s">
        <v>53</v>
      </c>
      <c r="G236" s="679" t="s">
        <v>47</v>
      </c>
      <c r="H236" s="678" t="s">
        <v>1366</v>
      </c>
      <c r="I236" s="680">
        <v>4125</v>
      </c>
      <c r="J236" s="680">
        <v>4850</v>
      </c>
      <c r="K236" s="680">
        <v>4850</v>
      </c>
      <c r="L236" s="680">
        <v>6140</v>
      </c>
      <c r="M236" s="679"/>
      <c r="N236" s="679"/>
      <c r="O236" s="679"/>
      <c r="P236" s="679"/>
      <c r="Q236" s="679"/>
      <c r="R236" s="679"/>
      <c r="S236" s="679"/>
      <c r="T236" s="679"/>
      <c r="U236" s="679"/>
      <c r="V236" s="679"/>
      <c r="W236" s="679"/>
      <c r="X236" s="681"/>
      <c r="Y236" s="681"/>
      <c r="Z236" s="679" t="s">
        <v>1367</v>
      </c>
      <c r="AA236" s="682" t="s">
        <v>304</v>
      </c>
    </row>
    <row r="237" spans="1:27" s="64" customFormat="1" x14ac:dyDescent="0.25">
      <c r="A237" s="677" t="s">
        <v>1345</v>
      </c>
      <c r="B237" s="678"/>
      <c r="C237" s="678" t="s">
        <v>1401</v>
      </c>
      <c r="D237" s="678" t="s">
        <v>1393</v>
      </c>
      <c r="E237" s="678"/>
      <c r="F237" s="678" t="s">
        <v>51</v>
      </c>
      <c r="G237" s="679" t="s">
        <v>47</v>
      </c>
      <c r="H237" s="678" t="s">
        <v>1366</v>
      </c>
      <c r="I237" s="680">
        <v>1470</v>
      </c>
      <c r="J237" s="680">
        <v>2100</v>
      </c>
      <c r="K237" s="680">
        <v>2100</v>
      </c>
      <c r="L237" s="680">
        <v>2660</v>
      </c>
      <c r="M237" s="679"/>
      <c r="N237" s="679"/>
      <c r="O237" s="679"/>
      <c r="P237" s="679"/>
      <c r="Q237" s="679"/>
      <c r="R237" s="679"/>
      <c r="S237" s="679"/>
      <c r="T237" s="679"/>
      <c r="U237" s="679"/>
      <c r="V237" s="679"/>
      <c r="W237" s="679"/>
      <c r="X237" s="681"/>
      <c r="Y237" s="681"/>
      <c r="Z237" s="679" t="s">
        <v>1367</v>
      </c>
      <c r="AA237" s="682" t="s">
        <v>304</v>
      </c>
    </row>
    <row r="238" spans="1:27" s="64" customFormat="1" x14ac:dyDescent="0.25">
      <c r="A238" s="677" t="s">
        <v>1345</v>
      </c>
      <c r="B238" s="678"/>
      <c r="C238" s="678" t="s">
        <v>1401</v>
      </c>
      <c r="D238" s="678" t="s">
        <v>1393</v>
      </c>
      <c r="E238" s="678" t="s">
        <v>1369</v>
      </c>
      <c r="F238" s="678" t="s">
        <v>53</v>
      </c>
      <c r="G238" s="679" t="s">
        <v>47</v>
      </c>
      <c r="H238" s="678" t="s">
        <v>1366</v>
      </c>
      <c r="I238" s="680">
        <v>3700</v>
      </c>
      <c r="J238" s="680">
        <v>4350</v>
      </c>
      <c r="K238" s="680">
        <v>4350</v>
      </c>
      <c r="L238" s="680">
        <v>5505</v>
      </c>
      <c r="M238" s="679"/>
      <c r="N238" s="679"/>
      <c r="O238" s="679"/>
      <c r="P238" s="679"/>
      <c r="Q238" s="679"/>
      <c r="R238" s="679"/>
      <c r="S238" s="679"/>
      <c r="T238" s="679"/>
      <c r="U238" s="679"/>
      <c r="V238" s="679"/>
      <c r="W238" s="679"/>
      <c r="X238" s="681"/>
      <c r="Y238" s="681"/>
      <c r="Z238" s="679" t="s">
        <v>1367</v>
      </c>
      <c r="AA238" s="682" t="s">
        <v>304</v>
      </c>
    </row>
    <row r="239" spans="1:27" s="64" customFormat="1" x14ac:dyDescent="0.25">
      <c r="A239" s="677" t="s">
        <v>1345</v>
      </c>
      <c r="B239" s="678"/>
      <c r="C239" s="678" t="s">
        <v>1401</v>
      </c>
      <c r="D239" s="678" t="s">
        <v>1393</v>
      </c>
      <c r="E239" s="678" t="s">
        <v>1370</v>
      </c>
      <c r="F239" s="678" t="s">
        <v>53</v>
      </c>
      <c r="G239" s="679" t="s">
        <v>47</v>
      </c>
      <c r="H239" s="678" t="s">
        <v>1366</v>
      </c>
      <c r="I239" s="680">
        <v>4210</v>
      </c>
      <c r="J239" s="680">
        <v>4950</v>
      </c>
      <c r="K239" s="680">
        <v>4950</v>
      </c>
      <c r="L239" s="680">
        <v>6265</v>
      </c>
      <c r="M239" s="679"/>
      <c r="N239" s="679"/>
      <c r="O239" s="679"/>
      <c r="P239" s="679"/>
      <c r="Q239" s="679"/>
      <c r="R239" s="679"/>
      <c r="S239" s="679"/>
      <c r="T239" s="679"/>
      <c r="U239" s="679"/>
      <c r="V239" s="679"/>
      <c r="W239" s="679"/>
      <c r="X239" s="681"/>
      <c r="Y239" s="681"/>
      <c r="Z239" s="679" t="s">
        <v>1367</v>
      </c>
      <c r="AA239" s="682" t="s">
        <v>304</v>
      </c>
    </row>
    <row r="240" spans="1:27" s="64" customFormat="1" x14ac:dyDescent="0.25">
      <c r="A240" s="677" t="s">
        <v>1345</v>
      </c>
      <c r="B240" s="678"/>
      <c r="C240" s="678" t="s">
        <v>1401</v>
      </c>
      <c r="D240" s="678" t="s">
        <v>1393</v>
      </c>
      <c r="E240" s="678" t="s">
        <v>1371</v>
      </c>
      <c r="F240" s="678" t="s">
        <v>53</v>
      </c>
      <c r="G240" s="679" t="s">
        <v>47</v>
      </c>
      <c r="H240" s="678" t="s">
        <v>1366</v>
      </c>
      <c r="I240" s="680">
        <v>4210</v>
      </c>
      <c r="J240" s="680">
        <v>4950</v>
      </c>
      <c r="K240" s="680">
        <v>4950</v>
      </c>
      <c r="L240" s="680">
        <v>6265</v>
      </c>
      <c r="M240" s="679"/>
      <c r="N240" s="679"/>
      <c r="O240" s="679"/>
      <c r="P240" s="679"/>
      <c r="Q240" s="679"/>
      <c r="R240" s="679"/>
      <c r="S240" s="679"/>
      <c r="T240" s="679"/>
      <c r="U240" s="679"/>
      <c r="V240" s="679"/>
      <c r="W240" s="679"/>
      <c r="X240" s="681"/>
      <c r="Y240" s="681"/>
      <c r="Z240" s="679" t="s">
        <v>1367</v>
      </c>
      <c r="AA240" s="682" t="s">
        <v>304</v>
      </c>
    </row>
    <row r="241" spans="1:27" s="64" customFormat="1" x14ac:dyDescent="0.25">
      <c r="A241" s="677" t="s">
        <v>1345</v>
      </c>
      <c r="B241" s="678"/>
      <c r="C241" s="678" t="s">
        <v>1401</v>
      </c>
      <c r="D241" s="678" t="s">
        <v>1393</v>
      </c>
      <c r="E241" s="678" t="s">
        <v>1372</v>
      </c>
      <c r="F241" s="678" t="s">
        <v>53</v>
      </c>
      <c r="G241" s="679" t="s">
        <v>47</v>
      </c>
      <c r="H241" s="678" t="s">
        <v>1366</v>
      </c>
      <c r="I241" s="680">
        <v>4210</v>
      </c>
      <c r="J241" s="680">
        <v>4950</v>
      </c>
      <c r="K241" s="680">
        <v>4950</v>
      </c>
      <c r="L241" s="680">
        <v>6265</v>
      </c>
      <c r="M241" s="679"/>
      <c r="N241" s="679"/>
      <c r="O241" s="679"/>
      <c r="P241" s="679"/>
      <c r="Q241" s="679"/>
      <c r="R241" s="679"/>
      <c r="S241" s="679"/>
      <c r="T241" s="679"/>
      <c r="U241" s="679"/>
      <c r="V241" s="679"/>
      <c r="W241" s="679"/>
      <c r="X241" s="681"/>
      <c r="Y241" s="681"/>
      <c r="Z241" s="679" t="s">
        <v>1367</v>
      </c>
      <c r="AA241" s="682" t="s">
        <v>304</v>
      </c>
    </row>
    <row r="242" spans="1:27" s="64" customFormat="1" x14ac:dyDescent="0.25">
      <c r="A242" s="677" t="s">
        <v>1345</v>
      </c>
      <c r="B242" s="678"/>
      <c r="C242" s="678" t="s">
        <v>1401</v>
      </c>
      <c r="D242" s="678" t="s">
        <v>1393</v>
      </c>
      <c r="E242" s="678" t="s">
        <v>1375</v>
      </c>
      <c r="F242" s="678" t="s">
        <v>53</v>
      </c>
      <c r="G242" s="679" t="s">
        <v>47</v>
      </c>
      <c r="H242" s="678" t="s">
        <v>1366</v>
      </c>
      <c r="I242" s="680">
        <v>4295</v>
      </c>
      <c r="J242" s="680">
        <v>5050</v>
      </c>
      <c r="K242" s="680">
        <v>5050</v>
      </c>
      <c r="L242" s="680">
        <v>6395</v>
      </c>
      <c r="M242" s="679"/>
      <c r="N242" s="679"/>
      <c r="O242" s="679"/>
      <c r="P242" s="679"/>
      <c r="Q242" s="679"/>
      <c r="R242" s="679"/>
      <c r="S242" s="679"/>
      <c r="T242" s="679"/>
      <c r="U242" s="679"/>
      <c r="V242" s="679"/>
      <c r="W242" s="679"/>
      <c r="X242" s="681"/>
      <c r="Y242" s="681"/>
      <c r="Z242" s="679" t="s">
        <v>1367</v>
      </c>
      <c r="AA242" s="682" t="s">
        <v>304</v>
      </c>
    </row>
    <row r="243" spans="1:27" s="64" customFormat="1" x14ac:dyDescent="0.25">
      <c r="A243" s="677" t="s">
        <v>1345</v>
      </c>
      <c r="B243" s="678"/>
      <c r="C243" s="678" t="s">
        <v>1401</v>
      </c>
      <c r="D243" s="678" t="s">
        <v>1393</v>
      </c>
      <c r="E243" s="678" t="s">
        <v>1378</v>
      </c>
      <c r="F243" s="678" t="s">
        <v>120</v>
      </c>
      <c r="G243" s="679" t="s">
        <v>49</v>
      </c>
      <c r="H243" s="678" t="s">
        <v>1366</v>
      </c>
      <c r="I243" s="680">
        <v>6250</v>
      </c>
      <c r="J243" s="680">
        <v>7350</v>
      </c>
      <c r="K243" s="680">
        <v>7350</v>
      </c>
      <c r="L243" s="680">
        <v>9305</v>
      </c>
      <c r="M243" s="679"/>
      <c r="N243" s="679"/>
      <c r="O243" s="679"/>
      <c r="P243" s="679"/>
      <c r="Q243" s="679"/>
      <c r="R243" s="679"/>
      <c r="S243" s="679"/>
      <c r="T243" s="679"/>
      <c r="U243" s="679"/>
      <c r="V243" s="679"/>
      <c r="W243" s="679"/>
      <c r="X243" s="681"/>
      <c r="Y243" s="681"/>
      <c r="Z243" s="679" t="s">
        <v>1367</v>
      </c>
      <c r="AA243" s="682" t="s">
        <v>304</v>
      </c>
    </row>
    <row r="244" spans="1:27" s="64" customFormat="1" x14ac:dyDescent="0.25">
      <c r="A244" s="677" t="s">
        <v>1345</v>
      </c>
      <c r="B244" s="678"/>
      <c r="C244" s="678" t="s">
        <v>1401</v>
      </c>
      <c r="D244" s="678" t="s">
        <v>1393</v>
      </c>
      <c r="E244" s="678" t="s">
        <v>1380</v>
      </c>
      <c r="F244" s="678" t="s">
        <v>53</v>
      </c>
      <c r="G244" s="679" t="s">
        <v>47</v>
      </c>
      <c r="H244" s="678" t="s">
        <v>1366</v>
      </c>
      <c r="I244" s="680">
        <v>4550</v>
      </c>
      <c r="J244" s="680">
        <v>5350</v>
      </c>
      <c r="K244" s="680">
        <v>5350</v>
      </c>
      <c r="L244" s="680">
        <v>6775</v>
      </c>
      <c r="M244" s="679"/>
      <c r="N244" s="679"/>
      <c r="O244" s="679"/>
      <c r="P244" s="679"/>
      <c r="Q244" s="679"/>
      <c r="R244" s="679"/>
      <c r="S244" s="679"/>
      <c r="T244" s="679"/>
      <c r="U244" s="679"/>
      <c r="V244" s="679"/>
      <c r="W244" s="679"/>
      <c r="X244" s="681"/>
      <c r="Y244" s="681"/>
      <c r="Z244" s="679" t="s">
        <v>1367</v>
      </c>
      <c r="AA244" s="682" t="s">
        <v>304</v>
      </c>
    </row>
    <row r="245" spans="1:27" s="64" customFormat="1" x14ac:dyDescent="0.25">
      <c r="A245" s="677" t="s">
        <v>1345</v>
      </c>
      <c r="B245" s="678"/>
      <c r="C245" s="678" t="s">
        <v>1401</v>
      </c>
      <c r="D245" s="678" t="s">
        <v>1393</v>
      </c>
      <c r="E245" s="678" t="s">
        <v>1382</v>
      </c>
      <c r="F245" s="678" t="s">
        <v>53</v>
      </c>
      <c r="G245" s="679" t="s">
        <v>47</v>
      </c>
      <c r="H245" s="678" t="s">
        <v>1366</v>
      </c>
      <c r="I245" s="680">
        <v>3785</v>
      </c>
      <c r="J245" s="680">
        <v>4450</v>
      </c>
      <c r="K245" s="680">
        <v>4450</v>
      </c>
      <c r="L245" s="680">
        <v>5635</v>
      </c>
      <c r="M245" s="679"/>
      <c r="N245" s="679"/>
      <c r="O245" s="679"/>
      <c r="P245" s="679"/>
      <c r="Q245" s="679"/>
      <c r="R245" s="679"/>
      <c r="S245" s="679"/>
      <c r="T245" s="679"/>
      <c r="U245" s="679"/>
      <c r="V245" s="679"/>
      <c r="W245" s="679"/>
      <c r="X245" s="681"/>
      <c r="Y245" s="681"/>
      <c r="Z245" s="679" t="s">
        <v>1367</v>
      </c>
      <c r="AA245" s="682" t="s">
        <v>304</v>
      </c>
    </row>
    <row r="246" spans="1:27" s="64" customFormat="1" x14ac:dyDescent="0.25">
      <c r="A246" s="677" t="s">
        <v>1345</v>
      </c>
      <c r="B246" s="678"/>
      <c r="C246" s="678" t="s">
        <v>1401</v>
      </c>
      <c r="D246" s="678" t="s">
        <v>1393</v>
      </c>
      <c r="E246" s="678" t="s">
        <v>1395</v>
      </c>
      <c r="F246" s="678" t="s">
        <v>53</v>
      </c>
      <c r="G246" s="679" t="s">
        <v>47</v>
      </c>
      <c r="H246" s="678" t="s">
        <v>1366</v>
      </c>
      <c r="I246" s="680">
        <v>3700</v>
      </c>
      <c r="J246" s="680">
        <v>4350</v>
      </c>
      <c r="K246" s="680">
        <v>4350</v>
      </c>
      <c r="L246" s="680">
        <v>5505</v>
      </c>
      <c r="M246" s="679"/>
      <c r="N246" s="679"/>
      <c r="O246" s="679"/>
      <c r="P246" s="679"/>
      <c r="Q246" s="679"/>
      <c r="R246" s="679"/>
      <c r="S246" s="679"/>
      <c r="T246" s="679"/>
      <c r="U246" s="679"/>
      <c r="V246" s="679"/>
      <c r="W246" s="679"/>
      <c r="X246" s="681"/>
      <c r="Y246" s="681"/>
      <c r="Z246" s="679" t="s">
        <v>1367</v>
      </c>
      <c r="AA246" s="682" t="s">
        <v>304</v>
      </c>
    </row>
    <row r="247" spans="1:27" s="64" customFormat="1" x14ac:dyDescent="0.25">
      <c r="A247" s="677" t="s">
        <v>1345</v>
      </c>
      <c r="B247" s="678"/>
      <c r="C247" s="678" t="s">
        <v>1401</v>
      </c>
      <c r="D247" s="678" t="s">
        <v>1393</v>
      </c>
      <c r="E247" s="678" t="s">
        <v>1396</v>
      </c>
      <c r="F247" s="678" t="s">
        <v>53</v>
      </c>
      <c r="G247" s="679" t="s">
        <v>47</v>
      </c>
      <c r="H247" s="678" t="s">
        <v>1366</v>
      </c>
      <c r="I247" s="680">
        <v>2550</v>
      </c>
      <c r="J247" s="680">
        <v>3000</v>
      </c>
      <c r="K247" s="680">
        <v>3000</v>
      </c>
      <c r="L247" s="680">
        <v>3800</v>
      </c>
      <c r="M247" s="679"/>
      <c r="N247" s="679"/>
      <c r="O247" s="679"/>
      <c r="P247" s="679"/>
      <c r="Q247" s="679"/>
      <c r="R247" s="679"/>
      <c r="S247" s="679"/>
      <c r="T247" s="679"/>
      <c r="U247" s="679"/>
      <c r="V247" s="679"/>
      <c r="W247" s="679"/>
      <c r="X247" s="681"/>
      <c r="Y247" s="681"/>
      <c r="Z247" s="679" t="s">
        <v>1367</v>
      </c>
      <c r="AA247" s="682" t="s">
        <v>304</v>
      </c>
    </row>
    <row r="248" spans="1:27" s="64" customFormat="1" x14ac:dyDescent="0.25">
      <c r="A248" s="677" t="s">
        <v>1345</v>
      </c>
      <c r="B248" s="678"/>
      <c r="C248" s="678" t="s">
        <v>1401</v>
      </c>
      <c r="D248" s="678" t="s">
        <v>1393</v>
      </c>
      <c r="E248" s="678" t="s">
        <v>1397</v>
      </c>
      <c r="F248" s="678" t="s">
        <v>53</v>
      </c>
      <c r="G248" s="679" t="s">
        <v>47</v>
      </c>
      <c r="H248" s="678" t="s">
        <v>1366</v>
      </c>
      <c r="I248" s="680">
        <v>4040</v>
      </c>
      <c r="J248" s="680">
        <v>4750</v>
      </c>
      <c r="K248" s="680">
        <v>4750</v>
      </c>
      <c r="L248" s="680">
        <v>6015</v>
      </c>
      <c r="M248" s="679"/>
      <c r="N248" s="679"/>
      <c r="O248" s="679"/>
      <c r="P248" s="679"/>
      <c r="Q248" s="679"/>
      <c r="R248" s="679"/>
      <c r="S248" s="679"/>
      <c r="T248" s="679"/>
      <c r="U248" s="679"/>
      <c r="V248" s="679"/>
      <c r="W248" s="679"/>
      <c r="X248" s="681"/>
      <c r="Y248" s="681"/>
      <c r="Z248" s="679" t="s">
        <v>1367</v>
      </c>
      <c r="AA248" s="682" t="s">
        <v>304</v>
      </c>
    </row>
    <row r="249" spans="1:27" s="64" customFormat="1" x14ac:dyDescent="0.25">
      <c r="A249" s="677" t="s">
        <v>1346</v>
      </c>
      <c r="B249" s="678"/>
      <c r="C249" s="678" t="s">
        <v>1392</v>
      </c>
      <c r="D249" s="678" t="s">
        <v>1402</v>
      </c>
      <c r="E249" s="678"/>
      <c r="F249" s="678" t="s">
        <v>51</v>
      </c>
      <c r="G249" s="679" t="s">
        <v>47</v>
      </c>
      <c r="H249" s="678" t="s">
        <v>1366</v>
      </c>
      <c r="I249" s="680">
        <v>4000</v>
      </c>
      <c r="J249" s="680">
        <v>5000</v>
      </c>
      <c r="K249" s="680">
        <v>5000</v>
      </c>
      <c r="L249" s="680">
        <v>6300</v>
      </c>
      <c r="M249" s="679"/>
      <c r="N249" s="679"/>
      <c r="O249" s="679"/>
      <c r="P249" s="679"/>
      <c r="Q249" s="679"/>
      <c r="R249" s="679"/>
      <c r="S249" s="679"/>
      <c r="T249" s="679"/>
      <c r="U249" s="679"/>
      <c r="V249" s="679"/>
      <c r="W249" s="679"/>
      <c r="X249" s="681"/>
      <c r="Y249" s="681"/>
      <c r="Z249" s="679" t="s">
        <v>1367</v>
      </c>
      <c r="AA249" s="682" t="s">
        <v>389</v>
      </c>
    </row>
    <row r="250" spans="1:27" s="64" customFormat="1" x14ac:dyDescent="0.25">
      <c r="A250" s="677" t="s">
        <v>1346</v>
      </c>
      <c r="B250" s="678"/>
      <c r="C250" s="678" t="s">
        <v>1403</v>
      </c>
      <c r="D250" s="678" t="s">
        <v>1402</v>
      </c>
      <c r="E250" s="678"/>
      <c r="F250" s="678" t="s">
        <v>51</v>
      </c>
      <c r="G250" s="679" t="s">
        <v>47</v>
      </c>
      <c r="H250" s="678" t="s">
        <v>1366</v>
      </c>
      <c r="I250" s="680">
        <v>3540</v>
      </c>
      <c r="J250" s="680">
        <v>4460</v>
      </c>
      <c r="K250" s="680">
        <v>4460</v>
      </c>
      <c r="L250" s="680">
        <v>5620</v>
      </c>
      <c r="M250" s="679"/>
      <c r="N250" s="679"/>
      <c r="O250" s="679"/>
      <c r="P250" s="679"/>
      <c r="Q250" s="679"/>
      <c r="R250" s="679"/>
      <c r="S250" s="679"/>
      <c r="T250" s="679"/>
      <c r="U250" s="679"/>
      <c r="V250" s="679"/>
      <c r="W250" s="679"/>
      <c r="X250" s="681"/>
      <c r="Y250" s="681"/>
      <c r="Z250" s="679" t="s">
        <v>1367</v>
      </c>
      <c r="AA250" s="682" t="s">
        <v>389</v>
      </c>
    </row>
    <row r="251" spans="1:27" s="64" customFormat="1" x14ac:dyDescent="0.25">
      <c r="A251" s="677" t="s">
        <v>1346</v>
      </c>
      <c r="B251" s="678"/>
      <c r="C251" s="678" t="s">
        <v>1404</v>
      </c>
      <c r="D251" s="678" t="s">
        <v>1402</v>
      </c>
      <c r="E251" s="678"/>
      <c r="F251" s="678" t="s">
        <v>51</v>
      </c>
      <c r="G251" s="679" t="s">
        <v>47</v>
      </c>
      <c r="H251" s="678" t="s">
        <v>1366</v>
      </c>
      <c r="I251" s="680">
        <v>3540</v>
      </c>
      <c r="J251" s="680">
        <v>4460</v>
      </c>
      <c r="K251" s="680">
        <v>4460</v>
      </c>
      <c r="L251" s="680">
        <v>5620</v>
      </c>
      <c r="M251" s="679"/>
      <c r="N251" s="679"/>
      <c r="O251" s="679"/>
      <c r="P251" s="679"/>
      <c r="Q251" s="679"/>
      <c r="R251" s="679"/>
      <c r="S251" s="679"/>
      <c r="T251" s="679"/>
      <c r="U251" s="679"/>
      <c r="V251" s="679"/>
      <c r="W251" s="679"/>
      <c r="X251" s="681"/>
      <c r="Y251" s="681"/>
      <c r="Z251" s="679" t="s">
        <v>1367</v>
      </c>
      <c r="AA251" s="682" t="s">
        <v>389</v>
      </c>
    </row>
    <row r="252" spans="1:27" s="64" customFormat="1" x14ac:dyDescent="0.25">
      <c r="A252" s="677" t="s">
        <v>1346</v>
      </c>
      <c r="B252" s="678"/>
      <c r="C252" s="678" t="s">
        <v>1405</v>
      </c>
      <c r="D252" s="678" t="s">
        <v>1402</v>
      </c>
      <c r="E252" s="678"/>
      <c r="F252" s="678" t="s">
        <v>51</v>
      </c>
      <c r="G252" s="679" t="s">
        <v>47</v>
      </c>
      <c r="H252" s="678" t="s">
        <v>1366</v>
      </c>
      <c r="I252" s="680">
        <v>3650</v>
      </c>
      <c r="J252" s="680">
        <v>4600</v>
      </c>
      <c r="K252" s="680">
        <v>4600</v>
      </c>
      <c r="L252" s="680">
        <v>5800</v>
      </c>
      <c r="M252" s="679"/>
      <c r="N252" s="679"/>
      <c r="O252" s="679"/>
      <c r="P252" s="679"/>
      <c r="Q252" s="679"/>
      <c r="R252" s="679"/>
      <c r="S252" s="679"/>
      <c r="T252" s="679"/>
      <c r="U252" s="679"/>
      <c r="V252" s="679"/>
      <c r="W252" s="679"/>
      <c r="X252" s="681"/>
      <c r="Y252" s="681"/>
      <c r="Z252" s="679" t="s">
        <v>1367</v>
      </c>
      <c r="AA252" s="682" t="s">
        <v>389</v>
      </c>
    </row>
    <row r="253" spans="1:27" s="64" customFormat="1" x14ac:dyDescent="0.25">
      <c r="A253" s="677" t="s">
        <v>1346</v>
      </c>
      <c r="B253" s="678"/>
      <c r="C253" s="678" t="s">
        <v>1406</v>
      </c>
      <c r="D253" s="678" t="s">
        <v>1402</v>
      </c>
      <c r="E253" s="678"/>
      <c r="F253" s="678" t="s">
        <v>51</v>
      </c>
      <c r="G253" s="679" t="s">
        <v>47</v>
      </c>
      <c r="H253" s="678" t="s">
        <v>1366</v>
      </c>
      <c r="I253" s="680">
        <v>3650</v>
      </c>
      <c r="J253" s="680">
        <v>4600</v>
      </c>
      <c r="K253" s="680">
        <v>4600</v>
      </c>
      <c r="L253" s="680">
        <v>5800</v>
      </c>
      <c r="M253" s="679"/>
      <c r="N253" s="679"/>
      <c r="O253" s="679"/>
      <c r="P253" s="679"/>
      <c r="Q253" s="679"/>
      <c r="R253" s="679"/>
      <c r="S253" s="679"/>
      <c r="T253" s="679"/>
      <c r="U253" s="679"/>
      <c r="V253" s="679"/>
      <c r="W253" s="679"/>
      <c r="X253" s="681"/>
      <c r="Y253" s="681"/>
      <c r="Z253" s="679" t="s">
        <v>1367</v>
      </c>
      <c r="AA253" s="682" t="s">
        <v>389</v>
      </c>
    </row>
    <row r="254" spans="1:27" s="64" customFormat="1" x14ac:dyDescent="0.25">
      <c r="A254" s="677" t="s">
        <v>1346</v>
      </c>
      <c r="B254" s="678"/>
      <c r="C254" s="678" t="s">
        <v>1407</v>
      </c>
      <c r="D254" s="678" t="s">
        <v>1402</v>
      </c>
      <c r="E254" s="678"/>
      <c r="F254" s="678" t="s">
        <v>51</v>
      </c>
      <c r="G254" s="679" t="s">
        <v>47</v>
      </c>
      <c r="H254" s="678" t="s">
        <v>1366</v>
      </c>
      <c r="I254" s="680">
        <v>3650</v>
      </c>
      <c r="J254" s="680">
        <v>4600</v>
      </c>
      <c r="K254" s="680">
        <v>4600</v>
      </c>
      <c r="L254" s="680">
        <v>5800</v>
      </c>
      <c r="M254" s="679"/>
      <c r="N254" s="679"/>
      <c r="O254" s="679"/>
      <c r="P254" s="679"/>
      <c r="Q254" s="679"/>
      <c r="R254" s="679"/>
      <c r="S254" s="679"/>
      <c r="T254" s="679"/>
      <c r="U254" s="679"/>
      <c r="V254" s="679"/>
      <c r="W254" s="679"/>
      <c r="X254" s="681"/>
      <c r="Y254" s="681"/>
      <c r="Z254" s="679" t="s">
        <v>1367</v>
      </c>
      <c r="AA254" s="682" t="s">
        <v>389</v>
      </c>
    </row>
    <row r="255" spans="1:27" s="64" customFormat="1" x14ac:dyDescent="0.25">
      <c r="A255" s="677" t="s">
        <v>1346</v>
      </c>
      <c r="B255" s="678"/>
      <c r="C255" s="678" t="s">
        <v>1408</v>
      </c>
      <c r="D255" s="678" t="s">
        <v>1402</v>
      </c>
      <c r="E255" s="678"/>
      <c r="F255" s="678" t="s">
        <v>51</v>
      </c>
      <c r="G255" s="679" t="s">
        <v>47</v>
      </c>
      <c r="H255" s="678" t="s">
        <v>1366</v>
      </c>
      <c r="I255" s="680">
        <v>3850</v>
      </c>
      <c r="J255" s="680">
        <v>4860</v>
      </c>
      <c r="K255" s="680">
        <v>4860</v>
      </c>
      <c r="L255" s="680">
        <v>6120</v>
      </c>
      <c r="M255" s="679"/>
      <c r="N255" s="679"/>
      <c r="O255" s="679"/>
      <c r="P255" s="679"/>
      <c r="Q255" s="679"/>
      <c r="R255" s="679"/>
      <c r="S255" s="679"/>
      <c r="T255" s="679"/>
      <c r="U255" s="679"/>
      <c r="V255" s="679"/>
      <c r="W255" s="679"/>
      <c r="X255" s="681"/>
      <c r="Y255" s="681"/>
      <c r="Z255" s="679" t="s">
        <v>1367</v>
      </c>
      <c r="AA255" s="682" t="s">
        <v>389</v>
      </c>
    </row>
    <row r="256" spans="1:27" s="64" customFormat="1" x14ac:dyDescent="0.25">
      <c r="A256" s="677" t="s">
        <v>1346</v>
      </c>
      <c r="B256" s="678"/>
      <c r="C256" s="678" t="s">
        <v>1409</v>
      </c>
      <c r="D256" s="678" t="s">
        <v>1402</v>
      </c>
      <c r="E256" s="678"/>
      <c r="F256" s="678" t="s">
        <v>51</v>
      </c>
      <c r="G256" s="679" t="s">
        <v>47</v>
      </c>
      <c r="H256" s="678" t="s">
        <v>1366</v>
      </c>
      <c r="I256" s="680">
        <v>3850</v>
      </c>
      <c r="J256" s="680">
        <v>4860</v>
      </c>
      <c r="K256" s="680">
        <v>4860</v>
      </c>
      <c r="L256" s="680">
        <v>6120</v>
      </c>
      <c r="M256" s="679"/>
      <c r="N256" s="679"/>
      <c r="O256" s="679"/>
      <c r="P256" s="679"/>
      <c r="Q256" s="679"/>
      <c r="R256" s="679"/>
      <c r="S256" s="679"/>
      <c r="T256" s="679"/>
      <c r="U256" s="679"/>
      <c r="V256" s="679"/>
      <c r="W256" s="679"/>
      <c r="X256" s="681"/>
      <c r="Y256" s="681"/>
      <c r="Z256" s="679" t="s">
        <v>1367</v>
      </c>
      <c r="AA256" s="682" t="s">
        <v>389</v>
      </c>
    </row>
    <row r="257" spans="1:27" s="64" customFormat="1" x14ac:dyDescent="0.25">
      <c r="A257" s="677" t="s">
        <v>1346</v>
      </c>
      <c r="B257" s="678"/>
      <c r="C257" s="678" t="s">
        <v>1410</v>
      </c>
      <c r="D257" s="678" t="s">
        <v>1402</v>
      </c>
      <c r="E257" s="678"/>
      <c r="F257" s="678" t="s">
        <v>51</v>
      </c>
      <c r="G257" s="679" t="s">
        <v>47</v>
      </c>
      <c r="H257" s="678" t="s">
        <v>1366</v>
      </c>
      <c r="I257" s="680">
        <v>3850</v>
      </c>
      <c r="J257" s="680">
        <v>4860</v>
      </c>
      <c r="K257" s="680">
        <v>4860</v>
      </c>
      <c r="L257" s="680">
        <v>6120</v>
      </c>
      <c r="M257" s="679"/>
      <c r="N257" s="679"/>
      <c r="O257" s="679"/>
      <c r="P257" s="679"/>
      <c r="Q257" s="679"/>
      <c r="R257" s="679"/>
      <c r="S257" s="679"/>
      <c r="T257" s="679"/>
      <c r="U257" s="679"/>
      <c r="V257" s="679"/>
      <c r="W257" s="679"/>
      <c r="X257" s="681"/>
      <c r="Y257" s="681"/>
      <c r="Z257" s="679" t="s">
        <v>1367</v>
      </c>
      <c r="AA257" s="682" t="s">
        <v>389</v>
      </c>
    </row>
    <row r="258" spans="1:27" s="64" customFormat="1" x14ac:dyDescent="0.25">
      <c r="A258" s="677" t="s">
        <v>1346</v>
      </c>
      <c r="B258" s="678"/>
      <c r="C258" s="678" t="s">
        <v>1411</v>
      </c>
      <c r="D258" s="678" t="s">
        <v>1402</v>
      </c>
      <c r="E258" s="678"/>
      <c r="F258" s="678" t="s">
        <v>51</v>
      </c>
      <c r="G258" s="679" t="s">
        <v>47</v>
      </c>
      <c r="H258" s="678" t="s">
        <v>1366</v>
      </c>
      <c r="I258" s="680">
        <v>3850</v>
      </c>
      <c r="J258" s="680">
        <v>4860</v>
      </c>
      <c r="K258" s="680">
        <v>4860</v>
      </c>
      <c r="L258" s="680">
        <v>6120</v>
      </c>
      <c r="M258" s="679"/>
      <c r="N258" s="679"/>
      <c r="O258" s="679"/>
      <c r="P258" s="679"/>
      <c r="Q258" s="679"/>
      <c r="R258" s="679"/>
      <c r="S258" s="679"/>
      <c r="T258" s="679"/>
      <c r="U258" s="679"/>
      <c r="V258" s="679"/>
      <c r="W258" s="679"/>
      <c r="X258" s="681"/>
      <c r="Y258" s="681"/>
      <c r="Z258" s="679" t="s">
        <v>1367</v>
      </c>
      <c r="AA258" s="682" t="s">
        <v>389</v>
      </c>
    </row>
    <row r="259" spans="1:27" s="64" customFormat="1" x14ac:dyDescent="0.25">
      <c r="A259" s="677" t="s">
        <v>1346</v>
      </c>
      <c r="B259" s="678"/>
      <c r="C259" s="678" t="s">
        <v>1412</v>
      </c>
      <c r="D259" s="678" t="s">
        <v>1402</v>
      </c>
      <c r="E259" s="678"/>
      <c r="F259" s="678" t="s">
        <v>51</v>
      </c>
      <c r="G259" s="679" t="s">
        <v>47</v>
      </c>
      <c r="H259" s="678" t="s">
        <v>1366</v>
      </c>
      <c r="I259" s="680">
        <v>3850</v>
      </c>
      <c r="J259" s="680">
        <v>4860</v>
      </c>
      <c r="K259" s="680">
        <v>4860</v>
      </c>
      <c r="L259" s="680">
        <v>6120</v>
      </c>
      <c r="M259" s="679"/>
      <c r="N259" s="679"/>
      <c r="O259" s="679"/>
      <c r="P259" s="679"/>
      <c r="Q259" s="679"/>
      <c r="R259" s="679"/>
      <c r="S259" s="679"/>
      <c r="T259" s="679"/>
      <c r="U259" s="679"/>
      <c r="V259" s="679"/>
      <c r="W259" s="679"/>
      <c r="X259" s="681"/>
      <c r="Y259" s="681"/>
      <c r="Z259" s="679" t="s">
        <v>1367</v>
      </c>
      <c r="AA259" s="682" t="s">
        <v>389</v>
      </c>
    </row>
    <row r="260" spans="1:27" s="64" customFormat="1" x14ac:dyDescent="0.25">
      <c r="A260" s="677" t="s">
        <v>1346</v>
      </c>
      <c r="B260" s="678"/>
      <c r="C260" s="678" t="s">
        <v>1398</v>
      </c>
      <c r="D260" s="678" t="s">
        <v>1402</v>
      </c>
      <c r="E260" s="678"/>
      <c r="F260" s="678" t="s">
        <v>51</v>
      </c>
      <c r="G260" s="679" t="s">
        <v>47</v>
      </c>
      <c r="H260" s="678" t="s">
        <v>1366</v>
      </c>
      <c r="I260" s="680">
        <v>3770</v>
      </c>
      <c r="J260" s="680">
        <v>4750</v>
      </c>
      <c r="K260" s="680">
        <v>4750</v>
      </c>
      <c r="L260" s="680">
        <v>5980</v>
      </c>
      <c r="M260" s="679"/>
      <c r="N260" s="679"/>
      <c r="O260" s="679"/>
      <c r="P260" s="679"/>
      <c r="Q260" s="679"/>
      <c r="R260" s="679"/>
      <c r="S260" s="679"/>
      <c r="T260" s="679"/>
      <c r="U260" s="679"/>
      <c r="V260" s="679"/>
      <c r="W260" s="679"/>
      <c r="X260" s="681"/>
      <c r="Y260" s="681"/>
      <c r="Z260" s="679" t="s">
        <v>1367</v>
      </c>
      <c r="AA260" s="682" t="s">
        <v>389</v>
      </c>
    </row>
    <row r="261" spans="1:27" s="64" customFormat="1" x14ac:dyDescent="0.25">
      <c r="A261" s="677" t="s">
        <v>1346</v>
      </c>
      <c r="B261" s="678"/>
      <c r="C261" s="678" t="s">
        <v>1413</v>
      </c>
      <c r="D261" s="678" t="s">
        <v>1402</v>
      </c>
      <c r="E261" s="678"/>
      <c r="F261" s="678" t="s">
        <v>51</v>
      </c>
      <c r="G261" s="679" t="s">
        <v>47</v>
      </c>
      <c r="H261" s="678" t="s">
        <v>1366</v>
      </c>
      <c r="I261" s="680">
        <v>3850</v>
      </c>
      <c r="J261" s="680">
        <v>4850</v>
      </c>
      <c r="K261" s="680">
        <v>4850</v>
      </c>
      <c r="L261" s="680">
        <v>6110</v>
      </c>
      <c r="M261" s="679"/>
      <c r="N261" s="679"/>
      <c r="O261" s="679"/>
      <c r="P261" s="679"/>
      <c r="Q261" s="679"/>
      <c r="R261" s="679"/>
      <c r="S261" s="679"/>
      <c r="T261" s="679"/>
      <c r="U261" s="679"/>
      <c r="V261" s="679"/>
      <c r="W261" s="679"/>
      <c r="X261" s="681"/>
      <c r="Y261" s="681"/>
      <c r="Z261" s="679" t="s">
        <v>1367</v>
      </c>
      <c r="AA261" s="682" t="s">
        <v>389</v>
      </c>
    </row>
    <row r="262" spans="1:27" s="64" customFormat="1" x14ac:dyDescent="0.25">
      <c r="A262" s="677" t="s">
        <v>1346</v>
      </c>
      <c r="B262" s="678"/>
      <c r="C262" s="678" t="s">
        <v>1414</v>
      </c>
      <c r="D262" s="678" t="s">
        <v>1402</v>
      </c>
      <c r="E262" s="678"/>
      <c r="F262" s="678" t="s">
        <v>51</v>
      </c>
      <c r="G262" s="679" t="s">
        <v>47</v>
      </c>
      <c r="H262" s="678" t="s">
        <v>1366</v>
      </c>
      <c r="I262" s="680">
        <v>3850</v>
      </c>
      <c r="J262" s="680">
        <v>4850</v>
      </c>
      <c r="K262" s="680">
        <v>4850</v>
      </c>
      <c r="L262" s="680">
        <v>6110</v>
      </c>
      <c r="M262" s="679"/>
      <c r="N262" s="679"/>
      <c r="O262" s="679"/>
      <c r="P262" s="679"/>
      <c r="Q262" s="679"/>
      <c r="R262" s="679"/>
      <c r="S262" s="679"/>
      <c r="T262" s="679"/>
      <c r="U262" s="679"/>
      <c r="V262" s="679"/>
      <c r="W262" s="679"/>
      <c r="X262" s="681"/>
      <c r="Y262" s="681"/>
      <c r="Z262" s="679" t="s">
        <v>1367</v>
      </c>
      <c r="AA262" s="682" t="s">
        <v>389</v>
      </c>
    </row>
    <row r="263" spans="1:27" s="64" customFormat="1" x14ac:dyDescent="0.25">
      <c r="A263" s="677" t="s">
        <v>1346</v>
      </c>
      <c r="B263" s="678"/>
      <c r="C263" s="678" t="s">
        <v>1400</v>
      </c>
      <c r="D263" s="678" t="s">
        <v>1402</v>
      </c>
      <c r="E263" s="678"/>
      <c r="F263" s="678" t="s">
        <v>51</v>
      </c>
      <c r="G263" s="679" t="s">
        <v>47</v>
      </c>
      <c r="H263" s="678" t="s">
        <v>1366</v>
      </c>
      <c r="I263" s="680">
        <v>3730</v>
      </c>
      <c r="J263" s="680">
        <v>4700</v>
      </c>
      <c r="K263" s="680">
        <v>4700</v>
      </c>
      <c r="L263" s="680">
        <v>5930</v>
      </c>
      <c r="M263" s="679"/>
      <c r="N263" s="679"/>
      <c r="O263" s="679"/>
      <c r="P263" s="679"/>
      <c r="Q263" s="679"/>
      <c r="R263" s="679"/>
      <c r="S263" s="679"/>
      <c r="T263" s="679"/>
      <c r="U263" s="679"/>
      <c r="V263" s="679"/>
      <c r="W263" s="679"/>
      <c r="X263" s="681"/>
      <c r="Y263" s="681"/>
      <c r="Z263" s="679" t="s">
        <v>1367</v>
      </c>
      <c r="AA263" s="682" t="s">
        <v>389</v>
      </c>
    </row>
    <row r="264" spans="1:27" s="64" customFormat="1" x14ac:dyDescent="0.25">
      <c r="A264" s="677" t="s">
        <v>1346</v>
      </c>
      <c r="B264" s="678"/>
      <c r="C264" s="678" t="s">
        <v>1415</v>
      </c>
      <c r="D264" s="678" t="s">
        <v>1402</v>
      </c>
      <c r="E264" s="678"/>
      <c r="F264" s="678" t="s">
        <v>51</v>
      </c>
      <c r="G264" s="679" t="s">
        <v>47</v>
      </c>
      <c r="H264" s="678" t="s">
        <v>1366</v>
      </c>
      <c r="I264" s="680">
        <v>3730</v>
      </c>
      <c r="J264" s="680">
        <v>4700</v>
      </c>
      <c r="K264" s="680">
        <v>4700</v>
      </c>
      <c r="L264" s="680">
        <v>5930</v>
      </c>
      <c r="M264" s="679"/>
      <c r="N264" s="679"/>
      <c r="O264" s="679"/>
      <c r="P264" s="679"/>
      <c r="Q264" s="679"/>
      <c r="R264" s="679"/>
      <c r="S264" s="679"/>
      <c r="T264" s="679"/>
      <c r="U264" s="679"/>
      <c r="V264" s="679"/>
      <c r="W264" s="679"/>
      <c r="X264" s="681"/>
      <c r="Y264" s="681"/>
      <c r="Z264" s="679" t="s">
        <v>1367</v>
      </c>
      <c r="AA264" s="682" t="s">
        <v>389</v>
      </c>
    </row>
    <row r="265" spans="1:27" s="64" customFormat="1" x14ac:dyDescent="0.25">
      <c r="A265" s="677" t="s">
        <v>1346</v>
      </c>
      <c r="B265" s="678" t="s">
        <v>1416</v>
      </c>
      <c r="C265" s="678" t="s">
        <v>1400</v>
      </c>
      <c r="D265" s="678" t="s">
        <v>1402</v>
      </c>
      <c r="E265" s="678"/>
      <c r="F265" s="678" t="s">
        <v>126</v>
      </c>
      <c r="G265" s="679" t="s">
        <v>47</v>
      </c>
      <c r="H265" s="678" t="s">
        <v>1366</v>
      </c>
      <c r="I265" s="680">
        <v>3730</v>
      </c>
      <c r="J265" s="680">
        <v>4700</v>
      </c>
      <c r="K265" s="680">
        <v>4700</v>
      </c>
      <c r="L265" s="680">
        <v>5930</v>
      </c>
      <c r="M265" s="679"/>
      <c r="N265" s="679"/>
      <c r="O265" s="679"/>
      <c r="P265" s="679"/>
      <c r="Q265" s="679"/>
      <c r="R265" s="679"/>
      <c r="S265" s="679"/>
      <c r="T265" s="679"/>
      <c r="U265" s="679"/>
      <c r="V265" s="679"/>
      <c r="W265" s="679"/>
      <c r="X265" s="681"/>
      <c r="Y265" s="681"/>
      <c r="Z265" s="679" t="s">
        <v>1367</v>
      </c>
      <c r="AA265" s="682" t="s">
        <v>306</v>
      </c>
    </row>
    <row r="266" spans="1:27" s="64" customFormat="1" x14ac:dyDescent="0.25">
      <c r="A266" s="677" t="s">
        <v>1346</v>
      </c>
      <c r="B266" s="678"/>
      <c r="C266" s="678" t="s">
        <v>1417</v>
      </c>
      <c r="D266" s="678" t="s">
        <v>1402</v>
      </c>
      <c r="E266" s="678"/>
      <c r="F266" s="678" t="s">
        <v>51</v>
      </c>
      <c r="G266" s="679" t="s">
        <v>47</v>
      </c>
      <c r="H266" s="678" t="s">
        <v>1366</v>
      </c>
      <c r="I266" s="680">
        <v>3730</v>
      </c>
      <c r="J266" s="680">
        <v>4700</v>
      </c>
      <c r="K266" s="680">
        <v>4700</v>
      </c>
      <c r="L266" s="680">
        <v>5930</v>
      </c>
      <c r="M266" s="679"/>
      <c r="N266" s="679"/>
      <c r="O266" s="679"/>
      <c r="P266" s="679"/>
      <c r="Q266" s="679"/>
      <c r="R266" s="679"/>
      <c r="S266" s="679"/>
      <c r="T266" s="679"/>
      <c r="U266" s="679"/>
      <c r="V266" s="679"/>
      <c r="W266" s="679"/>
      <c r="X266" s="681"/>
      <c r="Y266" s="681"/>
      <c r="Z266" s="679" t="s">
        <v>1367</v>
      </c>
      <c r="AA266" s="682" t="s">
        <v>389</v>
      </c>
    </row>
    <row r="267" spans="1:27" s="64" customFormat="1" x14ac:dyDescent="0.25">
      <c r="A267" s="677" t="s">
        <v>1346</v>
      </c>
      <c r="B267" s="678"/>
      <c r="C267" s="678" t="s">
        <v>1418</v>
      </c>
      <c r="D267" s="678" t="s">
        <v>1402</v>
      </c>
      <c r="E267" s="678"/>
      <c r="F267" s="678" t="s">
        <v>51</v>
      </c>
      <c r="G267" s="679" t="s">
        <v>47</v>
      </c>
      <c r="H267" s="678" t="s">
        <v>1366</v>
      </c>
      <c r="I267" s="680">
        <v>3810</v>
      </c>
      <c r="J267" s="680">
        <v>4800</v>
      </c>
      <c r="K267" s="680">
        <v>4800</v>
      </c>
      <c r="L267" s="680">
        <v>6060</v>
      </c>
      <c r="M267" s="679"/>
      <c r="N267" s="679"/>
      <c r="O267" s="679"/>
      <c r="P267" s="679"/>
      <c r="Q267" s="679"/>
      <c r="R267" s="679"/>
      <c r="S267" s="679"/>
      <c r="T267" s="679"/>
      <c r="U267" s="679"/>
      <c r="V267" s="679"/>
      <c r="W267" s="679"/>
      <c r="X267" s="681"/>
      <c r="Y267" s="681"/>
      <c r="Z267" s="679" t="s">
        <v>1367</v>
      </c>
      <c r="AA267" s="682" t="s">
        <v>389</v>
      </c>
    </row>
    <row r="268" spans="1:27" s="64" customFormat="1" x14ac:dyDescent="0.25">
      <c r="A268" s="677" t="s">
        <v>1346</v>
      </c>
      <c r="B268" s="678"/>
      <c r="C268" s="678" t="s">
        <v>1419</v>
      </c>
      <c r="D268" s="678" t="s">
        <v>1402</v>
      </c>
      <c r="E268" s="678"/>
      <c r="F268" s="678" t="s">
        <v>51</v>
      </c>
      <c r="G268" s="679" t="s">
        <v>47</v>
      </c>
      <c r="H268" s="678" t="s">
        <v>1366</v>
      </c>
      <c r="I268" s="680">
        <v>3810</v>
      </c>
      <c r="J268" s="680">
        <v>4800</v>
      </c>
      <c r="K268" s="680">
        <v>4800</v>
      </c>
      <c r="L268" s="680">
        <v>6060</v>
      </c>
      <c r="M268" s="679"/>
      <c r="N268" s="679"/>
      <c r="O268" s="679"/>
      <c r="P268" s="679"/>
      <c r="Q268" s="679"/>
      <c r="R268" s="679"/>
      <c r="S268" s="679"/>
      <c r="T268" s="679"/>
      <c r="U268" s="679"/>
      <c r="V268" s="679"/>
      <c r="W268" s="679"/>
      <c r="X268" s="681"/>
      <c r="Y268" s="681"/>
      <c r="Z268" s="679" t="s">
        <v>1367</v>
      </c>
      <c r="AA268" s="682" t="s">
        <v>389</v>
      </c>
    </row>
    <row r="269" spans="1:27" s="64" customFormat="1" x14ac:dyDescent="0.25">
      <c r="A269" s="677" t="s">
        <v>1346</v>
      </c>
      <c r="B269" s="678"/>
      <c r="C269" s="678" t="s">
        <v>1399</v>
      </c>
      <c r="D269" s="678" t="s">
        <v>1402</v>
      </c>
      <c r="E269" s="678"/>
      <c r="F269" s="678" t="s">
        <v>51</v>
      </c>
      <c r="G269" s="679" t="s">
        <v>47</v>
      </c>
      <c r="H269" s="678" t="s">
        <v>1366</v>
      </c>
      <c r="I269" s="680">
        <v>3730</v>
      </c>
      <c r="J269" s="680">
        <v>4700</v>
      </c>
      <c r="K269" s="680">
        <v>4700</v>
      </c>
      <c r="L269" s="680">
        <v>5930</v>
      </c>
      <c r="M269" s="679"/>
      <c r="N269" s="679"/>
      <c r="O269" s="679"/>
      <c r="P269" s="679"/>
      <c r="Q269" s="679"/>
      <c r="R269" s="679"/>
      <c r="S269" s="679"/>
      <c r="T269" s="679"/>
      <c r="U269" s="679"/>
      <c r="V269" s="679"/>
      <c r="W269" s="679"/>
      <c r="X269" s="681"/>
      <c r="Y269" s="681"/>
      <c r="Z269" s="679" t="s">
        <v>1367</v>
      </c>
      <c r="AA269" s="682" t="s">
        <v>389</v>
      </c>
    </row>
    <row r="270" spans="1:27" s="64" customFormat="1" x14ac:dyDescent="0.25">
      <c r="A270" s="677" t="s">
        <v>1346</v>
      </c>
      <c r="B270" s="678"/>
      <c r="C270" s="678" t="s">
        <v>1420</v>
      </c>
      <c r="D270" s="678" t="s">
        <v>1402</v>
      </c>
      <c r="E270" s="678"/>
      <c r="F270" s="678" t="s">
        <v>51</v>
      </c>
      <c r="G270" s="679" t="s">
        <v>47</v>
      </c>
      <c r="H270" s="678" t="s">
        <v>1366</v>
      </c>
      <c r="I270" s="680">
        <v>3730</v>
      </c>
      <c r="J270" s="680">
        <v>4700</v>
      </c>
      <c r="K270" s="680">
        <v>4700</v>
      </c>
      <c r="L270" s="680">
        <v>5930</v>
      </c>
      <c r="M270" s="679"/>
      <c r="N270" s="679"/>
      <c r="O270" s="679"/>
      <c r="P270" s="679"/>
      <c r="Q270" s="679"/>
      <c r="R270" s="679"/>
      <c r="S270" s="679"/>
      <c r="T270" s="679"/>
      <c r="U270" s="679"/>
      <c r="V270" s="679"/>
      <c r="W270" s="679"/>
      <c r="X270" s="681"/>
      <c r="Y270" s="681"/>
      <c r="Z270" s="679" t="s">
        <v>1367</v>
      </c>
      <c r="AA270" s="682" t="s">
        <v>389</v>
      </c>
    </row>
    <row r="271" spans="1:27" s="64" customFormat="1" x14ac:dyDescent="0.25">
      <c r="A271" s="677" t="s">
        <v>1346</v>
      </c>
      <c r="B271" s="678"/>
      <c r="C271" s="678" t="s">
        <v>1421</v>
      </c>
      <c r="D271" s="678" t="s">
        <v>1402</v>
      </c>
      <c r="E271" s="678"/>
      <c r="F271" s="678" t="s">
        <v>51</v>
      </c>
      <c r="G271" s="679" t="s">
        <v>47</v>
      </c>
      <c r="H271" s="678" t="s">
        <v>1366</v>
      </c>
      <c r="I271" s="680">
        <v>3810</v>
      </c>
      <c r="J271" s="680">
        <v>4800</v>
      </c>
      <c r="K271" s="680">
        <v>4800</v>
      </c>
      <c r="L271" s="680">
        <v>6060</v>
      </c>
      <c r="M271" s="679"/>
      <c r="N271" s="679"/>
      <c r="O271" s="679"/>
      <c r="P271" s="679"/>
      <c r="Q271" s="679"/>
      <c r="R271" s="679"/>
      <c r="S271" s="679"/>
      <c r="T271" s="679"/>
      <c r="U271" s="679"/>
      <c r="V271" s="679"/>
      <c r="W271" s="679"/>
      <c r="X271" s="681"/>
      <c r="Y271" s="681"/>
      <c r="Z271" s="679" t="s">
        <v>1367</v>
      </c>
      <c r="AA271" s="682" t="s">
        <v>389</v>
      </c>
    </row>
    <row r="272" spans="1:27" s="64" customFormat="1" x14ac:dyDescent="0.25">
      <c r="A272" s="677" t="s">
        <v>1346</v>
      </c>
      <c r="B272" s="678"/>
      <c r="C272" s="678" t="s">
        <v>1422</v>
      </c>
      <c r="D272" s="678" t="s">
        <v>1402</v>
      </c>
      <c r="E272" s="678"/>
      <c r="F272" s="678" t="s">
        <v>51</v>
      </c>
      <c r="G272" s="679" t="s">
        <v>47</v>
      </c>
      <c r="H272" s="678" t="s">
        <v>1366</v>
      </c>
      <c r="I272" s="680">
        <v>3810</v>
      </c>
      <c r="J272" s="680">
        <v>4800</v>
      </c>
      <c r="K272" s="680">
        <v>4800</v>
      </c>
      <c r="L272" s="680">
        <v>6060</v>
      </c>
      <c r="M272" s="679"/>
      <c r="N272" s="679"/>
      <c r="O272" s="679"/>
      <c r="P272" s="679"/>
      <c r="Q272" s="679"/>
      <c r="R272" s="679"/>
      <c r="S272" s="679"/>
      <c r="T272" s="679"/>
      <c r="U272" s="679"/>
      <c r="V272" s="679"/>
      <c r="W272" s="679"/>
      <c r="X272" s="681"/>
      <c r="Y272" s="681"/>
      <c r="Z272" s="679" t="s">
        <v>1367</v>
      </c>
      <c r="AA272" s="682" t="s">
        <v>389</v>
      </c>
    </row>
    <row r="273" spans="1:27" s="64" customFormat="1" x14ac:dyDescent="0.25">
      <c r="A273" s="677" t="s">
        <v>1346</v>
      </c>
      <c r="B273" s="678"/>
      <c r="C273" s="678" t="s">
        <v>1423</v>
      </c>
      <c r="D273" s="678" t="s">
        <v>1402</v>
      </c>
      <c r="E273" s="678"/>
      <c r="F273" s="678" t="s">
        <v>51</v>
      </c>
      <c r="G273" s="679" t="s">
        <v>47</v>
      </c>
      <c r="H273" s="678" t="s">
        <v>1366</v>
      </c>
      <c r="I273" s="680">
        <v>3810</v>
      </c>
      <c r="J273" s="680">
        <v>4800</v>
      </c>
      <c r="K273" s="680">
        <v>4800</v>
      </c>
      <c r="L273" s="680">
        <v>5920</v>
      </c>
      <c r="M273" s="679"/>
      <c r="N273" s="679"/>
      <c r="O273" s="679"/>
      <c r="P273" s="679"/>
      <c r="Q273" s="679"/>
      <c r="R273" s="679"/>
      <c r="S273" s="679"/>
      <c r="T273" s="679"/>
      <c r="U273" s="679"/>
      <c r="V273" s="679"/>
      <c r="W273" s="679"/>
      <c r="X273" s="681"/>
      <c r="Y273" s="681"/>
      <c r="Z273" s="679" t="s">
        <v>1367</v>
      </c>
      <c r="AA273" s="682" t="s">
        <v>389</v>
      </c>
    </row>
    <row r="274" spans="1:27" s="64" customFormat="1" x14ac:dyDescent="0.25">
      <c r="A274" s="677" t="s">
        <v>1346</v>
      </c>
      <c r="B274" s="678"/>
      <c r="C274" s="678" t="s">
        <v>1424</v>
      </c>
      <c r="D274" s="678" t="s">
        <v>1402</v>
      </c>
      <c r="E274" s="678"/>
      <c r="F274" s="678" t="s">
        <v>51</v>
      </c>
      <c r="G274" s="679" t="s">
        <v>47</v>
      </c>
      <c r="H274" s="678" t="s">
        <v>1366</v>
      </c>
      <c r="I274" s="680">
        <v>3890</v>
      </c>
      <c r="J274" s="680">
        <v>4900</v>
      </c>
      <c r="K274" s="680">
        <v>4900</v>
      </c>
      <c r="L274" s="680">
        <v>6180</v>
      </c>
      <c r="M274" s="679"/>
      <c r="N274" s="679"/>
      <c r="O274" s="679"/>
      <c r="P274" s="679"/>
      <c r="Q274" s="679"/>
      <c r="R274" s="679"/>
      <c r="S274" s="679"/>
      <c r="T274" s="679"/>
      <c r="U274" s="679"/>
      <c r="V274" s="679"/>
      <c r="W274" s="679"/>
      <c r="X274" s="681"/>
      <c r="Y274" s="681"/>
      <c r="Z274" s="679" t="s">
        <v>1367</v>
      </c>
      <c r="AA274" s="682" t="s">
        <v>389</v>
      </c>
    </row>
    <row r="275" spans="1:27" s="64" customFormat="1" x14ac:dyDescent="0.25">
      <c r="A275" s="677" t="s">
        <v>1346</v>
      </c>
      <c r="B275" s="678"/>
      <c r="C275" s="678" t="s">
        <v>1425</v>
      </c>
      <c r="D275" s="678" t="s">
        <v>1402</v>
      </c>
      <c r="E275" s="678"/>
      <c r="F275" s="678" t="s">
        <v>51</v>
      </c>
      <c r="G275" s="679" t="s">
        <v>47</v>
      </c>
      <c r="H275" s="678" t="s">
        <v>1366</v>
      </c>
      <c r="I275" s="680">
        <v>4050</v>
      </c>
      <c r="J275" s="680">
        <v>5100</v>
      </c>
      <c r="K275" s="680">
        <v>5100</v>
      </c>
      <c r="L275" s="680">
        <v>6430</v>
      </c>
      <c r="M275" s="679"/>
      <c r="N275" s="679"/>
      <c r="O275" s="679"/>
      <c r="P275" s="679"/>
      <c r="Q275" s="679"/>
      <c r="R275" s="679"/>
      <c r="S275" s="679"/>
      <c r="T275" s="679"/>
      <c r="U275" s="679"/>
      <c r="V275" s="679"/>
      <c r="W275" s="679"/>
      <c r="X275" s="681"/>
      <c r="Y275" s="681"/>
      <c r="Z275" s="679" t="s">
        <v>1367</v>
      </c>
      <c r="AA275" s="682" t="s">
        <v>389</v>
      </c>
    </row>
    <row r="276" spans="1:27" s="64" customFormat="1" x14ac:dyDescent="0.25">
      <c r="A276" s="677" t="s">
        <v>1346</v>
      </c>
      <c r="B276" s="678"/>
      <c r="C276" s="678" t="s">
        <v>1426</v>
      </c>
      <c r="D276" s="678" t="s">
        <v>1402</v>
      </c>
      <c r="E276" s="678"/>
      <c r="F276" s="678" t="s">
        <v>51</v>
      </c>
      <c r="G276" s="679" t="s">
        <v>47</v>
      </c>
      <c r="H276" s="678" t="s">
        <v>1366</v>
      </c>
      <c r="I276" s="680">
        <v>3530</v>
      </c>
      <c r="J276" s="680">
        <v>4450</v>
      </c>
      <c r="K276" s="680">
        <v>4450</v>
      </c>
      <c r="L276" s="680">
        <v>5610</v>
      </c>
      <c r="M276" s="679"/>
      <c r="N276" s="679"/>
      <c r="O276" s="679"/>
      <c r="P276" s="679"/>
      <c r="Q276" s="679"/>
      <c r="R276" s="679"/>
      <c r="S276" s="679"/>
      <c r="T276" s="679"/>
      <c r="U276" s="679"/>
      <c r="V276" s="679"/>
      <c r="W276" s="679"/>
      <c r="X276" s="681"/>
      <c r="Y276" s="681"/>
      <c r="Z276" s="679" t="s">
        <v>1367</v>
      </c>
      <c r="AA276" s="682" t="s">
        <v>389</v>
      </c>
    </row>
    <row r="277" spans="1:27" s="64" customFormat="1" x14ac:dyDescent="0.25">
      <c r="A277" s="677" t="s">
        <v>1346</v>
      </c>
      <c r="B277" s="678"/>
      <c r="C277" s="678" t="s">
        <v>1427</v>
      </c>
      <c r="D277" s="678" t="s">
        <v>1402</v>
      </c>
      <c r="E277" s="678"/>
      <c r="F277" s="678" t="s">
        <v>51</v>
      </c>
      <c r="G277" s="679" t="s">
        <v>47</v>
      </c>
      <c r="H277" s="678" t="s">
        <v>1366</v>
      </c>
      <c r="I277" s="680">
        <v>3530</v>
      </c>
      <c r="J277" s="680">
        <v>4450</v>
      </c>
      <c r="K277" s="680">
        <v>4450</v>
      </c>
      <c r="L277" s="680">
        <v>5610</v>
      </c>
      <c r="M277" s="679"/>
      <c r="N277" s="679"/>
      <c r="O277" s="679"/>
      <c r="P277" s="679"/>
      <c r="Q277" s="679"/>
      <c r="R277" s="679"/>
      <c r="S277" s="679"/>
      <c r="T277" s="679"/>
      <c r="U277" s="679"/>
      <c r="V277" s="679"/>
      <c r="W277" s="679"/>
      <c r="X277" s="681"/>
      <c r="Y277" s="681"/>
      <c r="Z277" s="679" t="s">
        <v>1367</v>
      </c>
      <c r="AA277" s="682" t="s">
        <v>389</v>
      </c>
    </row>
    <row r="278" spans="1:27" s="64" customFormat="1" x14ac:dyDescent="0.25">
      <c r="A278" s="683" t="s">
        <v>1344</v>
      </c>
      <c r="B278" s="684"/>
      <c r="C278" s="684" t="s">
        <v>1675</v>
      </c>
      <c r="D278" s="684" t="s">
        <v>1114</v>
      </c>
      <c r="E278" s="684"/>
      <c r="F278" s="684" t="s">
        <v>51</v>
      </c>
      <c r="G278" s="685" t="s">
        <v>47</v>
      </c>
      <c r="H278" s="684" t="s">
        <v>1366</v>
      </c>
      <c r="I278" s="686">
        <v>1530</v>
      </c>
      <c r="J278" s="686">
        <v>1800</v>
      </c>
      <c r="K278" s="686">
        <v>1800</v>
      </c>
      <c r="L278" s="686">
        <v>2280</v>
      </c>
      <c r="M278" s="685"/>
      <c r="N278" s="685"/>
      <c r="O278" s="685"/>
      <c r="P278" s="685"/>
      <c r="Q278" s="685"/>
      <c r="R278" s="685"/>
      <c r="S278" s="685"/>
      <c r="T278" s="685"/>
      <c r="U278" s="685"/>
      <c r="V278" s="685"/>
      <c r="W278" s="685"/>
      <c r="X278" s="687"/>
      <c r="Y278" s="687"/>
      <c r="Z278" s="685" t="s">
        <v>1367</v>
      </c>
      <c r="AA278" s="688" t="s">
        <v>304</v>
      </c>
    </row>
    <row r="279" spans="1:27" s="64" customFormat="1" x14ac:dyDescent="0.25">
      <c r="A279" s="683" t="s">
        <v>1344</v>
      </c>
      <c r="B279" s="684"/>
      <c r="C279" s="684" t="s">
        <v>1676</v>
      </c>
      <c r="D279" s="684" t="s">
        <v>1368</v>
      </c>
      <c r="E279" s="684"/>
      <c r="F279" s="684" t="s">
        <v>51</v>
      </c>
      <c r="G279" s="685" t="s">
        <v>47</v>
      </c>
      <c r="H279" s="684" t="s">
        <v>1366</v>
      </c>
      <c r="I279" s="686">
        <v>1530</v>
      </c>
      <c r="J279" s="686">
        <v>1800</v>
      </c>
      <c r="K279" s="686">
        <v>1800</v>
      </c>
      <c r="L279" s="686">
        <v>2280</v>
      </c>
      <c r="M279" s="685"/>
      <c r="N279" s="685"/>
      <c r="O279" s="685"/>
      <c r="P279" s="685"/>
      <c r="Q279" s="685"/>
      <c r="R279" s="685"/>
      <c r="S279" s="685"/>
      <c r="T279" s="685"/>
      <c r="U279" s="685"/>
      <c r="V279" s="685"/>
      <c r="W279" s="685"/>
      <c r="X279" s="687"/>
      <c r="Y279" s="687"/>
      <c r="Z279" s="685" t="s">
        <v>1367</v>
      </c>
      <c r="AA279" s="688" t="s">
        <v>304</v>
      </c>
    </row>
    <row r="280" spans="1:27" s="64" customFormat="1" x14ac:dyDescent="0.25">
      <c r="A280" s="683" t="s">
        <v>1344</v>
      </c>
      <c r="B280" s="684"/>
      <c r="C280" s="684" t="s">
        <v>1675</v>
      </c>
      <c r="D280" s="684" t="s">
        <v>1114</v>
      </c>
      <c r="E280" s="684" t="s">
        <v>1369</v>
      </c>
      <c r="F280" s="684" t="s">
        <v>53</v>
      </c>
      <c r="G280" s="685" t="s">
        <v>47</v>
      </c>
      <c r="H280" s="684" t="s">
        <v>1366</v>
      </c>
      <c r="I280" s="686">
        <v>3530</v>
      </c>
      <c r="J280" s="686">
        <v>4150</v>
      </c>
      <c r="K280" s="686">
        <v>4150</v>
      </c>
      <c r="L280" s="686">
        <v>5255</v>
      </c>
      <c r="M280" s="685"/>
      <c r="N280" s="685"/>
      <c r="O280" s="685"/>
      <c r="P280" s="685"/>
      <c r="Q280" s="685"/>
      <c r="R280" s="685"/>
      <c r="S280" s="685"/>
      <c r="T280" s="685"/>
      <c r="U280" s="685"/>
      <c r="V280" s="685"/>
      <c r="W280" s="685"/>
      <c r="X280" s="687"/>
      <c r="Y280" s="687"/>
      <c r="Z280" s="685" t="s">
        <v>1367</v>
      </c>
      <c r="AA280" s="688" t="s">
        <v>304</v>
      </c>
    </row>
    <row r="281" spans="1:27" s="64" customFormat="1" x14ac:dyDescent="0.25">
      <c r="A281" s="683" t="s">
        <v>1344</v>
      </c>
      <c r="B281" s="684"/>
      <c r="C281" s="684" t="s">
        <v>1675</v>
      </c>
      <c r="D281" s="684" t="s">
        <v>1114</v>
      </c>
      <c r="E281" s="684" t="s">
        <v>1370</v>
      </c>
      <c r="F281" s="684" t="s">
        <v>53</v>
      </c>
      <c r="G281" s="685" t="s">
        <v>47</v>
      </c>
      <c r="H281" s="684" t="s">
        <v>1366</v>
      </c>
      <c r="I281" s="686">
        <v>4040</v>
      </c>
      <c r="J281" s="686">
        <v>4750</v>
      </c>
      <c r="K281" s="686">
        <v>4750</v>
      </c>
      <c r="L281" s="686">
        <v>6015</v>
      </c>
      <c r="M281" s="685"/>
      <c r="N281" s="685"/>
      <c r="O281" s="685"/>
      <c r="P281" s="685"/>
      <c r="Q281" s="685"/>
      <c r="R281" s="685"/>
      <c r="S281" s="685"/>
      <c r="T281" s="685"/>
      <c r="U281" s="685"/>
      <c r="V281" s="685"/>
      <c r="W281" s="685"/>
      <c r="X281" s="687"/>
      <c r="Y281" s="687"/>
      <c r="Z281" s="685" t="s">
        <v>1367</v>
      </c>
      <c r="AA281" s="688" t="s">
        <v>304</v>
      </c>
    </row>
    <row r="282" spans="1:27" s="64" customFormat="1" x14ac:dyDescent="0.25">
      <c r="A282" s="683" t="s">
        <v>1344</v>
      </c>
      <c r="B282" s="684"/>
      <c r="C282" s="684" t="s">
        <v>1675</v>
      </c>
      <c r="D282" s="684" t="s">
        <v>1114</v>
      </c>
      <c r="E282" s="684" t="s">
        <v>1371</v>
      </c>
      <c r="F282" s="684" t="s">
        <v>53</v>
      </c>
      <c r="G282" s="685" t="s">
        <v>47</v>
      </c>
      <c r="H282" s="684" t="s">
        <v>1366</v>
      </c>
      <c r="I282" s="686">
        <v>4040</v>
      </c>
      <c r="J282" s="686">
        <v>4750</v>
      </c>
      <c r="K282" s="686">
        <v>4750</v>
      </c>
      <c r="L282" s="686">
        <v>6015</v>
      </c>
      <c r="M282" s="685"/>
      <c r="N282" s="685"/>
      <c r="O282" s="685"/>
      <c r="P282" s="685"/>
      <c r="Q282" s="685"/>
      <c r="R282" s="685"/>
      <c r="S282" s="685"/>
      <c r="T282" s="685"/>
      <c r="U282" s="685"/>
      <c r="V282" s="685"/>
      <c r="W282" s="685"/>
      <c r="X282" s="687"/>
      <c r="Y282" s="687"/>
      <c r="Z282" s="685" t="s">
        <v>1367</v>
      </c>
      <c r="AA282" s="688" t="s">
        <v>304</v>
      </c>
    </row>
    <row r="283" spans="1:27" s="64" customFormat="1" x14ac:dyDescent="0.25">
      <c r="A283" s="683" t="s">
        <v>1344</v>
      </c>
      <c r="B283" s="684"/>
      <c r="C283" s="684" t="s">
        <v>1675</v>
      </c>
      <c r="D283" s="684" t="s">
        <v>1114</v>
      </c>
      <c r="E283" s="684" t="s">
        <v>1372</v>
      </c>
      <c r="F283" s="684" t="s">
        <v>53</v>
      </c>
      <c r="G283" s="685" t="s">
        <v>47</v>
      </c>
      <c r="H283" s="684" t="s">
        <v>1366</v>
      </c>
      <c r="I283" s="686">
        <v>4040</v>
      </c>
      <c r="J283" s="686">
        <v>4750</v>
      </c>
      <c r="K283" s="686">
        <v>4750</v>
      </c>
      <c r="L283" s="686">
        <v>6015</v>
      </c>
      <c r="M283" s="685"/>
      <c r="N283" s="685"/>
      <c r="O283" s="685"/>
      <c r="P283" s="685"/>
      <c r="Q283" s="685"/>
      <c r="R283" s="685"/>
      <c r="S283" s="685"/>
      <c r="T283" s="685"/>
      <c r="U283" s="685"/>
      <c r="V283" s="685"/>
      <c r="W283" s="685"/>
      <c r="X283" s="687"/>
      <c r="Y283" s="687"/>
      <c r="Z283" s="685" t="s">
        <v>1367</v>
      </c>
      <c r="AA283" s="688" t="s">
        <v>304</v>
      </c>
    </row>
    <row r="284" spans="1:27" s="64" customFormat="1" x14ac:dyDescent="0.25">
      <c r="A284" s="683" t="s">
        <v>1344</v>
      </c>
      <c r="B284" s="684"/>
      <c r="C284" s="684" t="s">
        <v>1675</v>
      </c>
      <c r="D284" s="684" t="s">
        <v>1114</v>
      </c>
      <c r="E284" s="684" t="s">
        <v>1373</v>
      </c>
      <c r="F284" s="684" t="s">
        <v>53</v>
      </c>
      <c r="G284" s="685" t="s">
        <v>47</v>
      </c>
      <c r="H284" s="684" t="s">
        <v>1366</v>
      </c>
      <c r="I284" s="686">
        <v>3530</v>
      </c>
      <c r="J284" s="686">
        <v>4150</v>
      </c>
      <c r="K284" s="686">
        <v>4150</v>
      </c>
      <c r="L284" s="686">
        <v>5255</v>
      </c>
      <c r="M284" s="685"/>
      <c r="N284" s="685"/>
      <c r="O284" s="685"/>
      <c r="P284" s="685"/>
      <c r="Q284" s="685"/>
      <c r="R284" s="685"/>
      <c r="S284" s="685"/>
      <c r="T284" s="685"/>
      <c r="U284" s="685"/>
      <c r="V284" s="685"/>
      <c r="W284" s="685"/>
      <c r="X284" s="687"/>
      <c r="Y284" s="687"/>
      <c r="Z284" s="685" t="s">
        <v>1367</v>
      </c>
      <c r="AA284" s="688" t="s">
        <v>304</v>
      </c>
    </row>
    <row r="285" spans="1:27" s="64" customFormat="1" x14ac:dyDescent="0.25">
      <c r="A285" s="683" t="s">
        <v>1344</v>
      </c>
      <c r="B285" s="684"/>
      <c r="C285" s="684" t="s">
        <v>1675</v>
      </c>
      <c r="D285" s="684" t="s">
        <v>1114</v>
      </c>
      <c r="E285" s="684" t="s">
        <v>1374</v>
      </c>
      <c r="F285" s="684" t="s">
        <v>53</v>
      </c>
      <c r="G285" s="685" t="s">
        <v>47</v>
      </c>
      <c r="H285" s="684" t="s">
        <v>1366</v>
      </c>
      <c r="I285" s="686">
        <v>4210</v>
      </c>
      <c r="J285" s="686">
        <v>4950</v>
      </c>
      <c r="K285" s="686">
        <v>4950</v>
      </c>
      <c r="L285" s="686">
        <v>6265</v>
      </c>
      <c r="M285" s="685"/>
      <c r="N285" s="685"/>
      <c r="O285" s="685"/>
      <c r="P285" s="685"/>
      <c r="Q285" s="685"/>
      <c r="R285" s="685"/>
      <c r="S285" s="685"/>
      <c r="T285" s="685"/>
      <c r="U285" s="685"/>
      <c r="V285" s="685"/>
      <c r="W285" s="685"/>
      <c r="X285" s="687"/>
      <c r="Y285" s="687"/>
      <c r="Z285" s="685" t="s">
        <v>1367</v>
      </c>
      <c r="AA285" s="688" t="s">
        <v>304</v>
      </c>
    </row>
    <row r="286" spans="1:27" s="64" customFormat="1" x14ac:dyDescent="0.25">
      <c r="A286" s="683" t="s">
        <v>1344</v>
      </c>
      <c r="B286" s="684"/>
      <c r="C286" s="684" t="s">
        <v>1675</v>
      </c>
      <c r="D286" s="684" t="s">
        <v>1114</v>
      </c>
      <c r="E286" s="684" t="s">
        <v>1375</v>
      </c>
      <c r="F286" s="684" t="s">
        <v>53</v>
      </c>
      <c r="G286" s="685" t="s">
        <v>47</v>
      </c>
      <c r="H286" s="684" t="s">
        <v>1366</v>
      </c>
      <c r="I286" s="686">
        <v>4380</v>
      </c>
      <c r="J286" s="686">
        <v>5150</v>
      </c>
      <c r="K286" s="686">
        <v>5150</v>
      </c>
      <c r="L286" s="686">
        <v>6520</v>
      </c>
      <c r="M286" s="685"/>
      <c r="N286" s="685"/>
      <c r="O286" s="685"/>
      <c r="P286" s="685"/>
      <c r="Q286" s="685"/>
      <c r="R286" s="685"/>
      <c r="S286" s="685"/>
      <c r="T286" s="685"/>
      <c r="U286" s="685"/>
      <c r="V286" s="685"/>
      <c r="W286" s="685"/>
      <c r="X286" s="687"/>
      <c r="Y286" s="687"/>
      <c r="Z286" s="685" t="s">
        <v>1367</v>
      </c>
      <c r="AA286" s="688" t="s">
        <v>304</v>
      </c>
    </row>
    <row r="287" spans="1:27" s="64" customFormat="1" x14ac:dyDescent="0.25">
      <c r="A287" s="683" t="s">
        <v>1344</v>
      </c>
      <c r="B287" s="684"/>
      <c r="C287" s="684" t="s">
        <v>1675</v>
      </c>
      <c r="D287" s="684" t="s">
        <v>1114</v>
      </c>
      <c r="E287" s="684" t="s">
        <v>1376</v>
      </c>
      <c r="F287" s="684" t="s">
        <v>53</v>
      </c>
      <c r="G287" s="685" t="s">
        <v>47</v>
      </c>
      <c r="H287" s="684" t="s">
        <v>1366</v>
      </c>
      <c r="I287" s="686">
        <v>3785</v>
      </c>
      <c r="J287" s="686">
        <v>4450</v>
      </c>
      <c r="K287" s="686">
        <v>4450</v>
      </c>
      <c r="L287" s="686">
        <v>5635</v>
      </c>
      <c r="M287" s="685"/>
      <c r="N287" s="685"/>
      <c r="O287" s="685"/>
      <c r="P287" s="685"/>
      <c r="Q287" s="685"/>
      <c r="R287" s="685"/>
      <c r="S287" s="685"/>
      <c r="T287" s="685"/>
      <c r="U287" s="685"/>
      <c r="V287" s="685"/>
      <c r="W287" s="685"/>
      <c r="X287" s="687"/>
      <c r="Y287" s="687"/>
      <c r="Z287" s="685" t="s">
        <v>1367</v>
      </c>
      <c r="AA287" s="688" t="s">
        <v>304</v>
      </c>
    </row>
    <row r="288" spans="1:27" s="64" customFormat="1" x14ac:dyDescent="0.25">
      <c r="A288" s="683" t="s">
        <v>1344</v>
      </c>
      <c r="B288" s="684"/>
      <c r="C288" s="684" t="s">
        <v>1675</v>
      </c>
      <c r="D288" s="684" t="s">
        <v>1114</v>
      </c>
      <c r="E288" s="684" t="s">
        <v>1377</v>
      </c>
      <c r="F288" s="684" t="s">
        <v>53</v>
      </c>
      <c r="G288" s="685" t="s">
        <v>47</v>
      </c>
      <c r="H288" s="684" t="s">
        <v>1366</v>
      </c>
      <c r="I288" s="686">
        <v>3870</v>
      </c>
      <c r="J288" s="686">
        <v>4550</v>
      </c>
      <c r="K288" s="686">
        <v>4550</v>
      </c>
      <c r="L288" s="686">
        <v>5760</v>
      </c>
      <c r="M288" s="685"/>
      <c r="N288" s="685"/>
      <c r="O288" s="685"/>
      <c r="P288" s="685"/>
      <c r="Q288" s="685"/>
      <c r="R288" s="685"/>
      <c r="S288" s="685"/>
      <c r="T288" s="685"/>
      <c r="U288" s="685"/>
      <c r="V288" s="685"/>
      <c r="W288" s="685"/>
      <c r="X288" s="687"/>
      <c r="Y288" s="687"/>
      <c r="Z288" s="685" t="s">
        <v>1367</v>
      </c>
      <c r="AA288" s="688" t="s">
        <v>304</v>
      </c>
    </row>
    <row r="289" spans="1:27" s="64" customFormat="1" x14ac:dyDescent="0.25">
      <c r="A289" s="683" t="s">
        <v>1344</v>
      </c>
      <c r="B289" s="684"/>
      <c r="C289" s="684" t="s">
        <v>1675</v>
      </c>
      <c r="D289" s="684" t="s">
        <v>1114</v>
      </c>
      <c r="E289" s="684" t="s">
        <v>1378</v>
      </c>
      <c r="F289" s="684" t="s">
        <v>120</v>
      </c>
      <c r="G289" s="685" t="s">
        <v>49</v>
      </c>
      <c r="H289" s="684" t="s">
        <v>1366</v>
      </c>
      <c r="I289" s="686">
        <v>6080</v>
      </c>
      <c r="J289" s="686">
        <v>7150</v>
      </c>
      <c r="K289" s="686">
        <v>7150</v>
      </c>
      <c r="L289" s="686">
        <v>9050</v>
      </c>
      <c r="M289" s="685"/>
      <c r="N289" s="685"/>
      <c r="O289" s="685"/>
      <c r="P289" s="685"/>
      <c r="Q289" s="685"/>
      <c r="R289" s="685"/>
      <c r="S289" s="685"/>
      <c r="T289" s="685"/>
      <c r="U289" s="685"/>
      <c r="V289" s="685"/>
      <c r="W289" s="685"/>
      <c r="X289" s="687"/>
      <c r="Y289" s="687"/>
      <c r="Z289" s="685" t="s">
        <v>1367</v>
      </c>
      <c r="AA289" s="688" t="s">
        <v>304</v>
      </c>
    </row>
    <row r="290" spans="1:27" s="64" customFormat="1" x14ac:dyDescent="0.25">
      <c r="A290" s="683" t="s">
        <v>1344</v>
      </c>
      <c r="B290" s="684"/>
      <c r="C290" s="684" t="s">
        <v>1675</v>
      </c>
      <c r="D290" s="684" t="s">
        <v>1114</v>
      </c>
      <c r="E290" s="684" t="s">
        <v>1379</v>
      </c>
      <c r="F290" s="684" t="s">
        <v>53</v>
      </c>
      <c r="G290" s="685" t="s">
        <v>47</v>
      </c>
      <c r="H290" s="684" t="s">
        <v>1366</v>
      </c>
      <c r="I290" s="686">
        <v>3530</v>
      </c>
      <c r="J290" s="686">
        <v>4150</v>
      </c>
      <c r="K290" s="686">
        <v>4150</v>
      </c>
      <c r="L290" s="686">
        <v>5255</v>
      </c>
      <c r="M290" s="685"/>
      <c r="N290" s="685"/>
      <c r="O290" s="685"/>
      <c r="P290" s="685"/>
      <c r="Q290" s="685"/>
      <c r="R290" s="685"/>
      <c r="S290" s="685"/>
      <c r="T290" s="685"/>
      <c r="U290" s="685"/>
      <c r="V290" s="685"/>
      <c r="W290" s="685"/>
      <c r="X290" s="687"/>
      <c r="Y290" s="687"/>
      <c r="Z290" s="685" t="s">
        <v>1367</v>
      </c>
      <c r="AA290" s="688" t="s">
        <v>304</v>
      </c>
    </row>
    <row r="291" spans="1:27" s="64" customFormat="1" x14ac:dyDescent="0.25">
      <c r="A291" s="683" t="s">
        <v>1344</v>
      </c>
      <c r="B291" s="684"/>
      <c r="C291" s="684" t="s">
        <v>1675</v>
      </c>
      <c r="D291" s="684" t="s">
        <v>1114</v>
      </c>
      <c r="E291" s="684" t="s">
        <v>1380</v>
      </c>
      <c r="F291" s="684" t="s">
        <v>53</v>
      </c>
      <c r="G291" s="685" t="s">
        <v>47</v>
      </c>
      <c r="H291" s="684" t="s">
        <v>1366</v>
      </c>
      <c r="I291" s="686">
        <v>4380</v>
      </c>
      <c r="J291" s="686">
        <v>5150</v>
      </c>
      <c r="K291" s="686">
        <v>5150</v>
      </c>
      <c r="L291" s="686">
        <v>6520</v>
      </c>
      <c r="M291" s="685"/>
      <c r="N291" s="685"/>
      <c r="O291" s="685"/>
      <c r="P291" s="685"/>
      <c r="Q291" s="685"/>
      <c r="R291" s="685"/>
      <c r="S291" s="685"/>
      <c r="T291" s="685"/>
      <c r="U291" s="685"/>
      <c r="V291" s="685"/>
      <c r="W291" s="685"/>
      <c r="X291" s="687"/>
      <c r="Y291" s="687"/>
      <c r="Z291" s="685" t="s">
        <v>1367</v>
      </c>
      <c r="AA291" s="688" t="s">
        <v>304</v>
      </c>
    </row>
    <row r="292" spans="1:27" s="64" customFormat="1" x14ac:dyDescent="0.25">
      <c r="A292" s="683" t="s">
        <v>1344</v>
      </c>
      <c r="B292" s="684"/>
      <c r="C292" s="684" t="s">
        <v>1675</v>
      </c>
      <c r="D292" s="684" t="s">
        <v>1114</v>
      </c>
      <c r="E292" s="684" t="s">
        <v>1382</v>
      </c>
      <c r="F292" s="684" t="s">
        <v>53</v>
      </c>
      <c r="G292" s="685" t="s">
        <v>47</v>
      </c>
      <c r="H292" s="684" t="s">
        <v>1366</v>
      </c>
      <c r="I292" s="686">
        <v>3615</v>
      </c>
      <c r="J292" s="686">
        <v>4250</v>
      </c>
      <c r="K292" s="686">
        <v>4250</v>
      </c>
      <c r="L292" s="686">
        <v>5380</v>
      </c>
      <c r="M292" s="685"/>
      <c r="N292" s="685"/>
      <c r="O292" s="685"/>
      <c r="P292" s="685"/>
      <c r="Q292" s="685"/>
      <c r="R292" s="685"/>
      <c r="S292" s="685"/>
      <c r="T292" s="685"/>
      <c r="U292" s="685"/>
      <c r="V292" s="685"/>
      <c r="W292" s="685"/>
      <c r="X292" s="687"/>
      <c r="Y292" s="687"/>
      <c r="Z292" s="685" t="s">
        <v>1367</v>
      </c>
      <c r="AA292" s="688" t="s">
        <v>304</v>
      </c>
    </row>
    <row r="293" spans="1:27" s="64" customFormat="1" x14ac:dyDescent="0.25">
      <c r="A293" s="683" t="s">
        <v>1344</v>
      </c>
      <c r="B293" s="684"/>
      <c r="C293" s="684" t="s">
        <v>1675</v>
      </c>
      <c r="D293" s="684" t="s">
        <v>1114</v>
      </c>
      <c r="E293" s="684" t="s">
        <v>1383</v>
      </c>
      <c r="F293" s="684" t="s">
        <v>53</v>
      </c>
      <c r="G293" s="685" t="s">
        <v>47</v>
      </c>
      <c r="H293" s="684" t="s">
        <v>1366</v>
      </c>
      <c r="I293" s="686">
        <v>3615</v>
      </c>
      <c r="J293" s="686">
        <v>4250</v>
      </c>
      <c r="K293" s="686">
        <v>4250</v>
      </c>
      <c r="L293" s="686">
        <v>5380</v>
      </c>
      <c r="M293" s="685"/>
      <c r="N293" s="685"/>
      <c r="O293" s="685"/>
      <c r="P293" s="685"/>
      <c r="Q293" s="685"/>
      <c r="R293" s="685"/>
      <c r="S293" s="685"/>
      <c r="T293" s="685"/>
      <c r="U293" s="685"/>
      <c r="V293" s="685"/>
      <c r="W293" s="685"/>
      <c r="X293" s="687"/>
      <c r="Y293" s="687"/>
      <c r="Z293" s="685" t="s">
        <v>1367</v>
      </c>
      <c r="AA293" s="688" t="s">
        <v>304</v>
      </c>
    </row>
    <row r="294" spans="1:27" s="64" customFormat="1" x14ac:dyDescent="0.25">
      <c r="A294" s="683" t="s">
        <v>1344</v>
      </c>
      <c r="B294" s="684"/>
      <c r="C294" s="684" t="s">
        <v>1675</v>
      </c>
      <c r="D294" s="684" t="s">
        <v>1114</v>
      </c>
      <c r="E294" s="684" t="s">
        <v>1384</v>
      </c>
      <c r="F294" s="684" t="s">
        <v>53</v>
      </c>
      <c r="G294" s="685" t="s">
        <v>47</v>
      </c>
      <c r="H294" s="684" t="s">
        <v>1366</v>
      </c>
      <c r="I294" s="686">
        <v>3700</v>
      </c>
      <c r="J294" s="686">
        <v>4350</v>
      </c>
      <c r="K294" s="686">
        <v>4350</v>
      </c>
      <c r="L294" s="686">
        <v>5505</v>
      </c>
      <c r="M294" s="685"/>
      <c r="N294" s="685"/>
      <c r="O294" s="685"/>
      <c r="P294" s="685"/>
      <c r="Q294" s="685"/>
      <c r="R294" s="685"/>
      <c r="S294" s="685"/>
      <c r="T294" s="685"/>
      <c r="U294" s="685"/>
      <c r="V294" s="685"/>
      <c r="W294" s="685"/>
      <c r="X294" s="687"/>
      <c r="Y294" s="687"/>
      <c r="Z294" s="685" t="s">
        <v>1367</v>
      </c>
      <c r="AA294" s="688" t="s">
        <v>304</v>
      </c>
    </row>
    <row r="295" spans="1:27" s="64" customFormat="1" x14ac:dyDescent="0.25">
      <c r="A295" s="683" t="s">
        <v>1344</v>
      </c>
      <c r="B295" s="684"/>
      <c r="C295" s="684" t="s">
        <v>1676</v>
      </c>
      <c r="D295" s="684" t="s">
        <v>1368</v>
      </c>
      <c r="E295" s="684" t="s">
        <v>1384</v>
      </c>
      <c r="F295" s="684" t="s">
        <v>53</v>
      </c>
      <c r="G295" s="685" t="s">
        <v>47</v>
      </c>
      <c r="H295" s="684" t="s">
        <v>1366</v>
      </c>
      <c r="I295" s="686">
        <v>3445</v>
      </c>
      <c r="J295" s="686">
        <v>4050</v>
      </c>
      <c r="K295" s="686">
        <v>4050</v>
      </c>
      <c r="L295" s="686">
        <v>5125</v>
      </c>
      <c r="M295" s="685"/>
      <c r="N295" s="685"/>
      <c r="O295" s="685"/>
      <c r="P295" s="685"/>
      <c r="Q295" s="685"/>
      <c r="R295" s="685"/>
      <c r="S295" s="685"/>
      <c r="T295" s="685"/>
      <c r="U295" s="685"/>
      <c r="V295" s="685"/>
      <c r="W295" s="685"/>
      <c r="X295" s="687"/>
      <c r="Y295" s="687"/>
      <c r="Z295" s="685" t="s">
        <v>1367</v>
      </c>
      <c r="AA295" s="688" t="s">
        <v>304</v>
      </c>
    </row>
    <row r="296" spans="1:27" s="64" customFormat="1" x14ac:dyDescent="0.25">
      <c r="A296" s="683" t="s">
        <v>1344</v>
      </c>
      <c r="B296" s="684"/>
      <c r="C296" s="684" t="s">
        <v>1675</v>
      </c>
      <c r="D296" s="684" t="s">
        <v>1114</v>
      </c>
      <c r="E296" s="684" t="s">
        <v>1385</v>
      </c>
      <c r="F296" s="684" t="s">
        <v>53</v>
      </c>
      <c r="G296" s="685" t="s">
        <v>47</v>
      </c>
      <c r="H296" s="684" t="s">
        <v>1366</v>
      </c>
      <c r="I296" s="686">
        <v>4805</v>
      </c>
      <c r="J296" s="686">
        <v>5650</v>
      </c>
      <c r="K296" s="686">
        <v>5650</v>
      </c>
      <c r="L296" s="686">
        <v>7155</v>
      </c>
      <c r="M296" s="685"/>
      <c r="N296" s="685"/>
      <c r="O296" s="685"/>
      <c r="P296" s="685"/>
      <c r="Q296" s="685"/>
      <c r="R296" s="685"/>
      <c r="S296" s="685"/>
      <c r="T296" s="685"/>
      <c r="U296" s="685"/>
      <c r="V296" s="685"/>
      <c r="W296" s="685"/>
      <c r="X296" s="687"/>
      <c r="Y296" s="687"/>
      <c r="Z296" s="685" t="s">
        <v>1367</v>
      </c>
      <c r="AA296" s="688" t="s">
        <v>304</v>
      </c>
    </row>
    <row r="297" spans="1:27" s="64" customFormat="1" x14ac:dyDescent="0.25">
      <c r="A297" s="683" t="s">
        <v>1344</v>
      </c>
      <c r="B297" s="684"/>
      <c r="C297" s="684" t="s">
        <v>1675</v>
      </c>
      <c r="D297" s="684" t="s">
        <v>1114</v>
      </c>
      <c r="E297" s="684" t="s">
        <v>1386</v>
      </c>
      <c r="F297" s="684" t="s">
        <v>53</v>
      </c>
      <c r="G297" s="685" t="s">
        <v>47</v>
      </c>
      <c r="H297" s="684" t="s">
        <v>1366</v>
      </c>
      <c r="I297" s="686">
        <v>4210</v>
      </c>
      <c r="J297" s="686">
        <v>4950</v>
      </c>
      <c r="K297" s="686">
        <v>4950</v>
      </c>
      <c r="L297" s="686">
        <v>6265</v>
      </c>
      <c r="M297" s="685"/>
      <c r="N297" s="685"/>
      <c r="O297" s="685"/>
      <c r="P297" s="685"/>
      <c r="Q297" s="685"/>
      <c r="R297" s="685"/>
      <c r="S297" s="685"/>
      <c r="T297" s="685"/>
      <c r="U297" s="685"/>
      <c r="V297" s="685"/>
      <c r="W297" s="685"/>
      <c r="X297" s="687"/>
      <c r="Y297" s="687"/>
      <c r="Z297" s="685" t="s">
        <v>1367</v>
      </c>
      <c r="AA297" s="688" t="s">
        <v>304</v>
      </c>
    </row>
    <row r="298" spans="1:27" s="64" customFormat="1" x14ac:dyDescent="0.25">
      <c r="A298" s="683" t="s">
        <v>1344</v>
      </c>
      <c r="B298" s="684"/>
      <c r="C298" s="684" t="s">
        <v>1675</v>
      </c>
      <c r="D298" s="684" t="s">
        <v>1114</v>
      </c>
      <c r="E298" s="684" t="s">
        <v>1387</v>
      </c>
      <c r="F298" s="684" t="s">
        <v>53</v>
      </c>
      <c r="G298" s="685" t="s">
        <v>47</v>
      </c>
      <c r="H298" s="684" t="s">
        <v>1366</v>
      </c>
      <c r="I298" s="686">
        <v>5400</v>
      </c>
      <c r="J298" s="686">
        <v>6350</v>
      </c>
      <c r="K298" s="686">
        <v>6350</v>
      </c>
      <c r="L298" s="686">
        <v>8040</v>
      </c>
      <c r="M298" s="685"/>
      <c r="N298" s="685"/>
      <c r="O298" s="685"/>
      <c r="P298" s="685"/>
      <c r="Q298" s="685"/>
      <c r="R298" s="685"/>
      <c r="S298" s="685"/>
      <c r="T298" s="685"/>
      <c r="U298" s="685"/>
      <c r="V298" s="685"/>
      <c r="W298" s="685"/>
      <c r="X298" s="687"/>
      <c r="Y298" s="687"/>
      <c r="Z298" s="685" t="s">
        <v>1367</v>
      </c>
      <c r="AA298" s="688" t="s">
        <v>304</v>
      </c>
    </row>
    <row r="299" spans="1:27" s="64" customFormat="1" x14ac:dyDescent="0.25">
      <c r="A299" s="683" t="s">
        <v>1344</v>
      </c>
      <c r="B299" s="684"/>
      <c r="C299" s="684" t="s">
        <v>1675</v>
      </c>
      <c r="D299" s="684" t="s">
        <v>1114</v>
      </c>
      <c r="E299" s="684" t="s">
        <v>1388</v>
      </c>
      <c r="F299" s="684" t="s">
        <v>53</v>
      </c>
      <c r="G299" s="685" t="s">
        <v>47</v>
      </c>
      <c r="H299" s="684" t="s">
        <v>1366</v>
      </c>
      <c r="I299" s="686">
        <v>5400</v>
      </c>
      <c r="J299" s="686">
        <v>6350</v>
      </c>
      <c r="K299" s="686">
        <v>6350</v>
      </c>
      <c r="L299" s="686">
        <v>8040</v>
      </c>
      <c r="M299" s="685"/>
      <c r="N299" s="685"/>
      <c r="O299" s="685"/>
      <c r="P299" s="685"/>
      <c r="Q299" s="685"/>
      <c r="R299" s="685"/>
      <c r="S299" s="685"/>
      <c r="T299" s="685"/>
      <c r="U299" s="685"/>
      <c r="V299" s="685"/>
      <c r="W299" s="685"/>
      <c r="X299" s="687"/>
      <c r="Y299" s="687"/>
      <c r="Z299" s="685" t="s">
        <v>1367</v>
      </c>
      <c r="AA299" s="688" t="s">
        <v>304</v>
      </c>
    </row>
    <row r="300" spans="1:27" s="64" customFormat="1" x14ac:dyDescent="0.25">
      <c r="A300" s="683" t="s">
        <v>1344</v>
      </c>
      <c r="B300" s="684"/>
      <c r="C300" s="684" t="s">
        <v>1675</v>
      </c>
      <c r="D300" s="684" t="s">
        <v>1114</v>
      </c>
      <c r="E300" s="684" t="s">
        <v>1389</v>
      </c>
      <c r="F300" s="684" t="s">
        <v>53</v>
      </c>
      <c r="G300" s="685" t="s">
        <v>47</v>
      </c>
      <c r="H300" s="684" t="s">
        <v>1366</v>
      </c>
      <c r="I300" s="686">
        <v>5400</v>
      </c>
      <c r="J300" s="686">
        <v>6350</v>
      </c>
      <c r="K300" s="686">
        <v>6350</v>
      </c>
      <c r="L300" s="686">
        <v>8040</v>
      </c>
      <c r="M300" s="685"/>
      <c r="N300" s="685"/>
      <c r="O300" s="685"/>
      <c r="P300" s="685"/>
      <c r="Q300" s="685"/>
      <c r="R300" s="685"/>
      <c r="S300" s="685"/>
      <c r="T300" s="685"/>
      <c r="U300" s="685"/>
      <c r="V300" s="685"/>
      <c r="W300" s="685"/>
      <c r="X300" s="687"/>
      <c r="Y300" s="687"/>
      <c r="Z300" s="685" t="s">
        <v>1367</v>
      </c>
      <c r="AA300" s="688" t="s">
        <v>304</v>
      </c>
    </row>
    <row r="301" spans="1:27" s="64" customFormat="1" x14ac:dyDescent="0.25">
      <c r="A301" s="683" t="s">
        <v>1344</v>
      </c>
      <c r="B301" s="684"/>
      <c r="C301" s="684" t="s">
        <v>1675</v>
      </c>
      <c r="D301" s="684" t="s">
        <v>1114</v>
      </c>
      <c r="E301" s="684" t="s">
        <v>1390</v>
      </c>
      <c r="F301" s="684" t="s">
        <v>53</v>
      </c>
      <c r="G301" s="685" t="s">
        <v>47</v>
      </c>
      <c r="H301" s="684" t="s">
        <v>1366</v>
      </c>
      <c r="I301" s="686">
        <v>5400</v>
      </c>
      <c r="J301" s="686">
        <v>6350</v>
      </c>
      <c r="K301" s="686">
        <v>6350</v>
      </c>
      <c r="L301" s="686">
        <v>8040</v>
      </c>
      <c r="M301" s="685"/>
      <c r="N301" s="685"/>
      <c r="O301" s="685"/>
      <c r="P301" s="685"/>
      <c r="Q301" s="685"/>
      <c r="R301" s="685"/>
      <c r="S301" s="685"/>
      <c r="T301" s="685"/>
      <c r="U301" s="685"/>
      <c r="V301" s="685"/>
      <c r="W301" s="685"/>
      <c r="X301" s="687"/>
      <c r="Y301" s="687"/>
      <c r="Z301" s="685" t="s">
        <v>1367</v>
      </c>
      <c r="AA301" s="688" t="s">
        <v>304</v>
      </c>
    </row>
    <row r="302" spans="1:27" s="64" customFormat="1" x14ac:dyDescent="0.25">
      <c r="A302" s="683" t="s">
        <v>1344</v>
      </c>
      <c r="B302" s="684"/>
      <c r="C302" s="684" t="s">
        <v>1675</v>
      </c>
      <c r="D302" s="684" t="s">
        <v>1114</v>
      </c>
      <c r="E302" s="684" t="s">
        <v>1391</v>
      </c>
      <c r="F302" s="684" t="s">
        <v>53</v>
      </c>
      <c r="G302" s="685" t="s">
        <v>47</v>
      </c>
      <c r="H302" s="684" t="s">
        <v>1366</v>
      </c>
      <c r="I302" s="686">
        <v>5400</v>
      </c>
      <c r="J302" s="686">
        <v>6350</v>
      </c>
      <c r="K302" s="686">
        <v>6350</v>
      </c>
      <c r="L302" s="686">
        <v>8040</v>
      </c>
      <c r="M302" s="685"/>
      <c r="N302" s="685"/>
      <c r="O302" s="685"/>
      <c r="P302" s="685"/>
      <c r="Q302" s="685"/>
      <c r="R302" s="685"/>
      <c r="S302" s="685"/>
      <c r="T302" s="685"/>
      <c r="U302" s="685"/>
      <c r="V302" s="685"/>
      <c r="W302" s="685"/>
      <c r="X302" s="687"/>
      <c r="Y302" s="687"/>
      <c r="Z302" s="685" t="s">
        <v>1367</v>
      </c>
      <c r="AA302" s="688" t="s">
        <v>304</v>
      </c>
    </row>
    <row r="303" spans="1:27" s="64" customFormat="1" x14ac:dyDescent="0.25">
      <c r="A303" s="683" t="s">
        <v>1344</v>
      </c>
      <c r="B303" s="684"/>
      <c r="C303" s="684" t="s">
        <v>1677</v>
      </c>
      <c r="D303" s="684" t="s">
        <v>1114</v>
      </c>
      <c r="E303" s="684"/>
      <c r="F303" s="684" t="s">
        <v>51</v>
      </c>
      <c r="G303" s="685" t="s">
        <v>47</v>
      </c>
      <c r="H303" s="684" t="s">
        <v>1366</v>
      </c>
      <c r="I303" s="686">
        <v>1530</v>
      </c>
      <c r="J303" s="686">
        <v>1800</v>
      </c>
      <c r="K303" s="686">
        <v>1800</v>
      </c>
      <c r="L303" s="686">
        <v>2280</v>
      </c>
      <c r="M303" s="685"/>
      <c r="N303" s="685"/>
      <c r="O303" s="685"/>
      <c r="P303" s="685"/>
      <c r="Q303" s="685"/>
      <c r="R303" s="685"/>
      <c r="S303" s="685"/>
      <c r="T303" s="685"/>
      <c r="U303" s="685"/>
      <c r="V303" s="685"/>
      <c r="W303" s="685"/>
      <c r="X303" s="687"/>
      <c r="Y303" s="687"/>
      <c r="Z303" s="685" t="s">
        <v>1367</v>
      </c>
      <c r="AA303" s="688" t="s">
        <v>304</v>
      </c>
    </row>
    <row r="304" spans="1:27" s="64" customFormat="1" x14ac:dyDescent="0.25">
      <c r="A304" s="683" t="s">
        <v>1344</v>
      </c>
      <c r="B304" s="684"/>
      <c r="C304" s="684" t="s">
        <v>1678</v>
      </c>
      <c r="D304" s="684" t="s">
        <v>1368</v>
      </c>
      <c r="E304" s="684"/>
      <c r="F304" s="684" t="s">
        <v>51</v>
      </c>
      <c r="G304" s="685" t="s">
        <v>47</v>
      </c>
      <c r="H304" s="684" t="s">
        <v>1366</v>
      </c>
      <c r="I304" s="686">
        <v>1530</v>
      </c>
      <c r="J304" s="686">
        <v>1800</v>
      </c>
      <c r="K304" s="686">
        <v>1800</v>
      </c>
      <c r="L304" s="686">
        <v>2280</v>
      </c>
      <c r="M304" s="685"/>
      <c r="N304" s="685"/>
      <c r="O304" s="685"/>
      <c r="P304" s="685"/>
      <c r="Q304" s="685"/>
      <c r="R304" s="685"/>
      <c r="S304" s="685"/>
      <c r="T304" s="685"/>
      <c r="U304" s="685"/>
      <c r="V304" s="685"/>
      <c r="W304" s="685"/>
      <c r="X304" s="687"/>
      <c r="Y304" s="687"/>
      <c r="Z304" s="685" t="s">
        <v>1367</v>
      </c>
      <c r="AA304" s="688" t="s">
        <v>304</v>
      </c>
    </row>
    <row r="305" spans="1:27" s="64" customFormat="1" x14ac:dyDescent="0.25">
      <c r="A305" s="683" t="s">
        <v>1344</v>
      </c>
      <c r="B305" s="684"/>
      <c r="C305" s="684" t="s">
        <v>1677</v>
      </c>
      <c r="D305" s="684" t="s">
        <v>1114</v>
      </c>
      <c r="E305" s="684" t="s">
        <v>1369</v>
      </c>
      <c r="F305" s="684" t="s">
        <v>53</v>
      </c>
      <c r="G305" s="685" t="s">
        <v>47</v>
      </c>
      <c r="H305" s="684" t="s">
        <v>1366</v>
      </c>
      <c r="I305" s="686">
        <v>3530</v>
      </c>
      <c r="J305" s="686">
        <v>4150</v>
      </c>
      <c r="K305" s="686">
        <v>4150</v>
      </c>
      <c r="L305" s="686">
        <v>5255</v>
      </c>
      <c r="M305" s="685"/>
      <c r="N305" s="685"/>
      <c r="O305" s="685"/>
      <c r="P305" s="685"/>
      <c r="Q305" s="685"/>
      <c r="R305" s="685"/>
      <c r="S305" s="685"/>
      <c r="T305" s="685"/>
      <c r="U305" s="685"/>
      <c r="V305" s="685"/>
      <c r="W305" s="685"/>
      <c r="X305" s="687"/>
      <c r="Y305" s="687"/>
      <c r="Z305" s="685" t="s">
        <v>1367</v>
      </c>
      <c r="AA305" s="688" t="s">
        <v>304</v>
      </c>
    </row>
    <row r="306" spans="1:27" s="64" customFormat="1" x14ac:dyDescent="0.25">
      <c r="A306" s="683" t="s">
        <v>1344</v>
      </c>
      <c r="B306" s="684"/>
      <c r="C306" s="684" t="s">
        <v>1677</v>
      </c>
      <c r="D306" s="684" t="s">
        <v>1114</v>
      </c>
      <c r="E306" s="684" t="s">
        <v>1370</v>
      </c>
      <c r="F306" s="684" t="s">
        <v>53</v>
      </c>
      <c r="G306" s="685" t="s">
        <v>47</v>
      </c>
      <c r="H306" s="684" t="s">
        <v>1366</v>
      </c>
      <c r="I306" s="686">
        <v>4040</v>
      </c>
      <c r="J306" s="686">
        <v>4750</v>
      </c>
      <c r="K306" s="686">
        <v>4750</v>
      </c>
      <c r="L306" s="686">
        <v>6015</v>
      </c>
      <c r="M306" s="685"/>
      <c r="N306" s="685"/>
      <c r="O306" s="685"/>
      <c r="P306" s="685"/>
      <c r="Q306" s="685"/>
      <c r="R306" s="685"/>
      <c r="S306" s="685"/>
      <c r="T306" s="685"/>
      <c r="U306" s="685"/>
      <c r="V306" s="685"/>
      <c r="W306" s="685"/>
      <c r="X306" s="687"/>
      <c r="Y306" s="687"/>
      <c r="Z306" s="685" t="s">
        <v>1367</v>
      </c>
      <c r="AA306" s="688" t="s">
        <v>304</v>
      </c>
    </row>
    <row r="307" spans="1:27" s="64" customFormat="1" x14ac:dyDescent="0.25">
      <c r="A307" s="683" t="s">
        <v>1344</v>
      </c>
      <c r="B307" s="684"/>
      <c r="C307" s="684" t="s">
        <v>1677</v>
      </c>
      <c r="D307" s="684" t="s">
        <v>1114</v>
      </c>
      <c r="E307" s="684" t="s">
        <v>1371</v>
      </c>
      <c r="F307" s="684" t="s">
        <v>53</v>
      </c>
      <c r="G307" s="685" t="s">
        <v>47</v>
      </c>
      <c r="H307" s="684" t="s">
        <v>1366</v>
      </c>
      <c r="I307" s="686">
        <v>4040</v>
      </c>
      <c r="J307" s="686">
        <v>4750</v>
      </c>
      <c r="K307" s="686">
        <v>4750</v>
      </c>
      <c r="L307" s="686">
        <v>6015</v>
      </c>
      <c r="M307" s="685"/>
      <c r="N307" s="685"/>
      <c r="O307" s="685"/>
      <c r="P307" s="685"/>
      <c r="Q307" s="685"/>
      <c r="R307" s="685"/>
      <c r="S307" s="685"/>
      <c r="T307" s="685"/>
      <c r="U307" s="685"/>
      <c r="V307" s="685"/>
      <c r="W307" s="685"/>
      <c r="X307" s="687"/>
      <c r="Y307" s="687"/>
      <c r="Z307" s="685" t="s">
        <v>1367</v>
      </c>
      <c r="AA307" s="688" t="s">
        <v>304</v>
      </c>
    </row>
    <row r="308" spans="1:27" s="64" customFormat="1" x14ac:dyDescent="0.25">
      <c r="A308" s="683" t="s">
        <v>1344</v>
      </c>
      <c r="B308" s="684"/>
      <c r="C308" s="684" t="s">
        <v>1677</v>
      </c>
      <c r="D308" s="684" t="s">
        <v>1114</v>
      </c>
      <c r="E308" s="684" t="s">
        <v>1372</v>
      </c>
      <c r="F308" s="684" t="s">
        <v>53</v>
      </c>
      <c r="G308" s="685" t="s">
        <v>47</v>
      </c>
      <c r="H308" s="684" t="s">
        <v>1366</v>
      </c>
      <c r="I308" s="686">
        <v>4040</v>
      </c>
      <c r="J308" s="686">
        <v>4750</v>
      </c>
      <c r="K308" s="686">
        <v>4750</v>
      </c>
      <c r="L308" s="686">
        <v>6015</v>
      </c>
      <c r="M308" s="685"/>
      <c r="N308" s="685"/>
      <c r="O308" s="685"/>
      <c r="P308" s="685"/>
      <c r="Q308" s="685"/>
      <c r="R308" s="685"/>
      <c r="S308" s="685"/>
      <c r="T308" s="685"/>
      <c r="U308" s="685"/>
      <c r="V308" s="685"/>
      <c r="W308" s="685"/>
      <c r="X308" s="687"/>
      <c r="Y308" s="687"/>
      <c r="Z308" s="685" t="s">
        <v>1367</v>
      </c>
      <c r="AA308" s="688" t="s">
        <v>304</v>
      </c>
    </row>
    <row r="309" spans="1:27" s="64" customFormat="1" x14ac:dyDescent="0.25">
      <c r="A309" s="683" t="s">
        <v>1344</v>
      </c>
      <c r="B309" s="684"/>
      <c r="C309" s="684" t="s">
        <v>1677</v>
      </c>
      <c r="D309" s="684" t="s">
        <v>1114</v>
      </c>
      <c r="E309" s="684" t="s">
        <v>1373</v>
      </c>
      <c r="F309" s="684" t="s">
        <v>53</v>
      </c>
      <c r="G309" s="685" t="s">
        <v>47</v>
      </c>
      <c r="H309" s="684" t="s">
        <v>1366</v>
      </c>
      <c r="I309" s="686">
        <v>3530</v>
      </c>
      <c r="J309" s="686">
        <v>4150</v>
      </c>
      <c r="K309" s="686">
        <v>4150</v>
      </c>
      <c r="L309" s="686">
        <v>5255</v>
      </c>
      <c r="M309" s="685"/>
      <c r="N309" s="685"/>
      <c r="O309" s="685"/>
      <c r="P309" s="685"/>
      <c r="Q309" s="685"/>
      <c r="R309" s="685"/>
      <c r="S309" s="685"/>
      <c r="T309" s="685"/>
      <c r="U309" s="685"/>
      <c r="V309" s="685"/>
      <c r="W309" s="685"/>
      <c r="X309" s="687"/>
      <c r="Y309" s="687"/>
      <c r="Z309" s="685" t="s">
        <v>1367</v>
      </c>
      <c r="AA309" s="688" t="s">
        <v>304</v>
      </c>
    </row>
    <row r="310" spans="1:27" s="64" customFormat="1" x14ac:dyDescent="0.25">
      <c r="A310" s="683" t="s">
        <v>1344</v>
      </c>
      <c r="B310" s="684"/>
      <c r="C310" s="684" t="s">
        <v>1677</v>
      </c>
      <c r="D310" s="684" t="s">
        <v>1114</v>
      </c>
      <c r="E310" s="684" t="s">
        <v>1374</v>
      </c>
      <c r="F310" s="684" t="s">
        <v>53</v>
      </c>
      <c r="G310" s="685" t="s">
        <v>47</v>
      </c>
      <c r="H310" s="684" t="s">
        <v>1366</v>
      </c>
      <c r="I310" s="686">
        <v>4210</v>
      </c>
      <c r="J310" s="686">
        <v>4950</v>
      </c>
      <c r="K310" s="686">
        <v>4950</v>
      </c>
      <c r="L310" s="686">
        <v>6265</v>
      </c>
      <c r="M310" s="685"/>
      <c r="N310" s="685"/>
      <c r="O310" s="685"/>
      <c r="P310" s="685"/>
      <c r="Q310" s="685"/>
      <c r="R310" s="685"/>
      <c r="S310" s="685"/>
      <c r="T310" s="685"/>
      <c r="U310" s="685"/>
      <c r="V310" s="685"/>
      <c r="W310" s="685"/>
      <c r="X310" s="687"/>
      <c r="Y310" s="687"/>
      <c r="Z310" s="685" t="s">
        <v>1367</v>
      </c>
      <c r="AA310" s="688" t="s">
        <v>304</v>
      </c>
    </row>
    <row r="311" spans="1:27" s="64" customFormat="1" x14ac:dyDescent="0.25">
      <c r="A311" s="683" t="s">
        <v>1344</v>
      </c>
      <c r="B311" s="684"/>
      <c r="C311" s="684" t="s">
        <v>1677</v>
      </c>
      <c r="D311" s="684" t="s">
        <v>1114</v>
      </c>
      <c r="E311" s="684" t="s">
        <v>1375</v>
      </c>
      <c r="F311" s="684" t="s">
        <v>53</v>
      </c>
      <c r="G311" s="685" t="s">
        <v>47</v>
      </c>
      <c r="H311" s="684" t="s">
        <v>1366</v>
      </c>
      <c r="I311" s="686">
        <v>4380</v>
      </c>
      <c r="J311" s="686">
        <v>5150</v>
      </c>
      <c r="K311" s="686">
        <v>5150</v>
      </c>
      <c r="L311" s="686">
        <v>6520</v>
      </c>
      <c r="M311" s="685"/>
      <c r="N311" s="685"/>
      <c r="O311" s="685"/>
      <c r="P311" s="685"/>
      <c r="Q311" s="685"/>
      <c r="R311" s="685"/>
      <c r="S311" s="685"/>
      <c r="T311" s="685"/>
      <c r="U311" s="685"/>
      <c r="V311" s="685"/>
      <c r="W311" s="685"/>
      <c r="X311" s="687"/>
      <c r="Y311" s="687"/>
      <c r="Z311" s="685" t="s">
        <v>1367</v>
      </c>
      <c r="AA311" s="688" t="s">
        <v>304</v>
      </c>
    </row>
    <row r="312" spans="1:27" s="64" customFormat="1" x14ac:dyDescent="0.25">
      <c r="A312" s="683" t="s">
        <v>1344</v>
      </c>
      <c r="B312" s="684"/>
      <c r="C312" s="684" t="s">
        <v>1677</v>
      </c>
      <c r="D312" s="684" t="s">
        <v>1114</v>
      </c>
      <c r="E312" s="684" t="s">
        <v>1376</v>
      </c>
      <c r="F312" s="684" t="s">
        <v>53</v>
      </c>
      <c r="G312" s="685" t="s">
        <v>47</v>
      </c>
      <c r="H312" s="684" t="s">
        <v>1366</v>
      </c>
      <c r="I312" s="686">
        <v>3785</v>
      </c>
      <c r="J312" s="686">
        <v>4450</v>
      </c>
      <c r="K312" s="686">
        <v>4450</v>
      </c>
      <c r="L312" s="686">
        <v>5635</v>
      </c>
      <c r="M312" s="685"/>
      <c r="N312" s="685"/>
      <c r="O312" s="685"/>
      <c r="P312" s="685"/>
      <c r="Q312" s="685"/>
      <c r="R312" s="685"/>
      <c r="S312" s="685"/>
      <c r="T312" s="685"/>
      <c r="U312" s="685"/>
      <c r="V312" s="685"/>
      <c r="W312" s="685"/>
      <c r="X312" s="687"/>
      <c r="Y312" s="687"/>
      <c r="Z312" s="685" t="s">
        <v>1367</v>
      </c>
      <c r="AA312" s="688" t="s">
        <v>304</v>
      </c>
    </row>
    <row r="313" spans="1:27" s="64" customFormat="1" x14ac:dyDescent="0.25">
      <c r="A313" s="683" t="s">
        <v>1344</v>
      </c>
      <c r="B313" s="684"/>
      <c r="C313" s="684" t="s">
        <v>1677</v>
      </c>
      <c r="D313" s="684" t="s">
        <v>1114</v>
      </c>
      <c r="E313" s="684" t="s">
        <v>1377</v>
      </c>
      <c r="F313" s="684" t="s">
        <v>53</v>
      </c>
      <c r="G313" s="685" t="s">
        <v>47</v>
      </c>
      <c r="H313" s="684" t="s">
        <v>1366</v>
      </c>
      <c r="I313" s="686">
        <v>3870</v>
      </c>
      <c r="J313" s="686">
        <v>4550</v>
      </c>
      <c r="K313" s="686">
        <v>4550</v>
      </c>
      <c r="L313" s="686">
        <v>5760</v>
      </c>
      <c r="M313" s="685"/>
      <c r="N313" s="685"/>
      <c r="O313" s="685"/>
      <c r="P313" s="685"/>
      <c r="Q313" s="685"/>
      <c r="R313" s="685"/>
      <c r="S313" s="685"/>
      <c r="T313" s="685"/>
      <c r="U313" s="685"/>
      <c r="V313" s="685"/>
      <c r="W313" s="685"/>
      <c r="X313" s="687"/>
      <c r="Y313" s="687"/>
      <c r="Z313" s="685" t="s">
        <v>1367</v>
      </c>
      <c r="AA313" s="688" t="s">
        <v>304</v>
      </c>
    </row>
    <row r="314" spans="1:27" s="64" customFormat="1" x14ac:dyDescent="0.25">
      <c r="A314" s="683" t="s">
        <v>1344</v>
      </c>
      <c r="B314" s="684"/>
      <c r="C314" s="684" t="s">
        <v>1677</v>
      </c>
      <c r="D314" s="684" t="s">
        <v>1114</v>
      </c>
      <c r="E314" s="684" t="s">
        <v>1378</v>
      </c>
      <c r="F314" s="684" t="s">
        <v>120</v>
      </c>
      <c r="G314" s="685" t="s">
        <v>49</v>
      </c>
      <c r="H314" s="684" t="s">
        <v>1366</v>
      </c>
      <c r="I314" s="686">
        <v>6080</v>
      </c>
      <c r="J314" s="686">
        <v>7150</v>
      </c>
      <c r="K314" s="686">
        <v>7150</v>
      </c>
      <c r="L314" s="686">
        <v>9050</v>
      </c>
      <c r="M314" s="685"/>
      <c r="N314" s="685"/>
      <c r="O314" s="685"/>
      <c r="P314" s="685"/>
      <c r="Q314" s="685"/>
      <c r="R314" s="685"/>
      <c r="S314" s="685"/>
      <c r="T314" s="685"/>
      <c r="U314" s="685"/>
      <c r="V314" s="685"/>
      <c r="W314" s="685"/>
      <c r="X314" s="687"/>
      <c r="Y314" s="687"/>
      <c r="Z314" s="685" t="s">
        <v>1367</v>
      </c>
      <c r="AA314" s="688" t="s">
        <v>304</v>
      </c>
    </row>
    <row r="315" spans="1:27" s="64" customFormat="1" x14ac:dyDescent="0.25">
      <c r="A315" s="683" t="s">
        <v>1344</v>
      </c>
      <c r="B315" s="684"/>
      <c r="C315" s="684" t="s">
        <v>1677</v>
      </c>
      <c r="D315" s="684" t="s">
        <v>1114</v>
      </c>
      <c r="E315" s="684" t="s">
        <v>1379</v>
      </c>
      <c r="F315" s="684" t="s">
        <v>53</v>
      </c>
      <c r="G315" s="685" t="s">
        <v>47</v>
      </c>
      <c r="H315" s="684" t="s">
        <v>1366</v>
      </c>
      <c r="I315" s="686">
        <v>3530</v>
      </c>
      <c r="J315" s="686">
        <v>4150</v>
      </c>
      <c r="K315" s="686">
        <v>4150</v>
      </c>
      <c r="L315" s="686">
        <v>5255</v>
      </c>
      <c r="M315" s="685"/>
      <c r="N315" s="685"/>
      <c r="O315" s="685"/>
      <c r="P315" s="685"/>
      <c r="Q315" s="685"/>
      <c r="R315" s="685"/>
      <c r="S315" s="685"/>
      <c r="T315" s="685"/>
      <c r="U315" s="685"/>
      <c r="V315" s="685"/>
      <c r="W315" s="685"/>
      <c r="X315" s="687"/>
      <c r="Y315" s="687"/>
      <c r="Z315" s="685" t="s">
        <v>1367</v>
      </c>
      <c r="AA315" s="688" t="s">
        <v>304</v>
      </c>
    </row>
    <row r="316" spans="1:27" s="64" customFormat="1" x14ac:dyDescent="0.25">
      <c r="A316" s="683" t="s">
        <v>1344</v>
      </c>
      <c r="B316" s="684"/>
      <c r="C316" s="684" t="s">
        <v>1677</v>
      </c>
      <c r="D316" s="684" t="s">
        <v>1114</v>
      </c>
      <c r="E316" s="684" t="s">
        <v>1380</v>
      </c>
      <c r="F316" s="684" t="s">
        <v>53</v>
      </c>
      <c r="G316" s="685" t="s">
        <v>47</v>
      </c>
      <c r="H316" s="684" t="s">
        <v>1366</v>
      </c>
      <c r="I316" s="686">
        <v>4380</v>
      </c>
      <c r="J316" s="686">
        <v>5150</v>
      </c>
      <c r="K316" s="686">
        <v>5150</v>
      </c>
      <c r="L316" s="686">
        <v>6520</v>
      </c>
      <c r="M316" s="685"/>
      <c r="N316" s="685"/>
      <c r="O316" s="685"/>
      <c r="P316" s="685"/>
      <c r="Q316" s="685"/>
      <c r="R316" s="685"/>
      <c r="S316" s="685"/>
      <c r="T316" s="685"/>
      <c r="U316" s="685"/>
      <c r="V316" s="685"/>
      <c r="W316" s="685"/>
      <c r="X316" s="687"/>
      <c r="Y316" s="687"/>
      <c r="Z316" s="685" t="s">
        <v>1367</v>
      </c>
      <c r="AA316" s="688" t="s">
        <v>304</v>
      </c>
    </row>
    <row r="317" spans="1:27" s="64" customFormat="1" x14ac:dyDescent="0.25">
      <c r="A317" s="683" t="s">
        <v>1344</v>
      </c>
      <c r="B317" s="684"/>
      <c r="C317" s="684" t="s">
        <v>1677</v>
      </c>
      <c r="D317" s="684" t="s">
        <v>1114</v>
      </c>
      <c r="E317" s="684" t="s">
        <v>1382</v>
      </c>
      <c r="F317" s="684" t="s">
        <v>53</v>
      </c>
      <c r="G317" s="685" t="s">
        <v>47</v>
      </c>
      <c r="H317" s="684" t="s">
        <v>1366</v>
      </c>
      <c r="I317" s="686">
        <v>3615</v>
      </c>
      <c r="J317" s="686">
        <v>4250</v>
      </c>
      <c r="K317" s="686">
        <v>4250</v>
      </c>
      <c r="L317" s="686">
        <v>5380</v>
      </c>
      <c r="M317" s="685"/>
      <c r="N317" s="685"/>
      <c r="O317" s="685"/>
      <c r="P317" s="685"/>
      <c r="Q317" s="685"/>
      <c r="R317" s="685"/>
      <c r="S317" s="685"/>
      <c r="T317" s="685"/>
      <c r="U317" s="685"/>
      <c r="V317" s="685"/>
      <c r="W317" s="685"/>
      <c r="X317" s="687"/>
      <c r="Y317" s="687"/>
      <c r="Z317" s="685" t="s">
        <v>1367</v>
      </c>
      <c r="AA317" s="688" t="s">
        <v>304</v>
      </c>
    </row>
    <row r="318" spans="1:27" s="64" customFormat="1" x14ac:dyDescent="0.25">
      <c r="A318" s="683" t="s">
        <v>1344</v>
      </c>
      <c r="B318" s="684"/>
      <c r="C318" s="684" t="s">
        <v>1677</v>
      </c>
      <c r="D318" s="684" t="s">
        <v>1114</v>
      </c>
      <c r="E318" s="684" t="s">
        <v>1383</v>
      </c>
      <c r="F318" s="684" t="s">
        <v>53</v>
      </c>
      <c r="G318" s="685" t="s">
        <v>47</v>
      </c>
      <c r="H318" s="684" t="s">
        <v>1366</v>
      </c>
      <c r="I318" s="686">
        <v>3615</v>
      </c>
      <c r="J318" s="686">
        <v>4250</v>
      </c>
      <c r="K318" s="686">
        <v>4250</v>
      </c>
      <c r="L318" s="686">
        <v>5380</v>
      </c>
      <c r="M318" s="685"/>
      <c r="N318" s="685"/>
      <c r="O318" s="685"/>
      <c r="P318" s="685"/>
      <c r="Q318" s="685"/>
      <c r="R318" s="685"/>
      <c r="S318" s="685"/>
      <c r="T318" s="685"/>
      <c r="U318" s="685"/>
      <c r="V318" s="685"/>
      <c r="W318" s="685"/>
      <c r="X318" s="687"/>
      <c r="Y318" s="687"/>
      <c r="Z318" s="685" t="s">
        <v>1367</v>
      </c>
      <c r="AA318" s="688" t="s">
        <v>304</v>
      </c>
    </row>
    <row r="319" spans="1:27" s="64" customFormat="1" x14ac:dyDescent="0.25">
      <c r="A319" s="683" t="s">
        <v>1344</v>
      </c>
      <c r="B319" s="684"/>
      <c r="C319" s="684" t="s">
        <v>1677</v>
      </c>
      <c r="D319" s="684" t="s">
        <v>1114</v>
      </c>
      <c r="E319" s="684" t="s">
        <v>1384</v>
      </c>
      <c r="F319" s="684" t="s">
        <v>53</v>
      </c>
      <c r="G319" s="685" t="s">
        <v>47</v>
      </c>
      <c r="H319" s="684" t="s">
        <v>1366</v>
      </c>
      <c r="I319" s="686">
        <v>3700</v>
      </c>
      <c r="J319" s="686">
        <v>4350</v>
      </c>
      <c r="K319" s="686">
        <v>4350</v>
      </c>
      <c r="L319" s="686">
        <v>5505</v>
      </c>
      <c r="M319" s="685"/>
      <c r="N319" s="685"/>
      <c r="O319" s="685"/>
      <c r="P319" s="685"/>
      <c r="Q319" s="685"/>
      <c r="R319" s="685"/>
      <c r="S319" s="685"/>
      <c r="T319" s="685"/>
      <c r="U319" s="685"/>
      <c r="V319" s="685"/>
      <c r="W319" s="685"/>
      <c r="X319" s="687"/>
      <c r="Y319" s="687"/>
      <c r="Z319" s="685" t="s">
        <v>1367</v>
      </c>
      <c r="AA319" s="688" t="s">
        <v>304</v>
      </c>
    </row>
    <row r="320" spans="1:27" s="64" customFormat="1" x14ac:dyDescent="0.25">
      <c r="A320" s="683" t="s">
        <v>1344</v>
      </c>
      <c r="B320" s="684"/>
      <c r="C320" s="684" t="s">
        <v>1678</v>
      </c>
      <c r="D320" s="684" t="s">
        <v>1368</v>
      </c>
      <c r="E320" s="684" t="s">
        <v>1384</v>
      </c>
      <c r="F320" s="684" t="s">
        <v>53</v>
      </c>
      <c r="G320" s="685" t="s">
        <v>47</v>
      </c>
      <c r="H320" s="684" t="s">
        <v>1366</v>
      </c>
      <c r="I320" s="686">
        <v>3445</v>
      </c>
      <c r="J320" s="686">
        <v>4050</v>
      </c>
      <c r="K320" s="686">
        <v>4050</v>
      </c>
      <c r="L320" s="686">
        <v>5125</v>
      </c>
      <c r="M320" s="685"/>
      <c r="N320" s="685"/>
      <c r="O320" s="685"/>
      <c r="P320" s="685"/>
      <c r="Q320" s="685"/>
      <c r="R320" s="685"/>
      <c r="S320" s="685"/>
      <c r="T320" s="685"/>
      <c r="U320" s="685"/>
      <c r="V320" s="685"/>
      <c r="W320" s="685"/>
      <c r="X320" s="687"/>
      <c r="Y320" s="687"/>
      <c r="Z320" s="685" t="s">
        <v>1367</v>
      </c>
      <c r="AA320" s="688" t="s">
        <v>304</v>
      </c>
    </row>
    <row r="321" spans="1:27" s="64" customFormat="1" x14ac:dyDescent="0.25">
      <c r="A321" s="683" t="s">
        <v>1344</v>
      </c>
      <c r="B321" s="684"/>
      <c r="C321" s="684" t="s">
        <v>1677</v>
      </c>
      <c r="D321" s="684" t="s">
        <v>1114</v>
      </c>
      <c r="E321" s="684" t="s">
        <v>1385</v>
      </c>
      <c r="F321" s="684" t="s">
        <v>53</v>
      </c>
      <c r="G321" s="685" t="s">
        <v>47</v>
      </c>
      <c r="H321" s="684" t="s">
        <v>1366</v>
      </c>
      <c r="I321" s="686">
        <v>4805</v>
      </c>
      <c r="J321" s="686">
        <v>5650</v>
      </c>
      <c r="K321" s="686">
        <v>5650</v>
      </c>
      <c r="L321" s="686">
        <v>7155</v>
      </c>
      <c r="M321" s="685"/>
      <c r="N321" s="685"/>
      <c r="O321" s="685"/>
      <c r="P321" s="685"/>
      <c r="Q321" s="685"/>
      <c r="R321" s="685"/>
      <c r="S321" s="685"/>
      <c r="T321" s="685"/>
      <c r="U321" s="685"/>
      <c r="V321" s="685"/>
      <c r="W321" s="685"/>
      <c r="X321" s="687"/>
      <c r="Y321" s="687"/>
      <c r="Z321" s="685" t="s">
        <v>1367</v>
      </c>
      <c r="AA321" s="688" t="s">
        <v>304</v>
      </c>
    </row>
    <row r="322" spans="1:27" s="64" customFormat="1" x14ac:dyDescent="0.25">
      <c r="A322" s="683" t="s">
        <v>1344</v>
      </c>
      <c r="B322" s="684"/>
      <c r="C322" s="684" t="s">
        <v>1677</v>
      </c>
      <c r="D322" s="684" t="s">
        <v>1114</v>
      </c>
      <c r="E322" s="684" t="s">
        <v>1386</v>
      </c>
      <c r="F322" s="684" t="s">
        <v>53</v>
      </c>
      <c r="G322" s="685" t="s">
        <v>47</v>
      </c>
      <c r="H322" s="684" t="s">
        <v>1366</v>
      </c>
      <c r="I322" s="686">
        <v>4210</v>
      </c>
      <c r="J322" s="686">
        <v>4950</v>
      </c>
      <c r="K322" s="686">
        <v>4950</v>
      </c>
      <c r="L322" s="686">
        <v>6265</v>
      </c>
      <c r="M322" s="685"/>
      <c r="N322" s="685"/>
      <c r="O322" s="685"/>
      <c r="P322" s="685"/>
      <c r="Q322" s="685"/>
      <c r="R322" s="685"/>
      <c r="S322" s="685"/>
      <c r="T322" s="685"/>
      <c r="U322" s="685"/>
      <c r="V322" s="685"/>
      <c r="W322" s="685"/>
      <c r="X322" s="687"/>
      <c r="Y322" s="687"/>
      <c r="Z322" s="685" t="s">
        <v>1367</v>
      </c>
      <c r="AA322" s="688" t="s">
        <v>304</v>
      </c>
    </row>
    <row r="323" spans="1:27" s="64" customFormat="1" x14ac:dyDescent="0.25">
      <c r="A323" s="683" t="s">
        <v>1344</v>
      </c>
      <c r="B323" s="684"/>
      <c r="C323" s="684" t="s">
        <v>1677</v>
      </c>
      <c r="D323" s="684" t="s">
        <v>1114</v>
      </c>
      <c r="E323" s="684" t="s">
        <v>1387</v>
      </c>
      <c r="F323" s="684" t="s">
        <v>53</v>
      </c>
      <c r="G323" s="685" t="s">
        <v>47</v>
      </c>
      <c r="H323" s="684" t="s">
        <v>1366</v>
      </c>
      <c r="I323" s="686">
        <v>5400</v>
      </c>
      <c r="J323" s="686">
        <v>6350</v>
      </c>
      <c r="K323" s="686">
        <v>6350</v>
      </c>
      <c r="L323" s="686">
        <v>8040</v>
      </c>
      <c r="M323" s="685"/>
      <c r="N323" s="685"/>
      <c r="O323" s="685"/>
      <c r="P323" s="685"/>
      <c r="Q323" s="685"/>
      <c r="R323" s="685"/>
      <c r="S323" s="685"/>
      <c r="T323" s="685"/>
      <c r="U323" s="685"/>
      <c r="V323" s="685"/>
      <c r="W323" s="685"/>
      <c r="X323" s="687"/>
      <c r="Y323" s="687"/>
      <c r="Z323" s="685" t="s">
        <v>1367</v>
      </c>
      <c r="AA323" s="688" t="s">
        <v>304</v>
      </c>
    </row>
    <row r="324" spans="1:27" s="64" customFormat="1" x14ac:dyDescent="0.25">
      <c r="A324" s="683" t="s">
        <v>1344</v>
      </c>
      <c r="B324" s="684"/>
      <c r="C324" s="684" t="s">
        <v>1677</v>
      </c>
      <c r="D324" s="684" t="s">
        <v>1114</v>
      </c>
      <c r="E324" s="684" t="s">
        <v>1388</v>
      </c>
      <c r="F324" s="684" t="s">
        <v>53</v>
      </c>
      <c r="G324" s="685" t="s">
        <v>47</v>
      </c>
      <c r="H324" s="684" t="s">
        <v>1366</v>
      </c>
      <c r="I324" s="686">
        <v>5400</v>
      </c>
      <c r="J324" s="686">
        <v>6350</v>
      </c>
      <c r="K324" s="686">
        <v>6350</v>
      </c>
      <c r="L324" s="686">
        <v>8040</v>
      </c>
      <c r="M324" s="685"/>
      <c r="N324" s="685"/>
      <c r="O324" s="685"/>
      <c r="P324" s="685"/>
      <c r="Q324" s="685"/>
      <c r="R324" s="685"/>
      <c r="S324" s="685"/>
      <c r="T324" s="685"/>
      <c r="U324" s="685"/>
      <c r="V324" s="685"/>
      <c r="W324" s="685"/>
      <c r="X324" s="687"/>
      <c r="Y324" s="687"/>
      <c r="Z324" s="685" t="s">
        <v>1367</v>
      </c>
      <c r="AA324" s="688" t="s">
        <v>304</v>
      </c>
    </row>
    <row r="325" spans="1:27" s="64" customFormat="1" x14ac:dyDescent="0.25">
      <c r="A325" s="683" t="s">
        <v>1344</v>
      </c>
      <c r="B325" s="684"/>
      <c r="C325" s="684" t="s">
        <v>1677</v>
      </c>
      <c r="D325" s="684" t="s">
        <v>1114</v>
      </c>
      <c r="E325" s="684" t="s">
        <v>1389</v>
      </c>
      <c r="F325" s="684" t="s">
        <v>53</v>
      </c>
      <c r="G325" s="685" t="s">
        <v>47</v>
      </c>
      <c r="H325" s="684" t="s">
        <v>1366</v>
      </c>
      <c r="I325" s="686">
        <v>5400</v>
      </c>
      <c r="J325" s="686">
        <v>6350</v>
      </c>
      <c r="K325" s="686">
        <v>6350</v>
      </c>
      <c r="L325" s="686">
        <v>8040</v>
      </c>
      <c r="M325" s="685"/>
      <c r="N325" s="685"/>
      <c r="O325" s="685"/>
      <c r="P325" s="685"/>
      <c r="Q325" s="685"/>
      <c r="R325" s="685"/>
      <c r="S325" s="685"/>
      <c r="T325" s="685"/>
      <c r="U325" s="685"/>
      <c r="V325" s="685"/>
      <c r="W325" s="685"/>
      <c r="X325" s="687"/>
      <c r="Y325" s="687"/>
      <c r="Z325" s="685" t="s">
        <v>1367</v>
      </c>
      <c r="AA325" s="688" t="s">
        <v>304</v>
      </c>
    </row>
    <row r="326" spans="1:27" s="64" customFormat="1" x14ac:dyDescent="0.25">
      <c r="A326" s="683" t="s">
        <v>1344</v>
      </c>
      <c r="B326" s="684"/>
      <c r="C326" s="684" t="s">
        <v>1677</v>
      </c>
      <c r="D326" s="684" t="s">
        <v>1114</v>
      </c>
      <c r="E326" s="684" t="s">
        <v>1390</v>
      </c>
      <c r="F326" s="684" t="s">
        <v>53</v>
      </c>
      <c r="G326" s="685" t="s">
        <v>47</v>
      </c>
      <c r="H326" s="684" t="s">
        <v>1366</v>
      </c>
      <c r="I326" s="686">
        <v>5400</v>
      </c>
      <c r="J326" s="686">
        <v>6350</v>
      </c>
      <c r="K326" s="686">
        <v>6350</v>
      </c>
      <c r="L326" s="686">
        <v>8040</v>
      </c>
      <c r="M326" s="685"/>
      <c r="N326" s="685"/>
      <c r="O326" s="685"/>
      <c r="P326" s="685"/>
      <c r="Q326" s="685"/>
      <c r="R326" s="685"/>
      <c r="S326" s="685"/>
      <c r="T326" s="685"/>
      <c r="U326" s="685"/>
      <c r="V326" s="685"/>
      <c r="W326" s="685"/>
      <c r="X326" s="687"/>
      <c r="Y326" s="687"/>
      <c r="Z326" s="685" t="s">
        <v>1367</v>
      </c>
      <c r="AA326" s="688" t="s">
        <v>304</v>
      </c>
    </row>
    <row r="327" spans="1:27" s="64" customFormat="1" x14ac:dyDescent="0.25">
      <c r="A327" s="683" t="s">
        <v>1344</v>
      </c>
      <c r="B327" s="684"/>
      <c r="C327" s="684" t="s">
        <v>1677</v>
      </c>
      <c r="D327" s="684" t="s">
        <v>1114</v>
      </c>
      <c r="E327" s="684" t="s">
        <v>1391</v>
      </c>
      <c r="F327" s="684" t="s">
        <v>53</v>
      </c>
      <c r="G327" s="685" t="s">
        <v>47</v>
      </c>
      <c r="H327" s="684" t="s">
        <v>1366</v>
      </c>
      <c r="I327" s="686">
        <v>5400</v>
      </c>
      <c r="J327" s="686">
        <v>6350</v>
      </c>
      <c r="K327" s="686">
        <v>6350</v>
      </c>
      <c r="L327" s="686">
        <v>8040</v>
      </c>
      <c r="M327" s="685"/>
      <c r="N327" s="685"/>
      <c r="O327" s="685"/>
      <c r="P327" s="685"/>
      <c r="Q327" s="685"/>
      <c r="R327" s="685"/>
      <c r="S327" s="685"/>
      <c r="T327" s="685"/>
      <c r="U327" s="685"/>
      <c r="V327" s="685"/>
      <c r="W327" s="685"/>
      <c r="X327" s="687"/>
      <c r="Y327" s="687"/>
      <c r="Z327" s="685" t="s">
        <v>1367</v>
      </c>
      <c r="AA327" s="688" t="s">
        <v>304</v>
      </c>
    </row>
    <row r="328" spans="1:27" s="64" customFormat="1" x14ac:dyDescent="0.25">
      <c r="A328" s="683" t="s">
        <v>1344</v>
      </c>
      <c r="B328" s="684"/>
      <c r="C328" s="684" t="s">
        <v>1347</v>
      </c>
      <c r="D328" s="684" t="s">
        <v>1114</v>
      </c>
      <c r="E328" s="684"/>
      <c r="F328" s="684" t="s">
        <v>51</v>
      </c>
      <c r="G328" s="685" t="s">
        <v>47</v>
      </c>
      <c r="H328" s="684" t="s">
        <v>1366</v>
      </c>
      <c r="I328" s="686">
        <v>1350</v>
      </c>
      <c r="J328" s="686">
        <v>1800</v>
      </c>
      <c r="K328" s="686">
        <v>1800</v>
      </c>
      <c r="L328" s="686">
        <v>2280</v>
      </c>
      <c r="M328" s="685"/>
      <c r="N328" s="685"/>
      <c r="O328" s="685"/>
      <c r="P328" s="685"/>
      <c r="Q328" s="685"/>
      <c r="R328" s="685"/>
      <c r="S328" s="685"/>
      <c r="T328" s="685"/>
      <c r="U328" s="685"/>
      <c r="V328" s="685"/>
      <c r="W328" s="685"/>
      <c r="X328" s="687"/>
      <c r="Y328" s="687"/>
      <c r="Z328" s="685" t="s">
        <v>1367</v>
      </c>
      <c r="AA328" s="688" t="s">
        <v>304</v>
      </c>
    </row>
    <row r="329" spans="1:27" s="64" customFormat="1" x14ac:dyDescent="0.25">
      <c r="A329" s="683" t="s">
        <v>1344</v>
      </c>
      <c r="B329" s="684"/>
      <c r="C329" s="684" t="s">
        <v>1347</v>
      </c>
      <c r="D329" s="684" t="s">
        <v>1368</v>
      </c>
      <c r="E329" s="684"/>
      <c r="F329" s="684" t="s">
        <v>51</v>
      </c>
      <c r="G329" s="685" t="s">
        <v>47</v>
      </c>
      <c r="H329" s="684" t="s">
        <v>1366</v>
      </c>
      <c r="I329" s="686">
        <v>1350</v>
      </c>
      <c r="J329" s="686">
        <v>1800</v>
      </c>
      <c r="K329" s="686">
        <v>1800</v>
      </c>
      <c r="L329" s="686">
        <v>2280</v>
      </c>
      <c r="M329" s="685"/>
      <c r="N329" s="685"/>
      <c r="O329" s="685"/>
      <c r="P329" s="685"/>
      <c r="Q329" s="685"/>
      <c r="R329" s="685"/>
      <c r="S329" s="685"/>
      <c r="T329" s="685"/>
      <c r="U329" s="685"/>
      <c r="V329" s="685"/>
      <c r="W329" s="685"/>
      <c r="X329" s="687"/>
      <c r="Y329" s="687"/>
      <c r="Z329" s="685" t="s">
        <v>1367</v>
      </c>
      <c r="AA329" s="688" t="s">
        <v>304</v>
      </c>
    </row>
    <row r="330" spans="1:27" s="64" customFormat="1" x14ac:dyDescent="0.25">
      <c r="A330" s="683" t="s">
        <v>1344</v>
      </c>
      <c r="B330" s="684"/>
      <c r="C330" s="684" t="s">
        <v>1347</v>
      </c>
      <c r="D330" s="684" t="s">
        <v>1114</v>
      </c>
      <c r="E330" s="684" t="s">
        <v>1369</v>
      </c>
      <c r="F330" s="684" t="s">
        <v>53</v>
      </c>
      <c r="G330" s="685" t="s">
        <v>47</v>
      </c>
      <c r="H330" s="684" t="s">
        <v>1366</v>
      </c>
      <c r="I330" s="686">
        <v>3320</v>
      </c>
      <c r="J330" s="686">
        <v>4150</v>
      </c>
      <c r="K330" s="686">
        <v>4150</v>
      </c>
      <c r="L330" s="686">
        <v>5255</v>
      </c>
      <c r="M330" s="685"/>
      <c r="N330" s="685"/>
      <c r="O330" s="685"/>
      <c r="P330" s="685"/>
      <c r="Q330" s="685"/>
      <c r="R330" s="685"/>
      <c r="S330" s="685"/>
      <c r="T330" s="685"/>
      <c r="U330" s="685"/>
      <c r="V330" s="685"/>
      <c r="W330" s="685"/>
      <c r="X330" s="687"/>
      <c r="Y330" s="687"/>
      <c r="Z330" s="685" t="s">
        <v>1367</v>
      </c>
      <c r="AA330" s="688" t="s">
        <v>304</v>
      </c>
    </row>
    <row r="331" spans="1:27" s="64" customFormat="1" x14ac:dyDescent="0.25">
      <c r="A331" s="683" t="s">
        <v>1344</v>
      </c>
      <c r="B331" s="684"/>
      <c r="C331" s="684" t="s">
        <v>1347</v>
      </c>
      <c r="D331" s="684" t="s">
        <v>1114</v>
      </c>
      <c r="E331" s="684" t="s">
        <v>1370</v>
      </c>
      <c r="F331" s="684" t="s">
        <v>53</v>
      </c>
      <c r="G331" s="685" t="s">
        <v>47</v>
      </c>
      <c r="H331" s="684" t="s">
        <v>1366</v>
      </c>
      <c r="I331" s="686">
        <v>3800</v>
      </c>
      <c r="J331" s="686">
        <v>4750</v>
      </c>
      <c r="K331" s="686">
        <v>4750</v>
      </c>
      <c r="L331" s="686">
        <v>6015</v>
      </c>
      <c r="M331" s="685"/>
      <c r="N331" s="685"/>
      <c r="O331" s="685"/>
      <c r="P331" s="685"/>
      <c r="Q331" s="685"/>
      <c r="R331" s="685"/>
      <c r="S331" s="685"/>
      <c r="T331" s="685"/>
      <c r="U331" s="685"/>
      <c r="V331" s="685"/>
      <c r="W331" s="685"/>
      <c r="X331" s="687"/>
      <c r="Y331" s="687"/>
      <c r="Z331" s="685" t="s">
        <v>1367</v>
      </c>
      <c r="AA331" s="688" t="s">
        <v>304</v>
      </c>
    </row>
    <row r="332" spans="1:27" s="64" customFormat="1" x14ac:dyDescent="0.25">
      <c r="A332" s="683" t="s">
        <v>1344</v>
      </c>
      <c r="B332" s="684"/>
      <c r="C332" s="684" t="s">
        <v>1347</v>
      </c>
      <c r="D332" s="684" t="s">
        <v>1114</v>
      </c>
      <c r="E332" s="684" t="s">
        <v>1371</v>
      </c>
      <c r="F332" s="684" t="s">
        <v>53</v>
      </c>
      <c r="G332" s="685" t="s">
        <v>47</v>
      </c>
      <c r="H332" s="684" t="s">
        <v>1366</v>
      </c>
      <c r="I332" s="686">
        <v>3800</v>
      </c>
      <c r="J332" s="686">
        <v>4750</v>
      </c>
      <c r="K332" s="686">
        <v>4750</v>
      </c>
      <c r="L332" s="686">
        <v>6015</v>
      </c>
      <c r="M332" s="685"/>
      <c r="N332" s="685"/>
      <c r="O332" s="685"/>
      <c r="P332" s="685"/>
      <c r="Q332" s="685"/>
      <c r="R332" s="685"/>
      <c r="S332" s="685"/>
      <c r="T332" s="685"/>
      <c r="U332" s="685"/>
      <c r="V332" s="685"/>
      <c r="W332" s="685"/>
      <c r="X332" s="687"/>
      <c r="Y332" s="687"/>
      <c r="Z332" s="685" t="s">
        <v>1367</v>
      </c>
      <c r="AA332" s="688" t="s">
        <v>304</v>
      </c>
    </row>
    <row r="333" spans="1:27" s="64" customFormat="1" x14ac:dyDescent="0.25">
      <c r="A333" s="683" t="s">
        <v>1344</v>
      </c>
      <c r="B333" s="684"/>
      <c r="C333" s="684" t="s">
        <v>1347</v>
      </c>
      <c r="D333" s="684" t="s">
        <v>1114</v>
      </c>
      <c r="E333" s="684" t="s">
        <v>1372</v>
      </c>
      <c r="F333" s="684" t="s">
        <v>53</v>
      </c>
      <c r="G333" s="685" t="s">
        <v>47</v>
      </c>
      <c r="H333" s="684" t="s">
        <v>1366</v>
      </c>
      <c r="I333" s="686">
        <v>3800</v>
      </c>
      <c r="J333" s="686">
        <v>4750</v>
      </c>
      <c r="K333" s="686">
        <v>4750</v>
      </c>
      <c r="L333" s="686">
        <v>6015</v>
      </c>
      <c r="M333" s="685"/>
      <c r="N333" s="685"/>
      <c r="O333" s="685"/>
      <c r="P333" s="685"/>
      <c r="Q333" s="685"/>
      <c r="R333" s="685"/>
      <c r="S333" s="685"/>
      <c r="T333" s="685"/>
      <c r="U333" s="685"/>
      <c r="V333" s="685"/>
      <c r="W333" s="685"/>
      <c r="X333" s="687"/>
      <c r="Y333" s="687"/>
      <c r="Z333" s="685" t="s">
        <v>1367</v>
      </c>
      <c r="AA333" s="688" t="s">
        <v>304</v>
      </c>
    </row>
    <row r="334" spans="1:27" s="64" customFormat="1" x14ac:dyDescent="0.25">
      <c r="A334" s="683" t="s">
        <v>1344</v>
      </c>
      <c r="B334" s="684"/>
      <c r="C334" s="684" t="s">
        <v>1347</v>
      </c>
      <c r="D334" s="684" t="s">
        <v>1114</v>
      </c>
      <c r="E334" s="684" t="s">
        <v>1373</v>
      </c>
      <c r="F334" s="684" t="s">
        <v>53</v>
      </c>
      <c r="G334" s="685" t="s">
        <v>47</v>
      </c>
      <c r="H334" s="684" t="s">
        <v>1366</v>
      </c>
      <c r="I334" s="686">
        <v>3320</v>
      </c>
      <c r="J334" s="686">
        <v>4150</v>
      </c>
      <c r="K334" s="686">
        <v>4150</v>
      </c>
      <c r="L334" s="686">
        <v>5255</v>
      </c>
      <c r="M334" s="685"/>
      <c r="N334" s="685"/>
      <c r="O334" s="685"/>
      <c r="P334" s="685"/>
      <c r="Q334" s="685"/>
      <c r="R334" s="685"/>
      <c r="S334" s="685"/>
      <c r="T334" s="685"/>
      <c r="U334" s="685"/>
      <c r="V334" s="685"/>
      <c r="W334" s="685"/>
      <c r="X334" s="687"/>
      <c r="Y334" s="687"/>
      <c r="Z334" s="685" t="s">
        <v>1367</v>
      </c>
      <c r="AA334" s="688" t="s">
        <v>304</v>
      </c>
    </row>
    <row r="335" spans="1:27" s="64" customFormat="1" x14ac:dyDescent="0.25">
      <c r="A335" s="683" t="s">
        <v>1344</v>
      </c>
      <c r="B335" s="684"/>
      <c r="C335" s="684" t="s">
        <v>1347</v>
      </c>
      <c r="D335" s="684" t="s">
        <v>1114</v>
      </c>
      <c r="E335" s="684" t="s">
        <v>1374</v>
      </c>
      <c r="F335" s="684" t="s">
        <v>53</v>
      </c>
      <c r="G335" s="685" t="s">
        <v>47</v>
      </c>
      <c r="H335" s="684" t="s">
        <v>1366</v>
      </c>
      <c r="I335" s="686">
        <v>3960</v>
      </c>
      <c r="J335" s="686">
        <v>4950</v>
      </c>
      <c r="K335" s="686">
        <v>4950</v>
      </c>
      <c r="L335" s="686">
        <v>6265</v>
      </c>
      <c r="M335" s="685"/>
      <c r="N335" s="685"/>
      <c r="O335" s="685"/>
      <c r="P335" s="685"/>
      <c r="Q335" s="685"/>
      <c r="R335" s="685"/>
      <c r="S335" s="685"/>
      <c r="T335" s="685"/>
      <c r="U335" s="685"/>
      <c r="V335" s="685"/>
      <c r="W335" s="685"/>
      <c r="X335" s="687"/>
      <c r="Y335" s="687"/>
      <c r="Z335" s="685" t="s">
        <v>1367</v>
      </c>
      <c r="AA335" s="688" t="s">
        <v>304</v>
      </c>
    </row>
    <row r="336" spans="1:27" s="64" customFormat="1" x14ac:dyDescent="0.25">
      <c r="A336" s="683" t="s">
        <v>1344</v>
      </c>
      <c r="B336" s="684"/>
      <c r="C336" s="684" t="s">
        <v>1347</v>
      </c>
      <c r="D336" s="684" t="s">
        <v>1114</v>
      </c>
      <c r="E336" s="684" t="s">
        <v>1375</v>
      </c>
      <c r="F336" s="684" t="s">
        <v>53</v>
      </c>
      <c r="G336" s="685" t="s">
        <v>47</v>
      </c>
      <c r="H336" s="684" t="s">
        <v>1366</v>
      </c>
      <c r="I336" s="686">
        <v>4120</v>
      </c>
      <c r="J336" s="686">
        <v>5150</v>
      </c>
      <c r="K336" s="686">
        <v>5150</v>
      </c>
      <c r="L336" s="686">
        <v>6520</v>
      </c>
      <c r="M336" s="685"/>
      <c r="N336" s="685"/>
      <c r="O336" s="685"/>
      <c r="P336" s="685"/>
      <c r="Q336" s="685"/>
      <c r="R336" s="685"/>
      <c r="S336" s="685"/>
      <c r="T336" s="685"/>
      <c r="U336" s="685"/>
      <c r="V336" s="685"/>
      <c r="W336" s="685"/>
      <c r="X336" s="687"/>
      <c r="Y336" s="687"/>
      <c r="Z336" s="685" t="s">
        <v>1367</v>
      </c>
      <c r="AA336" s="688" t="s">
        <v>304</v>
      </c>
    </row>
    <row r="337" spans="1:27" s="64" customFormat="1" x14ac:dyDescent="0.25">
      <c r="A337" s="683" t="s">
        <v>1344</v>
      </c>
      <c r="B337" s="684"/>
      <c r="C337" s="684" t="s">
        <v>1347</v>
      </c>
      <c r="D337" s="684" t="s">
        <v>1114</v>
      </c>
      <c r="E337" s="684" t="s">
        <v>1376</v>
      </c>
      <c r="F337" s="684" t="s">
        <v>53</v>
      </c>
      <c r="G337" s="685" t="s">
        <v>47</v>
      </c>
      <c r="H337" s="684" t="s">
        <v>1366</v>
      </c>
      <c r="I337" s="686">
        <v>3560</v>
      </c>
      <c r="J337" s="686">
        <v>4450</v>
      </c>
      <c r="K337" s="686">
        <v>4450</v>
      </c>
      <c r="L337" s="686">
        <v>5635</v>
      </c>
      <c r="M337" s="685"/>
      <c r="N337" s="685"/>
      <c r="O337" s="685"/>
      <c r="P337" s="685"/>
      <c r="Q337" s="685"/>
      <c r="R337" s="685"/>
      <c r="S337" s="685"/>
      <c r="T337" s="685"/>
      <c r="U337" s="685"/>
      <c r="V337" s="685"/>
      <c r="W337" s="685"/>
      <c r="X337" s="687"/>
      <c r="Y337" s="687"/>
      <c r="Z337" s="685" t="s">
        <v>1367</v>
      </c>
      <c r="AA337" s="688" t="s">
        <v>304</v>
      </c>
    </row>
    <row r="338" spans="1:27" s="64" customFormat="1" x14ac:dyDescent="0.25">
      <c r="A338" s="683" t="s">
        <v>1344</v>
      </c>
      <c r="B338" s="684"/>
      <c r="C338" s="684" t="s">
        <v>1347</v>
      </c>
      <c r="D338" s="684" t="s">
        <v>1114</v>
      </c>
      <c r="E338" s="684" t="s">
        <v>1377</v>
      </c>
      <c r="F338" s="684" t="s">
        <v>53</v>
      </c>
      <c r="G338" s="685" t="s">
        <v>47</v>
      </c>
      <c r="H338" s="684" t="s">
        <v>1366</v>
      </c>
      <c r="I338" s="686">
        <v>3640</v>
      </c>
      <c r="J338" s="686">
        <v>4550</v>
      </c>
      <c r="K338" s="686">
        <v>4550</v>
      </c>
      <c r="L338" s="686">
        <v>5760</v>
      </c>
      <c r="M338" s="685"/>
      <c r="N338" s="685"/>
      <c r="O338" s="685"/>
      <c r="P338" s="685"/>
      <c r="Q338" s="685"/>
      <c r="R338" s="685"/>
      <c r="S338" s="685"/>
      <c r="T338" s="685"/>
      <c r="U338" s="685"/>
      <c r="V338" s="685"/>
      <c r="W338" s="685"/>
      <c r="X338" s="687"/>
      <c r="Y338" s="687"/>
      <c r="Z338" s="685" t="s">
        <v>1367</v>
      </c>
      <c r="AA338" s="688" t="s">
        <v>304</v>
      </c>
    </row>
    <row r="339" spans="1:27" s="64" customFormat="1" x14ac:dyDescent="0.25">
      <c r="A339" s="683" t="s">
        <v>1344</v>
      </c>
      <c r="B339" s="684"/>
      <c r="C339" s="684" t="s">
        <v>1347</v>
      </c>
      <c r="D339" s="684" t="s">
        <v>1114</v>
      </c>
      <c r="E339" s="684" t="s">
        <v>1378</v>
      </c>
      <c r="F339" s="684" t="s">
        <v>120</v>
      </c>
      <c r="G339" s="685" t="s">
        <v>49</v>
      </c>
      <c r="H339" s="684" t="s">
        <v>1366</v>
      </c>
      <c r="I339" s="686">
        <v>5720</v>
      </c>
      <c r="J339" s="686">
        <v>7150</v>
      </c>
      <c r="K339" s="686">
        <v>7150</v>
      </c>
      <c r="L339" s="686">
        <v>9050</v>
      </c>
      <c r="M339" s="685"/>
      <c r="N339" s="685"/>
      <c r="O339" s="685"/>
      <c r="P339" s="685"/>
      <c r="Q339" s="685"/>
      <c r="R339" s="685"/>
      <c r="S339" s="685"/>
      <c r="T339" s="685"/>
      <c r="U339" s="685"/>
      <c r="V339" s="685"/>
      <c r="W339" s="685"/>
      <c r="X339" s="687"/>
      <c r="Y339" s="687"/>
      <c r="Z339" s="685" t="s">
        <v>1367</v>
      </c>
      <c r="AA339" s="688" t="s">
        <v>304</v>
      </c>
    </row>
    <row r="340" spans="1:27" s="64" customFormat="1" x14ac:dyDescent="0.25">
      <c r="A340" s="683" t="s">
        <v>1344</v>
      </c>
      <c r="B340" s="684"/>
      <c r="C340" s="684" t="s">
        <v>1347</v>
      </c>
      <c r="D340" s="684" t="s">
        <v>1114</v>
      </c>
      <c r="E340" s="684" t="s">
        <v>1379</v>
      </c>
      <c r="F340" s="684" t="s">
        <v>53</v>
      </c>
      <c r="G340" s="685" t="s">
        <v>47</v>
      </c>
      <c r="H340" s="684" t="s">
        <v>1366</v>
      </c>
      <c r="I340" s="686">
        <v>3320</v>
      </c>
      <c r="J340" s="686">
        <v>4150</v>
      </c>
      <c r="K340" s="686">
        <v>4150</v>
      </c>
      <c r="L340" s="686">
        <v>5255</v>
      </c>
      <c r="M340" s="685"/>
      <c r="N340" s="685"/>
      <c r="O340" s="685"/>
      <c r="P340" s="685"/>
      <c r="Q340" s="685"/>
      <c r="R340" s="685"/>
      <c r="S340" s="685"/>
      <c r="T340" s="685"/>
      <c r="U340" s="685"/>
      <c r="V340" s="685"/>
      <c r="W340" s="685"/>
      <c r="X340" s="687"/>
      <c r="Y340" s="687"/>
      <c r="Z340" s="685" t="s">
        <v>1367</v>
      </c>
      <c r="AA340" s="688" t="s">
        <v>304</v>
      </c>
    </row>
    <row r="341" spans="1:27" s="64" customFormat="1" x14ac:dyDescent="0.25">
      <c r="A341" s="683" t="s">
        <v>1344</v>
      </c>
      <c r="B341" s="684"/>
      <c r="C341" s="684" t="s">
        <v>1347</v>
      </c>
      <c r="D341" s="684" t="s">
        <v>1368</v>
      </c>
      <c r="E341" s="684" t="s">
        <v>1379</v>
      </c>
      <c r="F341" s="684" t="s">
        <v>53</v>
      </c>
      <c r="G341" s="685" t="s">
        <v>47</v>
      </c>
      <c r="H341" s="684" t="s">
        <v>1366</v>
      </c>
      <c r="I341" s="686">
        <v>3320</v>
      </c>
      <c r="J341" s="686">
        <v>4150</v>
      </c>
      <c r="K341" s="686">
        <v>4150</v>
      </c>
      <c r="L341" s="686">
        <v>5255</v>
      </c>
      <c r="M341" s="685"/>
      <c r="N341" s="685"/>
      <c r="O341" s="685"/>
      <c r="P341" s="685"/>
      <c r="Q341" s="685"/>
      <c r="R341" s="685"/>
      <c r="S341" s="685"/>
      <c r="T341" s="685"/>
      <c r="U341" s="685"/>
      <c r="V341" s="685"/>
      <c r="W341" s="685"/>
      <c r="X341" s="687"/>
      <c r="Y341" s="687"/>
      <c r="Z341" s="685" t="s">
        <v>1367</v>
      </c>
      <c r="AA341" s="688" t="s">
        <v>304</v>
      </c>
    </row>
    <row r="342" spans="1:27" s="64" customFormat="1" x14ac:dyDescent="0.25">
      <c r="A342" s="683" t="s">
        <v>1344</v>
      </c>
      <c r="B342" s="684"/>
      <c r="C342" s="684" t="s">
        <v>1347</v>
      </c>
      <c r="D342" s="684" t="s">
        <v>1114</v>
      </c>
      <c r="E342" s="684" t="s">
        <v>1380</v>
      </c>
      <c r="F342" s="684" t="s">
        <v>53</v>
      </c>
      <c r="G342" s="685" t="s">
        <v>47</v>
      </c>
      <c r="H342" s="684" t="s">
        <v>1366</v>
      </c>
      <c r="I342" s="686">
        <v>4120</v>
      </c>
      <c r="J342" s="686">
        <v>5150</v>
      </c>
      <c r="K342" s="686">
        <v>5150</v>
      </c>
      <c r="L342" s="686">
        <v>6520</v>
      </c>
      <c r="M342" s="685"/>
      <c r="N342" s="685"/>
      <c r="O342" s="685"/>
      <c r="P342" s="685"/>
      <c r="Q342" s="685"/>
      <c r="R342" s="685"/>
      <c r="S342" s="685"/>
      <c r="T342" s="685"/>
      <c r="U342" s="685"/>
      <c r="V342" s="685"/>
      <c r="W342" s="685"/>
      <c r="X342" s="687"/>
      <c r="Y342" s="687"/>
      <c r="Z342" s="685" t="s">
        <v>1367</v>
      </c>
      <c r="AA342" s="688" t="s">
        <v>304</v>
      </c>
    </row>
    <row r="343" spans="1:27" s="64" customFormat="1" x14ac:dyDescent="0.25">
      <c r="A343" s="683" t="s">
        <v>1344</v>
      </c>
      <c r="B343" s="684"/>
      <c r="C343" s="684" t="s">
        <v>1347</v>
      </c>
      <c r="D343" s="684" t="s">
        <v>1114</v>
      </c>
      <c r="E343" s="684" t="s">
        <v>1382</v>
      </c>
      <c r="F343" s="684" t="s">
        <v>53</v>
      </c>
      <c r="G343" s="685" t="s">
        <v>47</v>
      </c>
      <c r="H343" s="684" t="s">
        <v>1366</v>
      </c>
      <c r="I343" s="686">
        <v>3400</v>
      </c>
      <c r="J343" s="686">
        <v>4250</v>
      </c>
      <c r="K343" s="686">
        <v>4250</v>
      </c>
      <c r="L343" s="686">
        <v>5380</v>
      </c>
      <c r="M343" s="685"/>
      <c r="N343" s="685"/>
      <c r="O343" s="685"/>
      <c r="P343" s="685"/>
      <c r="Q343" s="685"/>
      <c r="R343" s="685"/>
      <c r="S343" s="685"/>
      <c r="T343" s="685"/>
      <c r="U343" s="685"/>
      <c r="V343" s="685"/>
      <c r="W343" s="685"/>
      <c r="X343" s="687"/>
      <c r="Y343" s="687"/>
      <c r="Z343" s="685" t="s">
        <v>1367</v>
      </c>
      <c r="AA343" s="688" t="s">
        <v>304</v>
      </c>
    </row>
    <row r="344" spans="1:27" s="64" customFormat="1" x14ac:dyDescent="0.25">
      <c r="A344" s="683" t="s">
        <v>1344</v>
      </c>
      <c r="B344" s="684"/>
      <c r="C344" s="684" t="s">
        <v>1347</v>
      </c>
      <c r="D344" s="684" t="s">
        <v>1114</v>
      </c>
      <c r="E344" s="684" t="s">
        <v>1383</v>
      </c>
      <c r="F344" s="684" t="s">
        <v>53</v>
      </c>
      <c r="G344" s="685" t="s">
        <v>47</v>
      </c>
      <c r="H344" s="684" t="s">
        <v>1366</v>
      </c>
      <c r="I344" s="686">
        <v>3400</v>
      </c>
      <c r="J344" s="686">
        <v>4250</v>
      </c>
      <c r="K344" s="686">
        <v>4250</v>
      </c>
      <c r="L344" s="686">
        <v>5380</v>
      </c>
      <c r="M344" s="685"/>
      <c r="N344" s="685"/>
      <c r="O344" s="685"/>
      <c r="P344" s="685"/>
      <c r="Q344" s="685"/>
      <c r="R344" s="685"/>
      <c r="S344" s="685"/>
      <c r="T344" s="685"/>
      <c r="U344" s="685"/>
      <c r="V344" s="685"/>
      <c r="W344" s="685"/>
      <c r="X344" s="687"/>
      <c r="Y344" s="687"/>
      <c r="Z344" s="685" t="s">
        <v>1367</v>
      </c>
      <c r="AA344" s="688" t="s">
        <v>304</v>
      </c>
    </row>
    <row r="345" spans="1:27" s="64" customFormat="1" x14ac:dyDescent="0.25">
      <c r="A345" s="683" t="s">
        <v>1344</v>
      </c>
      <c r="B345" s="684"/>
      <c r="C345" s="684" t="s">
        <v>1347</v>
      </c>
      <c r="D345" s="684" t="s">
        <v>1114</v>
      </c>
      <c r="E345" s="684" t="s">
        <v>1384</v>
      </c>
      <c r="F345" s="684" t="s">
        <v>53</v>
      </c>
      <c r="G345" s="685" t="s">
        <v>47</v>
      </c>
      <c r="H345" s="684" t="s">
        <v>1366</v>
      </c>
      <c r="I345" s="686">
        <v>3480</v>
      </c>
      <c r="J345" s="686">
        <v>4350</v>
      </c>
      <c r="K345" s="686">
        <v>4350</v>
      </c>
      <c r="L345" s="686">
        <v>5505</v>
      </c>
      <c r="M345" s="685"/>
      <c r="N345" s="685"/>
      <c r="O345" s="685"/>
      <c r="P345" s="685"/>
      <c r="Q345" s="685"/>
      <c r="R345" s="685"/>
      <c r="S345" s="685"/>
      <c r="T345" s="685"/>
      <c r="U345" s="685"/>
      <c r="V345" s="685"/>
      <c r="W345" s="685"/>
      <c r="X345" s="687"/>
      <c r="Y345" s="687"/>
      <c r="Z345" s="685" t="s">
        <v>1367</v>
      </c>
      <c r="AA345" s="688" t="s">
        <v>304</v>
      </c>
    </row>
    <row r="346" spans="1:27" s="64" customFormat="1" x14ac:dyDescent="0.25">
      <c r="A346" s="683" t="s">
        <v>1344</v>
      </c>
      <c r="B346" s="684"/>
      <c r="C346" s="684" t="s">
        <v>1347</v>
      </c>
      <c r="D346" s="684" t="s">
        <v>1368</v>
      </c>
      <c r="E346" s="684" t="s">
        <v>1384</v>
      </c>
      <c r="F346" s="684" t="s">
        <v>53</v>
      </c>
      <c r="G346" s="685" t="s">
        <v>47</v>
      </c>
      <c r="H346" s="684" t="s">
        <v>1366</v>
      </c>
      <c r="I346" s="686">
        <v>3240</v>
      </c>
      <c r="J346" s="686">
        <v>4050</v>
      </c>
      <c r="K346" s="686">
        <v>4050</v>
      </c>
      <c r="L346" s="686">
        <v>5125</v>
      </c>
      <c r="M346" s="685"/>
      <c r="N346" s="685"/>
      <c r="O346" s="685"/>
      <c r="P346" s="685"/>
      <c r="Q346" s="685"/>
      <c r="R346" s="685"/>
      <c r="S346" s="685"/>
      <c r="T346" s="685"/>
      <c r="U346" s="685"/>
      <c r="V346" s="685"/>
      <c r="W346" s="685"/>
      <c r="X346" s="687"/>
      <c r="Y346" s="687"/>
      <c r="Z346" s="685" t="s">
        <v>1367</v>
      </c>
      <c r="AA346" s="688" t="s">
        <v>304</v>
      </c>
    </row>
    <row r="347" spans="1:27" s="64" customFormat="1" x14ac:dyDescent="0.25">
      <c r="A347" s="683" t="s">
        <v>1344</v>
      </c>
      <c r="B347" s="684"/>
      <c r="C347" s="684" t="s">
        <v>1347</v>
      </c>
      <c r="D347" s="684" t="s">
        <v>1114</v>
      </c>
      <c r="E347" s="684" t="s">
        <v>1385</v>
      </c>
      <c r="F347" s="684" t="s">
        <v>53</v>
      </c>
      <c r="G347" s="685" t="s">
        <v>47</v>
      </c>
      <c r="H347" s="684" t="s">
        <v>1366</v>
      </c>
      <c r="I347" s="686">
        <v>4520</v>
      </c>
      <c r="J347" s="686">
        <v>5650</v>
      </c>
      <c r="K347" s="686">
        <v>5650</v>
      </c>
      <c r="L347" s="686">
        <v>7155</v>
      </c>
      <c r="M347" s="685"/>
      <c r="N347" s="685"/>
      <c r="O347" s="685"/>
      <c r="P347" s="685"/>
      <c r="Q347" s="685"/>
      <c r="R347" s="685"/>
      <c r="S347" s="685"/>
      <c r="T347" s="685"/>
      <c r="U347" s="685"/>
      <c r="V347" s="685"/>
      <c r="W347" s="685"/>
      <c r="X347" s="687"/>
      <c r="Y347" s="687"/>
      <c r="Z347" s="685" t="s">
        <v>1367</v>
      </c>
      <c r="AA347" s="688" t="s">
        <v>304</v>
      </c>
    </row>
    <row r="348" spans="1:27" s="64" customFormat="1" x14ac:dyDescent="0.25">
      <c r="A348" s="683" t="s">
        <v>1344</v>
      </c>
      <c r="B348" s="684"/>
      <c r="C348" s="684" t="s">
        <v>1347</v>
      </c>
      <c r="D348" s="684" t="s">
        <v>1114</v>
      </c>
      <c r="E348" s="684" t="s">
        <v>1386</v>
      </c>
      <c r="F348" s="684" t="s">
        <v>53</v>
      </c>
      <c r="G348" s="685" t="s">
        <v>47</v>
      </c>
      <c r="H348" s="684" t="s">
        <v>1366</v>
      </c>
      <c r="I348" s="686">
        <v>3960</v>
      </c>
      <c r="J348" s="686">
        <v>4950</v>
      </c>
      <c r="K348" s="686">
        <v>4950</v>
      </c>
      <c r="L348" s="686">
        <v>6265</v>
      </c>
      <c r="M348" s="685"/>
      <c r="N348" s="685"/>
      <c r="O348" s="685"/>
      <c r="P348" s="685"/>
      <c r="Q348" s="685"/>
      <c r="R348" s="685"/>
      <c r="S348" s="685"/>
      <c r="T348" s="685"/>
      <c r="U348" s="685"/>
      <c r="V348" s="685"/>
      <c r="W348" s="685"/>
      <c r="X348" s="687"/>
      <c r="Y348" s="687"/>
      <c r="Z348" s="685" t="s">
        <v>1367</v>
      </c>
      <c r="AA348" s="688" t="s">
        <v>304</v>
      </c>
    </row>
    <row r="349" spans="1:27" s="64" customFormat="1" x14ac:dyDescent="0.25">
      <c r="A349" s="683" t="s">
        <v>1344</v>
      </c>
      <c r="B349" s="684"/>
      <c r="C349" s="684" t="s">
        <v>1347</v>
      </c>
      <c r="D349" s="684" t="s">
        <v>1114</v>
      </c>
      <c r="E349" s="684" t="s">
        <v>1387</v>
      </c>
      <c r="F349" s="684" t="s">
        <v>53</v>
      </c>
      <c r="G349" s="685" t="s">
        <v>47</v>
      </c>
      <c r="H349" s="684" t="s">
        <v>1366</v>
      </c>
      <c r="I349" s="686">
        <v>5080</v>
      </c>
      <c r="J349" s="686">
        <v>6350</v>
      </c>
      <c r="K349" s="686">
        <v>6350</v>
      </c>
      <c r="L349" s="686">
        <v>8040</v>
      </c>
      <c r="M349" s="685"/>
      <c r="N349" s="685"/>
      <c r="O349" s="685"/>
      <c r="P349" s="685"/>
      <c r="Q349" s="685"/>
      <c r="R349" s="685"/>
      <c r="S349" s="685"/>
      <c r="T349" s="685"/>
      <c r="U349" s="685"/>
      <c r="V349" s="685"/>
      <c r="W349" s="685"/>
      <c r="X349" s="687"/>
      <c r="Y349" s="687"/>
      <c r="Z349" s="685" t="s">
        <v>1367</v>
      </c>
      <c r="AA349" s="688" t="s">
        <v>304</v>
      </c>
    </row>
    <row r="350" spans="1:27" s="64" customFormat="1" x14ac:dyDescent="0.25">
      <c r="A350" s="683" t="s">
        <v>1344</v>
      </c>
      <c r="B350" s="684"/>
      <c r="C350" s="684" t="s">
        <v>1347</v>
      </c>
      <c r="D350" s="684" t="s">
        <v>1114</v>
      </c>
      <c r="E350" s="684" t="s">
        <v>1388</v>
      </c>
      <c r="F350" s="684" t="s">
        <v>53</v>
      </c>
      <c r="G350" s="685" t="s">
        <v>47</v>
      </c>
      <c r="H350" s="684" t="s">
        <v>1366</v>
      </c>
      <c r="I350" s="686">
        <v>5080</v>
      </c>
      <c r="J350" s="686">
        <v>6350</v>
      </c>
      <c r="K350" s="686">
        <v>6350</v>
      </c>
      <c r="L350" s="686">
        <v>8040</v>
      </c>
      <c r="M350" s="685"/>
      <c r="N350" s="685"/>
      <c r="O350" s="685"/>
      <c r="P350" s="685"/>
      <c r="Q350" s="685"/>
      <c r="R350" s="685"/>
      <c r="S350" s="685"/>
      <c r="T350" s="685"/>
      <c r="U350" s="685"/>
      <c r="V350" s="685"/>
      <c r="W350" s="685"/>
      <c r="X350" s="687"/>
      <c r="Y350" s="687"/>
      <c r="Z350" s="685" t="s">
        <v>1367</v>
      </c>
      <c r="AA350" s="688" t="s">
        <v>304</v>
      </c>
    </row>
    <row r="351" spans="1:27" s="64" customFormat="1" x14ac:dyDescent="0.25">
      <c r="A351" s="683" t="s">
        <v>1344</v>
      </c>
      <c r="B351" s="684"/>
      <c r="C351" s="684" t="s">
        <v>1347</v>
      </c>
      <c r="D351" s="684" t="s">
        <v>1114</v>
      </c>
      <c r="E351" s="684" t="s">
        <v>1389</v>
      </c>
      <c r="F351" s="684" t="s">
        <v>53</v>
      </c>
      <c r="G351" s="685" t="s">
        <v>47</v>
      </c>
      <c r="H351" s="684" t="s">
        <v>1366</v>
      </c>
      <c r="I351" s="686">
        <v>5080</v>
      </c>
      <c r="J351" s="686">
        <v>6350</v>
      </c>
      <c r="K351" s="686">
        <v>6350</v>
      </c>
      <c r="L351" s="686">
        <v>8040</v>
      </c>
      <c r="M351" s="685"/>
      <c r="N351" s="685"/>
      <c r="O351" s="685"/>
      <c r="P351" s="685"/>
      <c r="Q351" s="685"/>
      <c r="R351" s="685"/>
      <c r="S351" s="685"/>
      <c r="T351" s="685"/>
      <c r="U351" s="685"/>
      <c r="V351" s="685"/>
      <c r="W351" s="685"/>
      <c r="X351" s="687"/>
      <c r="Y351" s="687"/>
      <c r="Z351" s="685" t="s">
        <v>1367</v>
      </c>
      <c r="AA351" s="688" t="s">
        <v>304</v>
      </c>
    </row>
    <row r="352" spans="1:27" s="64" customFormat="1" x14ac:dyDescent="0.25">
      <c r="A352" s="683" t="s">
        <v>1344</v>
      </c>
      <c r="B352" s="684"/>
      <c r="C352" s="684" t="s">
        <v>1347</v>
      </c>
      <c r="D352" s="684" t="s">
        <v>1114</v>
      </c>
      <c r="E352" s="684" t="s">
        <v>1390</v>
      </c>
      <c r="F352" s="684" t="s">
        <v>53</v>
      </c>
      <c r="G352" s="685" t="s">
        <v>47</v>
      </c>
      <c r="H352" s="684" t="s">
        <v>1366</v>
      </c>
      <c r="I352" s="686">
        <v>5080</v>
      </c>
      <c r="J352" s="686">
        <v>6350</v>
      </c>
      <c r="K352" s="686">
        <v>6350</v>
      </c>
      <c r="L352" s="686">
        <v>8040</v>
      </c>
      <c r="M352" s="685"/>
      <c r="N352" s="685"/>
      <c r="O352" s="685"/>
      <c r="P352" s="685"/>
      <c r="Q352" s="685"/>
      <c r="R352" s="685"/>
      <c r="S352" s="685"/>
      <c r="T352" s="685"/>
      <c r="U352" s="685"/>
      <c r="V352" s="685"/>
      <c r="W352" s="685"/>
      <c r="X352" s="687"/>
      <c r="Y352" s="687"/>
      <c r="Z352" s="685" t="s">
        <v>1367</v>
      </c>
      <c r="AA352" s="688" t="s">
        <v>304</v>
      </c>
    </row>
    <row r="353" spans="1:27" s="64" customFormat="1" x14ac:dyDescent="0.25">
      <c r="A353" s="683" t="s">
        <v>1344</v>
      </c>
      <c r="B353" s="684"/>
      <c r="C353" s="684" t="s">
        <v>1347</v>
      </c>
      <c r="D353" s="684" t="s">
        <v>1114</v>
      </c>
      <c r="E353" s="684" t="s">
        <v>1391</v>
      </c>
      <c r="F353" s="684" t="s">
        <v>53</v>
      </c>
      <c r="G353" s="685" t="s">
        <v>47</v>
      </c>
      <c r="H353" s="684" t="s">
        <v>1366</v>
      </c>
      <c r="I353" s="686">
        <v>5080</v>
      </c>
      <c r="J353" s="686">
        <v>6350</v>
      </c>
      <c r="K353" s="686">
        <v>6350</v>
      </c>
      <c r="L353" s="686">
        <v>8040</v>
      </c>
      <c r="M353" s="685"/>
      <c r="N353" s="685"/>
      <c r="O353" s="685"/>
      <c r="P353" s="685"/>
      <c r="Q353" s="685"/>
      <c r="R353" s="685"/>
      <c r="S353" s="685"/>
      <c r="T353" s="685"/>
      <c r="U353" s="685"/>
      <c r="V353" s="685"/>
      <c r="W353" s="685"/>
      <c r="X353" s="687"/>
      <c r="Y353" s="687"/>
      <c r="Z353" s="685" t="s">
        <v>1367</v>
      </c>
      <c r="AA353" s="688" t="s">
        <v>304</v>
      </c>
    </row>
    <row r="354" spans="1:27" s="64" customFormat="1" x14ac:dyDescent="0.25">
      <c r="A354" s="683" t="s">
        <v>1344</v>
      </c>
      <c r="B354" s="684"/>
      <c r="C354" s="684" t="s">
        <v>1392</v>
      </c>
      <c r="D354" s="684" t="s">
        <v>1114</v>
      </c>
      <c r="E354" s="684"/>
      <c r="F354" s="684" t="s">
        <v>51</v>
      </c>
      <c r="G354" s="685" t="s">
        <v>47</v>
      </c>
      <c r="H354" s="684" t="s">
        <v>1366</v>
      </c>
      <c r="I354" s="686">
        <v>1440</v>
      </c>
      <c r="J354" s="686">
        <v>1800</v>
      </c>
      <c r="K354" s="686">
        <v>1800</v>
      </c>
      <c r="L354" s="686">
        <v>2280</v>
      </c>
      <c r="M354" s="685"/>
      <c r="N354" s="685"/>
      <c r="O354" s="685"/>
      <c r="P354" s="685"/>
      <c r="Q354" s="685"/>
      <c r="R354" s="685"/>
      <c r="S354" s="685"/>
      <c r="T354" s="685"/>
      <c r="U354" s="685"/>
      <c r="V354" s="685"/>
      <c r="W354" s="685"/>
      <c r="X354" s="687"/>
      <c r="Y354" s="687"/>
      <c r="Z354" s="685" t="s">
        <v>1367</v>
      </c>
      <c r="AA354" s="688" t="s">
        <v>304</v>
      </c>
    </row>
    <row r="355" spans="1:27" s="64" customFormat="1" x14ac:dyDescent="0.25">
      <c r="A355" s="683" t="s">
        <v>1344</v>
      </c>
      <c r="B355" s="684"/>
      <c r="C355" s="684" t="s">
        <v>1392</v>
      </c>
      <c r="D355" s="684" t="s">
        <v>1368</v>
      </c>
      <c r="E355" s="684"/>
      <c r="F355" s="684" t="s">
        <v>51</v>
      </c>
      <c r="G355" s="685" t="s">
        <v>47</v>
      </c>
      <c r="H355" s="684" t="s">
        <v>1366</v>
      </c>
      <c r="I355" s="686">
        <v>1440</v>
      </c>
      <c r="J355" s="686">
        <v>1800</v>
      </c>
      <c r="K355" s="686">
        <v>1800</v>
      </c>
      <c r="L355" s="686">
        <v>2280</v>
      </c>
      <c r="M355" s="685"/>
      <c r="N355" s="685"/>
      <c r="O355" s="685"/>
      <c r="P355" s="685"/>
      <c r="Q355" s="685"/>
      <c r="R355" s="685"/>
      <c r="S355" s="685"/>
      <c r="T355" s="685"/>
      <c r="U355" s="685"/>
      <c r="V355" s="685"/>
      <c r="W355" s="685"/>
      <c r="X355" s="687"/>
      <c r="Y355" s="687"/>
      <c r="Z355" s="685" t="s">
        <v>1367</v>
      </c>
      <c r="AA355" s="688" t="s">
        <v>304</v>
      </c>
    </row>
    <row r="356" spans="1:27" s="64" customFormat="1" x14ac:dyDescent="0.25">
      <c r="A356" s="683" t="s">
        <v>1344</v>
      </c>
      <c r="B356" s="684"/>
      <c r="C356" s="684" t="s">
        <v>1392</v>
      </c>
      <c r="D356" s="684" t="s">
        <v>1114</v>
      </c>
      <c r="E356" s="684" t="s">
        <v>1369</v>
      </c>
      <c r="F356" s="684" t="s">
        <v>53</v>
      </c>
      <c r="G356" s="685" t="s">
        <v>47</v>
      </c>
      <c r="H356" s="684" t="s">
        <v>1366</v>
      </c>
      <c r="I356" s="686">
        <v>3530</v>
      </c>
      <c r="J356" s="686">
        <v>4150</v>
      </c>
      <c r="K356" s="686">
        <v>4150</v>
      </c>
      <c r="L356" s="686">
        <v>5255</v>
      </c>
      <c r="M356" s="685"/>
      <c r="N356" s="685"/>
      <c r="O356" s="685"/>
      <c r="P356" s="685"/>
      <c r="Q356" s="685"/>
      <c r="R356" s="685"/>
      <c r="S356" s="685"/>
      <c r="T356" s="685"/>
      <c r="U356" s="685"/>
      <c r="V356" s="685"/>
      <c r="W356" s="685"/>
      <c r="X356" s="687"/>
      <c r="Y356" s="687"/>
      <c r="Z356" s="685" t="s">
        <v>1367</v>
      </c>
      <c r="AA356" s="688" t="s">
        <v>304</v>
      </c>
    </row>
    <row r="357" spans="1:27" s="64" customFormat="1" x14ac:dyDescent="0.25">
      <c r="A357" s="683" t="s">
        <v>1344</v>
      </c>
      <c r="B357" s="684"/>
      <c r="C357" s="684" t="s">
        <v>1392</v>
      </c>
      <c r="D357" s="684" t="s">
        <v>1114</v>
      </c>
      <c r="E357" s="684" t="s">
        <v>1370</v>
      </c>
      <c r="F357" s="684" t="s">
        <v>53</v>
      </c>
      <c r="G357" s="685" t="s">
        <v>47</v>
      </c>
      <c r="H357" s="684" t="s">
        <v>1366</v>
      </c>
      <c r="I357" s="686">
        <v>4040</v>
      </c>
      <c r="J357" s="686">
        <v>4750</v>
      </c>
      <c r="K357" s="686">
        <v>4750</v>
      </c>
      <c r="L357" s="686">
        <v>6015</v>
      </c>
      <c r="M357" s="685"/>
      <c r="N357" s="685"/>
      <c r="O357" s="685"/>
      <c r="P357" s="685"/>
      <c r="Q357" s="685"/>
      <c r="R357" s="685"/>
      <c r="S357" s="685"/>
      <c r="T357" s="685"/>
      <c r="U357" s="685"/>
      <c r="V357" s="685"/>
      <c r="W357" s="685"/>
      <c r="X357" s="687"/>
      <c r="Y357" s="687"/>
      <c r="Z357" s="685" t="s">
        <v>1367</v>
      </c>
      <c r="AA357" s="688" t="s">
        <v>304</v>
      </c>
    </row>
    <row r="358" spans="1:27" s="64" customFormat="1" x14ac:dyDescent="0.25">
      <c r="A358" s="683" t="s">
        <v>1344</v>
      </c>
      <c r="B358" s="684"/>
      <c r="C358" s="684" t="s">
        <v>1392</v>
      </c>
      <c r="D358" s="684" t="s">
        <v>1114</v>
      </c>
      <c r="E358" s="684" t="s">
        <v>1371</v>
      </c>
      <c r="F358" s="684" t="s">
        <v>53</v>
      </c>
      <c r="G358" s="685" t="s">
        <v>47</v>
      </c>
      <c r="H358" s="684" t="s">
        <v>1366</v>
      </c>
      <c r="I358" s="686">
        <v>4040</v>
      </c>
      <c r="J358" s="686">
        <v>4750</v>
      </c>
      <c r="K358" s="686">
        <v>4750</v>
      </c>
      <c r="L358" s="686">
        <v>6015</v>
      </c>
      <c r="M358" s="685"/>
      <c r="N358" s="685"/>
      <c r="O358" s="685"/>
      <c r="P358" s="685"/>
      <c r="Q358" s="685"/>
      <c r="R358" s="685"/>
      <c r="S358" s="685"/>
      <c r="T358" s="685"/>
      <c r="U358" s="685"/>
      <c r="V358" s="685"/>
      <c r="W358" s="685"/>
      <c r="X358" s="687"/>
      <c r="Y358" s="687"/>
      <c r="Z358" s="685" t="s">
        <v>1367</v>
      </c>
      <c r="AA358" s="688" t="s">
        <v>304</v>
      </c>
    </row>
    <row r="359" spans="1:27" s="64" customFormat="1" x14ac:dyDescent="0.25">
      <c r="A359" s="683" t="s">
        <v>1344</v>
      </c>
      <c r="B359" s="684"/>
      <c r="C359" s="684" t="s">
        <v>1392</v>
      </c>
      <c r="D359" s="684" t="s">
        <v>1114</v>
      </c>
      <c r="E359" s="684" t="s">
        <v>1372</v>
      </c>
      <c r="F359" s="684" t="s">
        <v>53</v>
      </c>
      <c r="G359" s="685" t="s">
        <v>47</v>
      </c>
      <c r="H359" s="684" t="s">
        <v>1366</v>
      </c>
      <c r="I359" s="686">
        <v>4040</v>
      </c>
      <c r="J359" s="686">
        <v>4750</v>
      </c>
      <c r="K359" s="686">
        <v>4750</v>
      </c>
      <c r="L359" s="686">
        <v>6015</v>
      </c>
      <c r="M359" s="685"/>
      <c r="N359" s="685"/>
      <c r="O359" s="685"/>
      <c r="P359" s="685"/>
      <c r="Q359" s="685"/>
      <c r="R359" s="685"/>
      <c r="S359" s="685"/>
      <c r="T359" s="685"/>
      <c r="U359" s="685"/>
      <c r="V359" s="685"/>
      <c r="W359" s="685"/>
      <c r="X359" s="687"/>
      <c r="Y359" s="687"/>
      <c r="Z359" s="685" t="s">
        <v>1367</v>
      </c>
      <c r="AA359" s="688" t="s">
        <v>304</v>
      </c>
    </row>
    <row r="360" spans="1:27" s="64" customFormat="1" x14ac:dyDescent="0.25">
      <c r="A360" s="683" t="s">
        <v>1344</v>
      </c>
      <c r="B360" s="684"/>
      <c r="C360" s="684" t="s">
        <v>1392</v>
      </c>
      <c r="D360" s="684" t="s">
        <v>1114</v>
      </c>
      <c r="E360" s="684" t="s">
        <v>1373</v>
      </c>
      <c r="F360" s="684" t="s">
        <v>53</v>
      </c>
      <c r="G360" s="685" t="s">
        <v>47</v>
      </c>
      <c r="H360" s="684" t="s">
        <v>1366</v>
      </c>
      <c r="I360" s="686">
        <v>3530</v>
      </c>
      <c r="J360" s="686">
        <v>4150</v>
      </c>
      <c r="K360" s="686">
        <v>4150</v>
      </c>
      <c r="L360" s="686">
        <v>5255</v>
      </c>
      <c r="M360" s="685"/>
      <c r="N360" s="685"/>
      <c r="O360" s="685"/>
      <c r="P360" s="685"/>
      <c r="Q360" s="685"/>
      <c r="R360" s="685"/>
      <c r="S360" s="685"/>
      <c r="T360" s="685"/>
      <c r="U360" s="685"/>
      <c r="V360" s="685"/>
      <c r="W360" s="685"/>
      <c r="X360" s="687"/>
      <c r="Y360" s="687"/>
      <c r="Z360" s="685" t="s">
        <v>1367</v>
      </c>
      <c r="AA360" s="688" t="s">
        <v>304</v>
      </c>
    </row>
    <row r="361" spans="1:27" s="64" customFormat="1" x14ac:dyDescent="0.25">
      <c r="A361" s="683" t="s">
        <v>1344</v>
      </c>
      <c r="B361" s="684"/>
      <c r="C361" s="684" t="s">
        <v>1392</v>
      </c>
      <c r="D361" s="684" t="s">
        <v>1114</v>
      </c>
      <c r="E361" s="684" t="s">
        <v>1374</v>
      </c>
      <c r="F361" s="684" t="s">
        <v>53</v>
      </c>
      <c r="G361" s="685" t="s">
        <v>47</v>
      </c>
      <c r="H361" s="684" t="s">
        <v>1366</v>
      </c>
      <c r="I361" s="686">
        <v>4210</v>
      </c>
      <c r="J361" s="686">
        <v>4950</v>
      </c>
      <c r="K361" s="686">
        <v>4950</v>
      </c>
      <c r="L361" s="686">
        <v>6265</v>
      </c>
      <c r="M361" s="685"/>
      <c r="N361" s="685"/>
      <c r="O361" s="685"/>
      <c r="P361" s="685"/>
      <c r="Q361" s="685"/>
      <c r="R361" s="685"/>
      <c r="S361" s="685"/>
      <c r="T361" s="685"/>
      <c r="U361" s="685"/>
      <c r="V361" s="685"/>
      <c r="W361" s="685"/>
      <c r="X361" s="687"/>
      <c r="Y361" s="687"/>
      <c r="Z361" s="685" t="s">
        <v>1367</v>
      </c>
      <c r="AA361" s="688" t="s">
        <v>304</v>
      </c>
    </row>
    <row r="362" spans="1:27" s="64" customFormat="1" x14ac:dyDescent="0.25">
      <c r="A362" s="683" t="s">
        <v>1344</v>
      </c>
      <c r="B362" s="684"/>
      <c r="C362" s="684" t="s">
        <v>1392</v>
      </c>
      <c r="D362" s="684" t="s">
        <v>1114</v>
      </c>
      <c r="E362" s="684" t="s">
        <v>1375</v>
      </c>
      <c r="F362" s="684" t="s">
        <v>53</v>
      </c>
      <c r="G362" s="685" t="s">
        <v>47</v>
      </c>
      <c r="H362" s="684" t="s">
        <v>1366</v>
      </c>
      <c r="I362" s="686">
        <v>4380</v>
      </c>
      <c r="J362" s="686">
        <v>5150</v>
      </c>
      <c r="K362" s="686">
        <v>5150</v>
      </c>
      <c r="L362" s="686">
        <v>6520</v>
      </c>
      <c r="M362" s="685"/>
      <c r="N362" s="685"/>
      <c r="O362" s="685"/>
      <c r="P362" s="685"/>
      <c r="Q362" s="685"/>
      <c r="R362" s="685"/>
      <c r="S362" s="685"/>
      <c r="T362" s="685"/>
      <c r="U362" s="685"/>
      <c r="V362" s="685"/>
      <c r="W362" s="685"/>
      <c r="X362" s="687"/>
      <c r="Y362" s="687"/>
      <c r="Z362" s="685" t="s">
        <v>1367</v>
      </c>
      <c r="AA362" s="688" t="s">
        <v>304</v>
      </c>
    </row>
    <row r="363" spans="1:27" s="64" customFormat="1" x14ac:dyDescent="0.25">
      <c r="A363" s="683" t="s">
        <v>1344</v>
      </c>
      <c r="B363" s="684"/>
      <c r="C363" s="684" t="s">
        <v>1392</v>
      </c>
      <c r="D363" s="684" t="s">
        <v>1114</v>
      </c>
      <c r="E363" s="684" t="s">
        <v>1376</v>
      </c>
      <c r="F363" s="684" t="s">
        <v>53</v>
      </c>
      <c r="G363" s="685" t="s">
        <v>47</v>
      </c>
      <c r="H363" s="684" t="s">
        <v>1366</v>
      </c>
      <c r="I363" s="686">
        <v>3785</v>
      </c>
      <c r="J363" s="686">
        <v>4450</v>
      </c>
      <c r="K363" s="686">
        <v>4450</v>
      </c>
      <c r="L363" s="686">
        <v>5635</v>
      </c>
      <c r="M363" s="685"/>
      <c r="N363" s="685"/>
      <c r="O363" s="685"/>
      <c r="P363" s="685"/>
      <c r="Q363" s="685"/>
      <c r="R363" s="685"/>
      <c r="S363" s="685"/>
      <c r="T363" s="685"/>
      <c r="U363" s="685"/>
      <c r="V363" s="685"/>
      <c r="W363" s="685"/>
      <c r="X363" s="687"/>
      <c r="Y363" s="687"/>
      <c r="Z363" s="685" t="s">
        <v>1367</v>
      </c>
      <c r="AA363" s="688" t="s">
        <v>304</v>
      </c>
    </row>
    <row r="364" spans="1:27" s="64" customFormat="1" x14ac:dyDescent="0.25">
      <c r="A364" s="683" t="s">
        <v>1344</v>
      </c>
      <c r="B364" s="684"/>
      <c r="C364" s="684" t="s">
        <v>1392</v>
      </c>
      <c r="D364" s="684" t="s">
        <v>1114</v>
      </c>
      <c r="E364" s="684" t="s">
        <v>1377</v>
      </c>
      <c r="F364" s="684" t="s">
        <v>53</v>
      </c>
      <c r="G364" s="685" t="s">
        <v>47</v>
      </c>
      <c r="H364" s="684" t="s">
        <v>1366</v>
      </c>
      <c r="I364" s="686">
        <v>3870</v>
      </c>
      <c r="J364" s="686">
        <v>4550</v>
      </c>
      <c r="K364" s="686">
        <v>4550</v>
      </c>
      <c r="L364" s="686">
        <v>5760</v>
      </c>
      <c r="M364" s="685"/>
      <c r="N364" s="685"/>
      <c r="O364" s="685"/>
      <c r="P364" s="685"/>
      <c r="Q364" s="685"/>
      <c r="R364" s="685"/>
      <c r="S364" s="685"/>
      <c r="T364" s="685"/>
      <c r="U364" s="685"/>
      <c r="V364" s="685"/>
      <c r="W364" s="685"/>
      <c r="X364" s="687"/>
      <c r="Y364" s="687"/>
      <c r="Z364" s="685" t="s">
        <v>1367</v>
      </c>
      <c r="AA364" s="688" t="s">
        <v>304</v>
      </c>
    </row>
    <row r="365" spans="1:27" s="64" customFormat="1" x14ac:dyDescent="0.25">
      <c r="A365" s="683" t="s">
        <v>1344</v>
      </c>
      <c r="B365" s="684"/>
      <c r="C365" s="684" t="s">
        <v>1392</v>
      </c>
      <c r="D365" s="684" t="s">
        <v>1114</v>
      </c>
      <c r="E365" s="684" t="s">
        <v>1378</v>
      </c>
      <c r="F365" s="684" t="s">
        <v>120</v>
      </c>
      <c r="G365" s="685" t="s">
        <v>49</v>
      </c>
      <c r="H365" s="684" t="s">
        <v>1366</v>
      </c>
      <c r="I365" s="686">
        <v>6080</v>
      </c>
      <c r="J365" s="686">
        <v>7150</v>
      </c>
      <c r="K365" s="686">
        <v>7150</v>
      </c>
      <c r="L365" s="686">
        <v>9050</v>
      </c>
      <c r="M365" s="685"/>
      <c r="N365" s="685"/>
      <c r="O365" s="685"/>
      <c r="P365" s="685"/>
      <c r="Q365" s="685"/>
      <c r="R365" s="685"/>
      <c r="S365" s="685"/>
      <c r="T365" s="685"/>
      <c r="U365" s="685"/>
      <c r="V365" s="685"/>
      <c r="W365" s="685"/>
      <c r="X365" s="687"/>
      <c r="Y365" s="687"/>
      <c r="Z365" s="685" t="s">
        <v>1367</v>
      </c>
      <c r="AA365" s="688" t="s">
        <v>304</v>
      </c>
    </row>
    <row r="366" spans="1:27" s="64" customFormat="1" x14ac:dyDescent="0.25">
      <c r="A366" s="683" t="s">
        <v>1344</v>
      </c>
      <c r="B366" s="684"/>
      <c r="C366" s="684" t="s">
        <v>1392</v>
      </c>
      <c r="D366" s="684" t="s">
        <v>1114</v>
      </c>
      <c r="E366" s="684" t="s">
        <v>1379</v>
      </c>
      <c r="F366" s="684" t="s">
        <v>53</v>
      </c>
      <c r="G366" s="685" t="s">
        <v>47</v>
      </c>
      <c r="H366" s="684" t="s">
        <v>1366</v>
      </c>
      <c r="I366" s="686">
        <v>3530</v>
      </c>
      <c r="J366" s="686">
        <v>4150</v>
      </c>
      <c r="K366" s="686">
        <v>4150</v>
      </c>
      <c r="L366" s="686">
        <v>5255</v>
      </c>
      <c r="M366" s="685"/>
      <c r="N366" s="685"/>
      <c r="O366" s="685"/>
      <c r="P366" s="685"/>
      <c r="Q366" s="685"/>
      <c r="R366" s="685"/>
      <c r="S366" s="685"/>
      <c r="T366" s="685"/>
      <c r="U366" s="685"/>
      <c r="V366" s="685"/>
      <c r="W366" s="685"/>
      <c r="X366" s="687"/>
      <c r="Y366" s="687"/>
      <c r="Z366" s="685" t="s">
        <v>1367</v>
      </c>
      <c r="AA366" s="688" t="s">
        <v>304</v>
      </c>
    </row>
    <row r="367" spans="1:27" s="64" customFormat="1" x14ac:dyDescent="0.25">
      <c r="A367" s="683" t="s">
        <v>1344</v>
      </c>
      <c r="B367" s="684"/>
      <c r="C367" s="684" t="s">
        <v>1392</v>
      </c>
      <c r="D367" s="684" t="s">
        <v>1114</v>
      </c>
      <c r="E367" s="684" t="s">
        <v>1380</v>
      </c>
      <c r="F367" s="684" t="s">
        <v>53</v>
      </c>
      <c r="G367" s="685" t="s">
        <v>47</v>
      </c>
      <c r="H367" s="684" t="s">
        <v>1366</v>
      </c>
      <c r="I367" s="686">
        <v>4380</v>
      </c>
      <c r="J367" s="686">
        <v>5150</v>
      </c>
      <c r="K367" s="686">
        <v>5150</v>
      </c>
      <c r="L367" s="686">
        <v>6520</v>
      </c>
      <c r="M367" s="685"/>
      <c r="N367" s="685"/>
      <c r="O367" s="685"/>
      <c r="P367" s="685"/>
      <c r="Q367" s="685"/>
      <c r="R367" s="685"/>
      <c r="S367" s="685"/>
      <c r="T367" s="685"/>
      <c r="U367" s="685"/>
      <c r="V367" s="685"/>
      <c r="W367" s="685"/>
      <c r="X367" s="687"/>
      <c r="Y367" s="687"/>
      <c r="Z367" s="685" t="s">
        <v>1367</v>
      </c>
      <c r="AA367" s="688" t="s">
        <v>304</v>
      </c>
    </row>
    <row r="368" spans="1:27" s="64" customFormat="1" x14ac:dyDescent="0.25">
      <c r="A368" s="683" t="s">
        <v>1344</v>
      </c>
      <c r="B368" s="684"/>
      <c r="C368" s="684" t="s">
        <v>1392</v>
      </c>
      <c r="D368" s="684" t="s">
        <v>1114</v>
      </c>
      <c r="E368" s="684" t="s">
        <v>1382</v>
      </c>
      <c r="F368" s="684" t="s">
        <v>53</v>
      </c>
      <c r="G368" s="685" t="s">
        <v>47</v>
      </c>
      <c r="H368" s="684" t="s">
        <v>1366</v>
      </c>
      <c r="I368" s="686">
        <v>3615</v>
      </c>
      <c r="J368" s="686">
        <v>4250</v>
      </c>
      <c r="K368" s="686">
        <v>4250</v>
      </c>
      <c r="L368" s="686">
        <v>5380</v>
      </c>
      <c r="M368" s="685"/>
      <c r="N368" s="685"/>
      <c r="O368" s="685"/>
      <c r="P368" s="685"/>
      <c r="Q368" s="685"/>
      <c r="R368" s="685"/>
      <c r="S368" s="685"/>
      <c r="T368" s="685"/>
      <c r="U368" s="685"/>
      <c r="V368" s="685"/>
      <c r="W368" s="685"/>
      <c r="X368" s="687"/>
      <c r="Y368" s="687"/>
      <c r="Z368" s="685" t="s">
        <v>1367</v>
      </c>
      <c r="AA368" s="688" t="s">
        <v>304</v>
      </c>
    </row>
    <row r="369" spans="1:27" s="64" customFormat="1" x14ac:dyDescent="0.25">
      <c r="A369" s="683" t="s">
        <v>1344</v>
      </c>
      <c r="B369" s="684"/>
      <c r="C369" s="684" t="s">
        <v>1392</v>
      </c>
      <c r="D369" s="684" t="s">
        <v>1114</v>
      </c>
      <c r="E369" s="684" t="s">
        <v>1383</v>
      </c>
      <c r="F369" s="684" t="s">
        <v>53</v>
      </c>
      <c r="G369" s="685" t="s">
        <v>47</v>
      </c>
      <c r="H369" s="684" t="s">
        <v>1366</v>
      </c>
      <c r="I369" s="686">
        <v>3615</v>
      </c>
      <c r="J369" s="686">
        <v>4250</v>
      </c>
      <c r="K369" s="686">
        <v>4250</v>
      </c>
      <c r="L369" s="686">
        <v>5380</v>
      </c>
      <c r="M369" s="685"/>
      <c r="N369" s="685"/>
      <c r="O369" s="685"/>
      <c r="P369" s="685"/>
      <c r="Q369" s="685"/>
      <c r="R369" s="685"/>
      <c r="S369" s="685"/>
      <c r="T369" s="685"/>
      <c r="U369" s="685"/>
      <c r="V369" s="685"/>
      <c r="W369" s="685"/>
      <c r="X369" s="687"/>
      <c r="Y369" s="687"/>
      <c r="Z369" s="685" t="s">
        <v>1367</v>
      </c>
      <c r="AA369" s="688" t="s">
        <v>304</v>
      </c>
    </row>
    <row r="370" spans="1:27" s="64" customFormat="1" x14ac:dyDescent="0.25">
      <c r="A370" s="683" t="s">
        <v>1344</v>
      </c>
      <c r="B370" s="684"/>
      <c r="C370" s="684" t="s">
        <v>1392</v>
      </c>
      <c r="D370" s="684" t="s">
        <v>1114</v>
      </c>
      <c r="E370" s="684" t="s">
        <v>1384</v>
      </c>
      <c r="F370" s="684" t="s">
        <v>53</v>
      </c>
      <c r="G370" s="685" t="s">
        <v>47</v>
      </c>
      <c r="H370" s="684" t="s">
        <v>1366</v>
      </c>
      <c r="I370" s="686">
        <v>3700</v>
      </c>
      <c r="J370" s="686">
        <v>4350</v>
      </c>
      <c r="K370" s="686">
        <v>4350</v>
      </c>
      <c r="L370" s="686">
        <v>5505</v>
      </c>
      <c r="M370" s="685"/>
      <c r="N370" s="685"/>
      <c r="O370" s="685"/>
      <c r="P370" s="685"/>
      <c r="Q370" s="685"/>
      <c r="R370" s="685"/>
      <c r="S370" s="685"/>
      <c r="T370" s="685"/>
      <c r="U370" s="685"/>
      <c r="V370" s="685"/>
      <c r="W370" s="685"/>
      <c r="X370" s="687"/>
      <c r="Y370" s="687"/>
      <c r="Z370" s="685" t="s">
        <v>1367</v>
      </c>
      <c r="AA370" s="688" t="s">
        <v>304</v>
      </c>
    </row>
    <row r="371" spans="1:27" s="64" customFormat="1" x14ac:dyDescent="0.25">
      <c r="A371" s="683" t="s">
        <v>1344</v>
      </c>
      <c r="B371" s="684"/>
      <c r="C371" s="684" t="s">
        <v>1392</v>
      </c>
      <c r="D371" s="684" t="s">
        <v>1368</v>
      </c>
      <c r="E371" s="684" t="s">
        <v>1384</v>
      </c>
      <c r="F371" s="684" t="s">
        <v>53</v>
      </c>
      <c r="G371" s="685" t="s">
        <v>47</v>
      </c>
      <c r="H371" s="684" t="s">
        <v>1366</v>
      </c>
      <c r="I371" s="686">
        <v>3445</v>
      </c>
      <c r="J371" s="686">
        <v>4050</v>
      </c>
      <c r="K371" s="686">
        <v>4050</v>
      </c>
      <c r="L371" s="686">
        <v>5125</v>
      </c>
      <c r="M371" s="685"/>
      <c r="N371" s="685"/>
      <c r="O371" s="685"/>
      <c r="P371" s="685"/>
      <c r="Q371" s="685"/>
      <c r="R371" s="685"/>
      <c r="S371" s="685"/>
      <c r="T371" s="685"/>
      <c r="U371" s="685"/>
      <c r="V371" s="685"/>
      <c r="W371" s="685"/>
      <c r="X371" s="687"/>
      <c r="Y371" s="687"/>
      <c r="Z371" s="685" t="s">
        <v>1367</v>
      </c>
      <c r="AA371" s="688" t="s">
        <v>304</v>
      </c>
    </row>
    <row r="372" spans="1:27" s="64" customFormat="1" x14ac:dyDescent="0.25">
      <c r="A372" s="683" t="s">
        <v>1344</v>
      </c>
      <c r="B372" s="684"/>
      <c r="C372" s="684" t="s">
        <v>1392</v>
      </c>
      <c r="D372" s="684" t="s">
        <v>1114</v>
      </c>
      <c r="E372" s="684" t="s">
        <v>1385</v>
      </c>
      <c r="F372" s="684" t="s">
        <v>53</v>
      </c>
      <c r="G372" s="685" t="s">
        <v>47</v>
      </c>
      <c r="H372" s="684" t="s">
        <v>1366</v>
      </c>
      <c r="I372" s="686">
        <v>4805</v>
      </c>
      <c r="J372" s="686">
        <v>5650</v>
      </c>
      <c r="K372" s="686">
        <v>5650</v>
      </c>
      <c r="L372" s="686">
        <v>7155</v>
      </c>
      <c r="M372" s="685"/>
      <c r="N372" s="685"/>
      <c r="O372" s="685"/>
      <c r="P372" s="685"/>
      <c r="Q372" s="685"/>
      <c r="R372" s="685"/>
      <c r="S372" s="685"/>
      <c r="T372" s="685"/>
      <c r="U372" s="685"/>
      <c r="V372" s="685"/>
      <c r="W372" s="685"/>
      <c r="X372" s="687"/>
      <c r="Y372" s="687"/>
      <c r="Z372" s="685" t="s">
        <v>1367</v>
      </c>
      <c r="AA372" s="688" t="s">
        <v>304</v>
      </c>
    </row>
    <row r="373" spans="1:27" s="64" customFormat="1" x14ac:dyDescent="0.25">
      <c r="A373" s="683" t="s">
        <v>1344</v>
      </c>
      <c r="B373" s="684"/>
      <c r="C373" s="684" t="s">
        <v>1392</v>
      </c>
      <c r="D373" s="684" t="s">
        <v>1114</v>
      </c>
      <c r="E373" s="684" t="s">
        <v>1386</v>
      </c>
      <c r="F373" s="684" t="s">
        <v>53</v>
      </c>
      <c r="G373" s="685" t="s">
        <v>47</v>
      </c>
      <c r="H373" s="684" t="s">
        <v>1366</v>
      </c>
      <c r="I373" s="686">
        <v>4210</v>
      </c>
      <c r="J373" s="686">
        <v>4950</v>
      </c>
      <c r="K373" s="686">
        <v>4950</v>
      </c>
      <c r="L373" s="686">
        <v>6265</v>
      </c>
      <c r="M373" s="685"/>
      <c r="N373" s="685"/>
      <c r="O373" s="685"/>
      <c r="P373" s="685"/>
      <c r="Q373" s="685"/>
      <c r="R373" s="685"/>
      <c r="S373" s="685"/>
      <c r="T373" s="685"/>
      <c r="U373" s="685"/>
      <c r="V373" s="685"/>
      <c r="W373" s="685"/>
      <c r="X373" s="687"/>
      <c r="Y373" s="687"/>
      <c r="Z373" s="685" t="s">
        <v>1367</v>
      </c>
      <c r="AA373" s="688" t="s">
        <v>304</v>
      </c>
    </row>
    <row r="374" spans="1:27" s="64" customFormat="1" x14ac:dyDescent="0.25">
      <c r="A374" s="683" t="s">
        <v>1344</v>
      </c>
      <c r="B374" s="684"/>
      <c r="C374" s="684" t="s">
        <v>1392</v>
      </c>
      <c r="D374" s="684" t="s">
        <v>1114</v>
      </c>
      <c r="E374" s="684" t="s">
        <v>1387</v>
      </c>
      <c r="F374" s="684" t="s">
        <v>53</v>
      </c>
      <c r="G374" s="685" t="s">
        <v>47</v>
      </c>
      <c r="H374" s="684" t="s">
        <v>1366</v>
      </c>
      <c r="I374" s="686">
        <v>5400</v>
      </c>
      <c r="J374" s="686">
        <v>6350</v>
      </c>
      <c r="K374" s="686">
        <v>6350</v>
      </c>
      <c r="L374" s="686">
        <v>8040</v>
      </c>
      <c r="M374" s="685"/>
      <c r="N374" s="685"/>
      <c r="O374" s="685"/>
      <c r="P374" s="685"/>
      <c r="Q374" s="685"/>
      <c r="R374" s="685"/>
      <c r="S374" s="685"/>
      <c r="T374" s="685"/>
      <c r="U374" s="685"/>
      <c r="V374" s="685"/>
      <c r="W374" s="685"/>
      <c r="X374" s="687"/>
      <c r="Y374" s="687"/>
      <c r="Z374" s="685" t="s">
        <v>1367</v>
      </c>
      <c r="AA374" s="688" t="s">
        <v>304</v>
      </c>
    </row>
    <row r="375" spans="1:27" s="64" customFormat="1" x14ac:dyDescent="0.25">
      <c r="A375" s="683" t="s">
        <v>1344</v>
      </c>
      <c r="B375" s="684"/>
      <c r="C375" s="684" t="s">
        <v>1392</v>
      </c>
      <c r="D375" s="684" t="s">
        <v>1114</v>
      </c>
      <c r="E375" s="684" t="s">
        <v>1388</v>
      </c>
      <c r="F375" s="684" t="s">
        <v>53</v>
      </c>
      <c r="G375" s="685" t="s">
        <v>47</v>
      </c>
      <c r="H375" s="684" t="s">
        <v>1366</v>
      </c>
      <c r="I375" s="686">
        <v>5400</v>
      </c>
      <c r="J375" s="686">
        <v>6350</v>
      </c>
      <c r="K375" s="686">
        <v>6350</v>
      </c>
      <c r="L375" s="686">
        <v>8040</v>
      </c>
      <c r="M375" s="685"/>
      <c r="N375" s="685"/>
      <c r="O375" s="685"/>
      <c r="P375" s="685"/>
      <c r="Q375" s="685"/>
      <c r="R375" s="685"/>
      <c r="S375" s="685"/>
      <c r="T375" s="685"/>
      <c r="U375" s="685"/>
      <c r="V375" s="685"/>
      <c r="W375" s="685"/>
      <c r="X375" s="687"/>
      <c r="Y375" s="687"/>
      <c r="Z375" s="685" t="s">
        <v>1367</v>
      </c>
      <c r="AA375" s="688" t="s">
        <v>304</v>
      </c>
    </row>
    <row r="376" spans="1:27" s="64" customFormat="1" x14ac:dyDescent="0.25">
      <c r="A376" s="683" t="s">
        <v>1344</v>
      </c>
      <c r="B376" s="684"/>
      <c r="C376" s="684" t="s">
        <v>1392</v>
      </c>
      <c r="D376" s="684" t="s">
        <v>1114</v>
      </c>
      <c r="E376" s="684" t="s">
        <v>1389</v>
      </c>
      <c r="F376" s="684" t="s">
        <v>53</v>
      </c>
      <c r="G376" s="685" t="s">
        <v>47</v>
      </c>
      <c r="H376" s="684" t="s">
        <v>1366</v>
      </c>
      <c r="I376" s="686">
        <v>5400</v>
      </c>
      <c r="J376" s="686">
        <v>6350</v>
      </c>
      <c r="K376" s="686">
        <v>6350</v>
      </c>
      <c r="L376" s="686">
        <v>8040</v>
      </c>
      <c r="M376" s="685"/>
      <c r="N376" s="685"/>
      <c r="O376" s="685"/>
      <c r="P376" s="685"/>
      <c r="Q376" s="685"/>
      <c r="R376" s="685"/>
      <c r="S376" s="685"/>
      <c r="T376" s="685"/>
      <c r="U376" s="685"/>
      <c r="V376" s="685"/>
      <c r="W376" s="685"/>
      <c r="X376" s="687"/>
      <c r="Y376" s="687"/>
      <c r="Z376" s="685" t="s">
        <v>1367</v>
      </c>
      <c r="AA376" s="688" t="s">
        <v>304</v>
      </c>
    </row>
    <row r="377" spans="1:27" s="64" customFormat="1" x14ac:dyDescent="0.25">
      <c r="A377" s="683" t="s">
        <v>1344</v>
      </c>
      <c r="B377" s="684"/>
      <c r="C377" s="684" t="s">
        <v>1392</v>
      </c>
      <c r="D377" s="684" t="s">
        <v>1114</v>
      </c>
      <c r="E377" s="684" t="s">
        <v>1390</v>
      </c>
      <c r="F377" s="684" t="s">
        <v>53</v>
      </c>
      <c r="G377" s="685" t="s">
        <v>47</v>
      </c>
      <c r="H377" s="684" t="s">
        <v>1366</v>
      </c>
      <c r="I377" s="686">
        <v>5400</v>
      </c>
      <c r="J377" s="686">
        <v>6350</v>
      </c>
      <c r="K377" s="686">
        <v>6350</v>
      </c>
      <c r="L377" s="686">
        <v>8040</v>
      </c>
      <c r="M377" s="685"/>
      <c r="N377" s="685"/>
      <c r="O377" s="685"/>
      <c r="P377" s="685"/>
      <c r="Q377" s="685"/>
      <c r="R377" s="685"/>
      <c r="S377" s="685"/>
      <c r="T377" s="685"/>
      <c r="U377" s="685"/>
      <c r="V377" s="685"/>
      <c r="W377" s="685"/>
      <c r="X377" s="687"/>
      <c r="Y377" s="687"/>
      <c r="Z377" s="685" t="s">
        <v>1367</v>
      </c>
      <c r="AA377" s="688" t="s">
        <v>304</v>
      </c>
    </row>
    <row r="378" spans="1:27" s="64" customFormat="1" x14ac:dyDescent="0.25">
      <c r="A378" s="683" t="s">
        <v>1344</v>
      </c>
      <c r="B378" s="684"/>
      <c r="C378" s="684" t="s">
        <v>1392</v>
      </c>
      <c r="D378" s="684" t="s">
        <v>1114</v>
      </c>
      <c r="E378" s="684" t="s">
        <v>1391</v>
      </c>
      <c r="F378" s="684" t="s">
        <v>53</v>
      </c>
      <c r="G378" s="685" t="s">
        <v>47</v>
      </c>
      <c r="H378" s="684" t="s">
        <v>1366</v>
      </c>
      <c r="I378" s="686">
        <v>5400</v>
      </c>
      <c r="J378" s="686">
        <v>6350</v>
      </c>
      <c r="K378" s="686">
        <v>6350</v>
      </c>
      <c r="L378" s="686">
        <v>8040</v>
      </c>
      <c r="M378" s="685"/>
      <c r="N378" s="685"/>
      <c r="O378" s="685"/>
      <c r="P378" s="685"/>
      <c r="Q378" s="685"/>
      <c r="R378" s="685"/>
      <c r="S378" s="685"/>
      <c r="T378" s="685"/>
      <c r="U378" s="685"/>
      <c r="V378" s="685"/>
      <c r="W378" s="685"/>
      <c r="X378" s="687"/>
      <c r="Y378" s="687"/>
      <c r="Z378" s="685" t="s">
        <v>1367</v>
      </c>
      <c r="AA378" s="688" t="s">
        <v>304</v>
      </c>
    </row>
    <row r="379" spans="1:27" s="64" customFormat="1" x14ac:dyDescent="0.25">
      <c r="A379" s="683" t="s">
        <v>1344</v>
      </c>
      <c r="B379" s="684"/>
      <c r="C379" s="684" t="s">
        <v>1362</v>
      </c>
      <c r="D379" s="684" t="s">
        <v>1114</v>
      </c>
      <c r="E379" s="684"/>
      <c r="F379" s="684" t="s">
        <v>51</v>
      </c>
      <c r="G379" s="685" t="s">
        <v>47</v>
      </c>
      <c r="H379" s="684" t="s">
        <v>1366</v>
      </c>
      <c r="I379" s="686">
        <v>1530</v>
      </c>
      <c r="J379" s="686">
        <v>1800</v>
      </c>
      <c r="K379" s="686">
        <v>1800</v>
      </c>
      <c r="L379" s="686">
        <v>2280</v>
      </c>
      <c r="M379" s="685"/>
      <c r="N379" s="685"/>
      <c r="O379" s="685"/>
      <c r="P379" s="685"/>
      <c r="Q379" s="685"/>
      <c r="R379" s="685"/>
      <c r="S379" s="685"/>
      <c r="T379" s="685"/>
      <c r="U379" s="685"/>
      <c r="V379" s="685"/>
      <c r="W379" s="685"/>
      <c r="X379" s="687"/>
      <c r="Y379" s="687"/>
      <c r="Z379" s="685" t="s">
        <v>1367</v>
      </c>
      <c r="AA379" s="688" t="s">
        <v>304</v>
      </c>
    </row>
    <row r="380" spans="1:27" s="64" customFormat="1" x14ac:dyDescent="0.25">
      <c r="A380" s="683" t="s">
        <v>1344</v>
      </c>
      <c r="B380" s="684"/>
      <c r="C380" s="684" t="s">
        <v>1362</v>
      </c>
      <c r="D380" s="684" t="s">
        <v>1368</v>
      </c>
      <c r="E380" s="684"/>
      <c r="F380" s="684" t="s">
        <v>51</v>
      </c>
      <c r="G380" s="685" t="s">
        <v>47</v>
      </c>
      <c r="H380" s="684" t="s">
        <v>1366</v>
      </c>
      <c r="I380" s="686">
        <v>1530</v>
      </c>
      <c r="J380" s="686">
        <v>1800</v>
      </c>
      <c r="K380" s="686">
        <v>1800</v>
      </c>
      <c r="L380" s="686">
        <v>2280</v>
      </c>
      <c r="M380" s="685"/>
      <c r="N380" s="685"/>
      <c r="O380" s="685"/>
      <c r="P380" s="685"/>
      <c r="Q380" s="685"/>
      <c r="R380" s="685"/>
      <c r="S380" s="685"/>
      <c r="T380" s="685"/>
      <c r="U380" s="685"/>
      <c r="V380" s="685"/>
      <c r="W380" s="685"/>
      <c r="X380" s="687"/>
      <c r="Y380" s="687"/>
      <c r="Z380" s="685" t="s">
        <v>1367</v>
      </c>
      <c r="AA380" s="688" t="s">
        <v>304</v>
      </c>
    </row>
    <row r="381" spans="1:27" s="64" customFormat="1" x14ac:dyDescent="0.25">
      <c r="A381" s="683" t="s">
        <v>1344</v>
      </c>
      <c r="B381" s="684"/>
      <c r="C381" s="684" t="s">
        <v>1362</v>
      </c>
      <c r="D381" s="684" t="s">
        <v>1114</v>
      </c>
      <c r="E381" s="684" t="s">
        <v>1369</v>
      </c>
      <c r="F381" s="684" t="s">
        <v>53</v>
      </c>
      <c r="G381" s="685" t="s">
        <v>47</v>
      </c>
      <c r="H381" s="684" t="s">
        <v>1366</v>
      </c>
      <c r="I381" s="686">
        <v>3530</v>
      </c>
      <c r="J381" s="686">
        <v>4150</v>
      </c>
      <c r="K381" s="686">
        <v>4150</v>
      </c>
      <c r="L381" s="686">
        <v>5255</v>
      </c>
      <c r="M381" s="685"/>
      <c r="N381" s="685"/>
      <c r="O381" s="685"/>
      <c r="P381" s="685"/>
      <c r="Q381" s="685"/>
      <c r="R381" s="685"/>
      <c r="S381" s="685"/>
      <c r="T381" s="685"/>
      <c r="U381" s="685"/>
      <c r="V381" s="685"/>
      <c r="W381" s="685"/>
      <c r="X381" s="687"/>
      <c r="Y381" s="687"/>
      <c r="Z381" s="685" t="s">
        <v>1367</v>
      </c>
      <c r="AA381" s="688" t="s">
        <v>304</v>
      </c>
    </row>
    <row r="382" spans="1:27" s="64" customFormat="1" x14ac:dyDescent="0.25">
      <c r="A382" s="683" t="s">
        <v>1344</v>
      </c>
      <c r="B382" s="684"/>
      <c r="C382" s="684" t="s">
        <v>1362</v>
      </c>
      <c r="D382" s="684" t="s">
        <v>1114</v>
      </c>
      <c r="E382" s="684" t="s">
        <v>1370</v>
      </c>
      <c r="F382" s="684" t="s">
        <v>53</v>
      </c>
      <c r="G382" s="685" t="s">
        <v>47</v>
      </c>
      <c r="H382" s="684" t="s">
        <v>1366</v>
      </c>
      <c r="I382" s="686">
        <v>4040</v>
      </c>
      <c r="J382" s="686">
        <v>4750</v>
      </c>
      <c r="K382" s="686">
        <v>4750</v>
      </c>
      <c r="L382" s="686">
        <v>6015</v>
      </c>
      <c r="M382" s="685"/>
      <c r="N382" s="685"/>
      <c r="O382" s="685"/>
      <c r="P382" s="685"/>
      <c r="Q382" s="685"/>
      <c r="R382" s="685"/>
      <c r="S382" s="685"/>
      <c r="T382" s="685"/>
      <c r="U382" s="685"/>
      <c r="V382" s="685"/>
      <c r="W382" s="685"/>
      <c r="X382" s="687"/>
      <c r="Y382" s="687"/>
      <c r="Z382" s="685" t="s">
        <v>1367</v>
      </c>
      <c r="AA382" s="688" t="s">
        <v>304</v>
      </c>
    </row>
    <row r="383" spans="1:27" s="64" customFormat="1" x14ac:dyDescent="0.25">
      <c r="A383" s="683" t="s">
        <v>1344</v>
      </c>
      <c r="B383" s="684"/>
      <c r="C383" s="684" t="s">
        <v>1362</v>
      </c>
      <c r="D383" s="684" t="s">
        <v>1114</v>
      </c>
      <c r="E383" s="684" t="s">
        <v>1371</v>
      </c>
      <c r="F383" s="684" t="s">
        <v>53</v>
      </c>
      <c r="G383" s="685" t="s">
        <v>47</v>
      </c>
      <c r="H383" s="684" t="s">
        <v>1366</v>
      </c>
      <c r="I383" s="686">
        <v>4040</v>
      </c>
      <c r="J383" s="686">
        <v>4750</v>
      </c>
      <c r="K383" s="686">
        <v>4750</v>
      </c>
      <c r="L383" s="686">
        <v>6015</v>
      </c>
      <c r="M383" s="685"/>
      <c r="N383" s="685"/>
      <c r="O383" s="685"/>
      <c r="P383" s="685"/>
      <c r="Q383" s="685"/>
      <c r="R383" s="685"/>
      <c r="S383" s="685"/>
      <c r="T383" s="685"/>
      <c r="U383" s="685"/>
      <c r="V383" s="685"/>
      <c r="W383" s="685"/>
      <c r="X383" s="687"/>
      <c r="Y383" s="687"/>
      <c r="Z383" s="685" t="s">
        <v>1367</v>
      </c>
      <c r="AA383" s="688" t="s">
        <v>304</v>
      </c>
    </row>
    <row r="384" spans="1:27" s="64" customFormat="1" x14ac:dyDescent="0.25">
      <c r="A384" s="683" t="s">
        <v>1344</v>
      </c>
      <c r="B384" s="684"/>
      <c r="C384" s="684" t="s">
        <v>1362</v>
      </c>
      <c r="D384" s="684" t="s">
        <v>1114</v>
      </c>
      <c r="E384" s="684" t="s">
        <v>1372</v>
      </c>
      <c r="F384" s="684" t="s">
        <v>53</v>
      </c>
      <c r="G384" s="685" t="s">
        <v>47</v>
      </c>
      <c r="H384" s="684" t="s">
        <v>1366</v>
      </c>
      <c r="I384" s="686">
        <v>4040</v>
      </c>
      <c r="J384" s="686">
        <v>4750</v>
      </c>
      <c r="K384" s="686">
        <v>4750</v>
      </c>
      <c r="L384" s="686">
        <v>6015</v>
      </c>
      <c r="M384" s="685"/>
      <c r="N384" s="685"/>
      <c r="O384" s="685"/>
      <c r="P384" s="685"/>
      <c r="Q384" s="685"/>
      <c r="R384" s="685"/>
      <c r="S384" s="685"/>
      <c r="T384" s="685"/>
      <c r="U384" s="685"/>
      <c r="V384" s="685"/>
      <c r="W384" s="685"/>
      <c r="X384" s="687"/>
      <c r="Y384" s="687"/>
      <c r="Z384" s="685" t="s">
        <v>1367</v>
      </c>
      <c r="AA384" s="688" t="s">
        <v>304</v>
      </c>
    </row>
    <row r="385" spans="1:27" s="64" customFormat="1" x14ac:dyDescent="0.25">
      <c r="A385" s="683" t="s">
        <v>1344</v>
      </c>
      <c r="B385" s="684"/>
      <c r="C385" s="684" t="s">
        <v>1362</v>
      </c>
      <c r="D385" s="684" t="s">
        <v>1114</v>
      </c>
      <c r="E385" s="684" t="s">
        <v>1373</v>
      </c>
      <c r="F385" s="684" t="s">
        <v>53</v>
      </c>
      <c r="G385" s="685" t="s">
        <v>47</v>
      </c>
      <c r="H385" s="684" t="s">
        <v>1366</v>
      </c>
      <c r="I385" s="686">
        <v>3530</v>
      </c>
      <c r="J385" s="686">
        <v>4150</v>
      </c>
      <c r="K385" s="686">
        <v>4150</v>
      </c>
      <c r="L385" s="686">
        <v>5255</v>
      </c>
      <c r="M385" s="685"/>
      <c r="N385" s="685"/>
      <c r="O385" s="685"/>
      <c r="P385" s="685"/>
      <c r="Q385" s="685"/>
      <c r="R385" s="685"/>
      <c r="S385" s="685"/>
      <c r="T385" s="685"/>
      <c r="U385" s="685"/>
      <c r="V385" s="685"/>
      <c r="W385" s="685"/>
      <c r="X385" s="687"/>
      <c r="Y385" s="687"/>
      <c r="Z385" s="685" t="s">
        <v>1367</v>
      </c>
      <c r="AA385" s="688" t="s">
        <v>304</v>
      </c>
    </row>
    <row r="386" spans="1:27" s="64" customFormat="1" x14ac:dyDescent="0.25">
      <c r="A386" s="683" t="s">
        <v>1344</v>
      </c>
      <c r="B386" s="684"/>
      <c r="C386" s="684" t="s">
        <v>1362</v>
      </c>
      <c r="D386" s="684" t="s">
        <v>1114</v>
      </c>
      <c r="E386" s="684" t="s">
        <v>1374</v>
      </c>
      <c r="F386" s="684" t="s">
        <v>53</v>
      </c>
      <c r="G386" s="685" t="s">
        <v>47</v>
      </c>
      <c r="H386" s="684" t="s">
        <v>1366</v>
      </c>
      <c r="I386" s="686">
        <v>4210</v>
      </c>
      <c r="J386" s="686">
        <v>4950</v>
      </c>
      <c r="K386" s="686">
        <v>4950</v>
      </c>
      <c r="L386" s="686">
        <v>6265</v>
      </c>
      <c r="M386" s="685"/>
      <c r="N386" s="685"/>
      <c r="O386" s="685"/>
      <c r="P386" s="685"/>
      <c r="Q386" s="685"/>
      <c r="R386" s="685"/>
      <c r="S386" s="685"/>
      <c r="T386" s="685"/>
      <c r="U386" s="685"/>
      <c r="V386" s="685"/>
      <c r="W386" s="685"/>
      <c r="X386" s="687"/>
      <c r="Y386" s="687"/>
      <c r="Z386" s="685" t="s">
        <v>1367</v>
      </c>
      <c r="AA386" s="688" t="s">
        <v>304</v>
      </c>
    </row>
    <row r="387" spans="1:27" s="64" customFormat="1" x14ac:dyDescent="0.25">
      <c r="A387" s="683" t="s">
        <v>1344</v>
      </c>
      <c r="B387" s="684"/>
      <c r="C387" s="684" t="s">
        <v>1362</v>
      </c>
      <c r="D387" s="684" t="s">
        <v>1114</v>
      </c>
      <c r="E387" s="684" t="s">
        <v>1375</v>
      </c>
      <c r="F387" s="684" t="s">
        <v>53</v>
      </c>
      <c r="G387" s="685" t="s">
        <v>47</v>
      </c>
      <c r="H387" s="684" t="s">
        <v>1366</v>
      </c>
      <c r="I387" s="686">
        <v>4380</v>
      </c>
      <c r="J387" s="686">
        <v>5150</v>
      </c>
      <c r="K387" s="686">
        <v>5150</v>
      </c>
      <c r="L387" s="686">
        <v>6520</v>
      </c>
      <c r="M387" s="685"/>
      <c r="N387" s="685"/>
      <c r="O387" s="685"/>
      <c r="P387" s="685"/>
      <c r="Q387" s="685"/>
      <c r="R387" s="685"/>
      <c r="S387" s="685"/>
      <c r="T387" s="685"/>
      <c r="U387" s="685"/>
      <c r="V387" s="685"/>
      <c r="W387" s="685"/>
      <c r="X387" s="687"/>
      <c r="Y387" s="687"/>
      <c r="Z387" s="685" t="s">
        <v>1367</v>
      </c>
      <c r="AA387" s="688" t="s">
        <v>304</v>
      </c>
    </row>
    <row r="388" spans="1:27" s="64" customFormat="1" x14ac:dyDescent="0.25">
      <c r="A388" s="683" t="s">
        <v>1344</v>
      </c>
      <c r="B388" s="684"/>
      <c r="C388" s="684" t="s">
        <v>1362</v>
      </c>
      <c r="D388" s="684" t="s">
        <v>1114</v>
      </c>
      <c r="E388" s="684" t="s">
        <v>1376</v>
      </c>
      <c r="F388" s="684" t="s">
        <v>53</v>
      </c>
      <c r="G388" s="685" t="s">
        <v>47</v>
      </c>
      <c r="H388" s="684" t="s">
        <v>1366</v>
      </c>
      <c r="I388" s="686">
        <v>3785</v>
      </c>
      <c r="J388" s="686">
        <v>4450</v>
      </c>
      <c r="K388" s="686">
        <v>4450</v>
      </c>
      <c r="L388" s="686">
        <v>5635</v>
      </c>
      <c r="M388" s="685"/>
      <c r="N388" s="685"/>
      <c r="O388" s="685"/>
      <c r="P388" s="685"/>
      <c r="Q388" s="685"/>
      <c r="R388" s="685"/>
      <c r="S388" s="685"/>
      <c r="T388" s="685"/>
      <c r="U388" s="685"/>
      <c r="V388" s="685"/>
      <c r="W388" s="685"/>
      <c r="X388" s="687"/>
      <c r="Y388" s="687"/>
      <c r="Z388" s="685" t="s">
        <v>1367</v>
      </c>
      <c r="AA388" s="688" t="s">
        <v>304</v>
      </c>
    </row>
    <row r="389" spans="1:27" s="64" customFormat="1" x14ac:dyDescent="0.25">
      <c r="A389" s="683" t="s">
        <v>1344</v>
      </c>
      <c r="B389" s="684"/>
      <c r="C389" s="684" t="s">
        <v>1362</v>
      </c>
      <c r="D389" s="684" t="s">
        <v>1114</v>
      </c>
      <c r="E389" s="684" t="s">
        <v>1377</v>
      </c>
      <c r="F389" s="684" t="s">
        <v>53</v>
      </c>
      <c r="G389" s="685" t="s">
        <v>47</v>
      </c>
      <c r="H389" s="684" t="s">
        <v>1366</v>
      </c>
      <c r="I389" s="686">
        <v>3870</v>
      </c>
      <c r="J389" s="686">
        <v>4550</v>
      </c>
      <c r="K389" s="686">
        <v>4550</v>
      </c>
      <c r="L389" s="686">
        <v>5760</v>
      </c>
      <c r="M389" s="685"/>
      <c r="N389" s="685"/>
      <c r="O389" s="685"/>
      <c r="P389" s="685"/>
      <c r="Q389" s="685"/>
      <c r="R389" s="685"/>
      <c r="S389" s="685"/>
      <c r="T389" s="685"/>
      <c r="U389" s="685"/>
      <c r="V389" s="685"/>
      <c r="W389" s="685"/>
      <c r="X389" s="687"/>
      <c r="Y389" s="687"/>
      <c r="Z389" s="685" t="s">
        <v>1367</v>
      </c>
      <c r="AA389" s="688" t="s">
        <v>304</v>
      </c>
    </row>
    <row r="390" spans="1:27" s="64" customFormat="1" x14ac:dyDescent="0.25">
      <c r="A390" s="683" t="s">
        <v>1344</v>
      </c>
      <c r="B390" s="684"/>
      <c r="C390" s="684" t="s">
        <v>1362</v>
      </c>
      <c r="D390" s="684" t="s">
        <v>1114</v>
      </c>
      <c r="E390" s="684" t="s">
        <v>1378</v>
      </c>
      <c r="F390" s="684" t="s">
        <v>120</v>
      </c>
      <c r="G390" s="685" t="s">
        <v>49</v>
      </c>
      <c r="H390" s="684" t="s">
        <v>1366</v>
      </c>
      <c r="I390" s="686">
        <v>6080</v>
      </c>
      <c r="J390" s="686">
        <v>7150</v>
      </c>
      <c r="K390" s="686">
        <v>7150</v>
      </c>
      <c r="L390" s="686">
        <v>9050</v>
      </c>
      <c r="M390" s="685"/>
      <c r="N390" s="685"/>
      <c r="O390" s="685"/>
      <c r="P390" s="685"/>
      <c r="Q390" s="685"/>
      <c r="R390" s="685"/>
      <c r="S390" s="685"/>
      <c r="T390" s="685"/>
      <c r="U390" s="685"/>
      <c r="V390" s="685"/>
      <c r="W390" s="685"/>
      <c r="X390" s="687"/>
      <c r="Y390" s="687"/>
      <c r="Z390" s="685" t="s">
        <v>1367</v>
      </c>
      <c r="AA390" s="688" t="s">
        <v>304</v>
      </c>
    </row>
    <row r="391" spans="1:27" s="64" customFormat="1" x14ac:dyDescent="0.25">
      <c r="A391" s="683" t="s">
        <v>1344</v>
      </c>
      <c r="B391" s="684"/>
      <c r="C391" s="684" t="s">
        <v>1362</v>
      </c>
      <c r="D391" s="684" t="s">
        <v>1114</v>
      </c>
      <c r="E391" s="684" t="s">
        <v>1379</v>
      </c>
      <c r="F391" s="684" t="s">
        <v>53</v>
      </c>
      <c r="G391" s="685" t="s">
        <v>47</v>
      </c>
      <c r="H391" s="684" t="s">
        <v>1366</v>
      </c>
      <c r="I391" s="686">
        <v>3530</v>
      </c>
      <c r="J391" s="686">
        <v>4150</v>
      </c>
      <c r="K391" s="686">
        <v>4150</v>
      </c>
      <c r="L391" s="686">
        <v>5255</v>
      </c>
      <c r="M391" s="685"/>
      <c r="N391" s="685"/>
      <c r="O391" s="685"/>
      <c r="P391" s="685"/>
      <c r="Q391" s="685"/>
      <c r="R391" s="685"/>
      <c r="S391" s="685"/>
      <c r="T391" s="685"/>
      <c r="U391" s="685"/>
      <c r="V391" s="685"/>
      <c r="W391" s="685"/>
      <c r="X391" s="687"/>
      <c r="Y391" s="687"/>
      <c r="Z391" s="685" t="s">
        <v>1367</v>
      </c>
      <c r="AA391" s="688" t="s">
        <v>304</v>
      </c>
    </row>
    <row r="392" spans="1:27" s="64" customFormat="1" x14ac:dyDescent="0.25">
      <c r="A392" s="683" t="s">
        <v>1344</v>
      </c>
      <c r="B392" s="684"/>
      <c r="C392" s="684" t="s">
        <v>1362</v>
      </c>
      <c r="D392" s="684" t="s">
        <v>1114</v>
      </c>
      <c r="E392" s="684" t="s">
        <v>1380</v>
      </c>
      <c r="F392" s="684" t="s">
        <v>53</v>
      </c>
      <c r="G392" s="685" t="s">
        <v>47</v>
      </c>
      <c r="H392" s="684" t="s">
        <v>1366</v>
      </c>
      <c r="I392" s="686">
        <v>4380</v>
      </c>
      <c r="J392" s="686">
        <v>5150</v>
      </c>
      <c r="K392" s="686">
        <v>5150</v>
      </c>
      <c r="L392" s="686">
        <v>6520</v>
      </c>
      <c r="M392" s="685"/>
      <c r="N392" s="685"/>
      <c r="O392" s="685"/>
      <c r="P392" s="685"/>
      <c r="Q392" s="685"/>
      <c r="R392" s="685"/>
      <c r="S392" s="685"/>
      <c r="T392" s="685"/>
      <c r="U392" s="685"/>
      <c r="V392" s="685"/>
      <c r="W392" s="685"/>
      <c r="X392" s="687"/>
      <c r="Y392" s="687"/>
      <c r="Z392" s="685" t="s">
        <v>1367</v>
      </c>
      <c r="AA392" s="688" t="s">
        <v>304</v>
      </c>
    </row>
    <row r="393" spans="1:27" s="64" customFormat="1" x14ac:dyDescent="0.25">
      <c r="A393" s="683" t="s">
        <v>1344</v>
      </c>
      <c r="B393" s="684"/>
      <c r="C393" s="684" t="s">
        <v>1362</v>
      </c>
      <c r="D393" s="684" t="s">
        <v>1114</v>
      </c>
      <c r="E393" s="684" t="s">
        <v>1382</v>
      </c>
      <c r="F393" s="684" t="s">
        <v>53</v>
      </c>
      <c r="G393" s="685" t="s">
        <v>47</v>
      </c>
      <c r="H393" s="684" t="s">
        <v>1366</v>
      </c>
      <c r="I393" s="686">
        <v>3615</v>
      </c>
      <c r="J393" s="686">
        <v>4250</v>
      </c>
      <c r="K393" s="686">
        <v>4250</v>
      </c>
      <c r="L393" s="686">
        <v>5380</v>
      </c>
      <c r="M393" s="685"/>
      <c r="N393" s="685"/>
      <c r="O393" s="685"/>
      <c r="P393" s="685"/>
      <c r="Q393" s="685"/>
      <c r="R393" s="685"/>
      <c r="S393" s="685"/>
      <c r="T393" s="685"/>
      <c r="U393" s="685"/>
      <c r="V393" s="685"/>
      <c r="W393" s="685"/>
      <c r="X393" s="687"/>
      <c r="Y393" s="687"/>
      <c r="Z393" s="685" t="s">
        <v>1367</v>
      </c>
      <c r="AA393" s="688" t="s">
        <v>304</v>
      </c>
    </row>
    <row r="394" spans="1:27" s="64" customFormat="1" x14ac:dyDescent="0.25">
      <c r="A394" s="683" t="s">
        <v>1344</v>
      </c>
      <c r="B394" s="684"/>
      <c r="C394" s="684" t="s">
        <v>1362</v>
      </c>
      <c r="D394" s="684" t="s">
        <v>1114</v>
      </c>
      <c r="E394" s="684" t="s">
        <v>1383</v>
      </c>
      <c r="F394" s="684" t="s">
        <v>53</v>
      </c>
      <c r="G394" s="685" t="s">
        <v>47</v>
      </c>
      <c r="H394" s="684" t="s">
        <v>1366</v>
      </c>
      <c r="I394" s="686">
        <v>3615</v>
      </c>
      <c r="J394" s="686">
        <v>4250</v>
      </c>
      <c r="K394" s="686">
        <v>4250</v>
      </c>
      <c r="L394" s="686">
        <v>5380</v>
      </c>
      <c r="M394" s="685"/>
      <c r="N394" s="685"/>
      <c r="O394" s="685"/>
      <c r="P394" s="685"/>
      <c r="Q394" s="685"/>
      <c r="R394" s="685"/>
      <c r="S394" s="685"/>
      <c r="T394" s="685"/>
      <c r="U394" s="685"/>
      <c r="V394" s="685"/>
      <c r="W394" s="685"/>
      <c r="X394" s="687"/>
      <c r="Y394" s="687"/>
      <c r="Z394" s="685" t="s">
        <v>1367</v>
      </c>
      <c r="AA394" s="688" t="s">
        <v>304</v>
      </c>
    </row>
    <row r="395" spans="1:27" s="64" customFormat="1" x14ac:dyDescent="0.25">
      <c r="A395" s="683" t="s">
        <v>1344</v>
      </c>
      <c r="B395" s="684"/>
      <c r="C395" s="684" t="s">
        <v>1362</v>
      </c>
      <c r="D395" s="684" t="s">
        <v>1114</v>
      </c>
      <c r="E395" s="684" t="s">
        <v>1384</v>
      </c>
      <c r="F395" s="684" t="s">
        <v>53</v>
      </c>
      <c r="G395" s="685" t="s">
        <v>47</v>
      </c>
      <c r="H395" s="684" t="s">
        <v>1366</v>
      </c>
      <c r="I395" s="686">
        <v>3700</v>
      </c>
      <c r="J395" s="686">
        <v>4350</v>
      </c>
      <c r="K395" s="686">
        <v>4350</v>
      </c>
      <c r="L395" s="686">
        <v>5505</v>
      </c>
      <c r="M395" s="685"/>
      <c r="N395" s="685"/>
      <c r="O395" s="685"/>
      <c r="P395" s="685"/>
      <c r="Q395" s="685"/>
      <c r="R395" s="685"/>
      <c r="S395" s="685"/>
      <c r="T395" s="685"/>
      <c r="U395" s="685"/>
      <c r="V395" s="685"/>
      <c r="W395" s="685"/>
      <c r="X395" s="687"/>
      <c r="Y395" s="687"/>
      <c r="Z395" s="685" t="s">
        <v>1367</v>
      </c>
      <c r="AA395" s="688" t="s">
        <v>304</v>
      </c>
    </row>
    <row r="396" spans="1:27" s="64" customFormat="1" x14ac:dyDescent="0.25">
      <c r="A396" s="683" t="s">
        <v>1344</v>
      </c>
      <c r="B396" s="684"/>
      <c r="C396" s="684" t="s">
        <v>1362</v>
      </c>
      <c r="D396" s="684" t="s">
        <v>1368</v>
      </c>
      <c r="E396" s="684" t="s">
        <v>1384</v>
      </c>
      <c r="F396" s="684" t="s">
        <v>53</v>
      </c>
      <c r="G396" s="685" t="s">
        <v>47</v>
      </c>
      <c r="H396" s="684" t="s">
        <v>1366</v>
      </c>
      <c r="I396" s="686">
        <v>3445</v>
      </c>
      <c r="J396" s="686">
        <v>4050</v>
      </c>
      <c r="K396" s="686">
        <v>4050</v>
      </c>
      <c r="L396" s="686">
        <v>5125</v>
      </c>
      <c r="M396" s="685"/>
      <c r="N396" s="685"/>
      <c r="O396" s="685"/>
      <c r="P396" s="685"/>
      <c r="Q396" s="685"/>
      <c r="R396" s="685"/>
      <c r="S396" s="685"/>
      <c r="T396" s="685"/>
      <c r="U396" s="685"/>
      <c r="V396" s="685"/>
      <c r="W396" s="685"/>
      <c r="X396" s="687"/>
      <c r="Y396" s="687"/>
      <c r="Z396" s="685" t="s">
        <v>1367</v>
      </c>
      <c r="AA396" s="688" t="s">
        <v>304</v>
      </c>
    </row>
    <row r="397" spans="1:27" s="64" customFormat="1" x14ac:dyDescent="0.25">
      <c r="A397" s="683" t="s">
        <v>1344</v>
      </c>
      <c r="B397" s="684"/>
      <c r="C397" s="684" t="s">
        <v>1362</v>
      </c>
      <c r="D397" s="684" t="s">
        <v>1114</v>
      </c>
      <c r="E397" s="684" t="s">
        <v>1385</v>
      </c>
      <c r="F397" s="684" t="s">
        <v>53</v>
      </c>
      <c r="G397" s="685" t="s">
        <v>47</v>
      </c>
      <c r="H397" s="684" t="s">
        <v>1366</v>
      </c>
      <c r="I397" s="686">
        <v>4805</v>
      </c>
      <c r="J397" s="686">
        <v>5650</v>
      </c>
      <c r="K397" s="686">
        <v>5650</v>
      </c>
      <c r="L397" s="686">
        <v>7155</v>
      </c>
      <c r="M397" s="685"/>
      <c r="N397" s="685"/>
      <c r="O397" s="685"/>
      <c r="P397" s="685"/>
      <c r="Q397" s="685"/>
      <c r="R397" s="685"/>
      <c r="S397" s="685"/>
      <c r="T397" s="685"/>
      <c r="U397" s="685"/>
      <c r="V397" s="685"/>
      <c r="W397" s="685"/>
      <c r="X397" s="687"/>
      <c r="Y397" s="687"/>
      <c r="Z397" s="685" t="s">
        <v>1367</v>
      </c>
      <c r="AA397" s="688" t="s">
        <v>304</v>
      </c>
    </row>
    <row r="398" spans="1:27" s="64" customFormat="1" x14ac:dyDescent="0.25">
      <c r="A398" s="683" t="s">
        <v>1344</v>
      </c>
      <c r="B398" s="684"/>
      <c r="C398" s="684" t="s">
        <v>1362</v>
      </c>
      <c r="D398" s="684" t="s">
        <v>1114</v>
      </c>
      <c r="E398" s="684" t="s">
        <v>1386</v>
      </c>
      <c r="F398" s="684" t="s">
        <v>53</v>
      </c>
      <c r="G398" s="685" t="s">
        <v>47</v>
      </c>
      <c r="H398" s="684" t="s">
        <v>1366</v>
      </c>
      <c r="I398" s="686">
        <v>4210</v>
      </c>
      <c r="J398" s="686">
        <v>4950</v>
      </c>
      <c r="K398" s="686">
        <v>4950</v>
      </c>
      <c r="L398" s="686">
        <v>6265</v>
      </c>
      <c r="M398" s="685"/>
      <c r="N398" s="685"/>
      <c r="O398" s="685"/>
      <c r="P398" s="685"/>
      <c r="Q398" s="685"/>
      <c r="R398" s="685"/>
      <c r="S398" s="685"/>
      <c r="T398" s="685"/>
      <c r="U398" s="685"/>
      <c r="V398" s="685"/>
      <c r="W398" s="685"/>
      <c r="X398" s="687"/>
      <c r="Y398" s="687"/>
      <c r="Z398" s="685" t="s">
        <v>1367</v>
      </c>
      <c r="AA398" s="688" t="s">
        <v>304</v>
      </c>
    </row>
    <row r="399" spans="1:27" s="64" customFormat="1" x14ac:dyDescent="0.25">
      <c r="A399" s="683" t="s">
        <v>1344</v>
      </c>
      <c r="B399" s="684"/>
      <c r="C399" s="684" t="s">
        <v>1362</v>
      </c>
      <c r="D399" s="684" t="s">
        <v>1114</v>
      </c>
      <c r="E399" s="684" t="s">
        <v>1387</v>
      </c>
      <c r="F399" s="684" t="s">
        <v>53</v>
      </c>
      <c r="G399" s="685" t="s">
        <v>47</v>
      </c>
      <c r="H399" s="684" t="s">
        <v>1366</v>
      </c>
      <c r="I399" s="686">
        <v>5400</v>
      </c>
      <c r="J399" s="686">
        <v>6350</v>
      </c>
      <c r="K399" s="686">
        <v>6350</v>
      </c>
      <c r="L399" s="686">
        <v>8040</v>
      </c>
      <c r="M399" s="685"/>
      <c r="N399" s="685"/>
      <c r="O399" s="685"/>
      <c r="P399" s="685"/>
      <c r="Q399" s="685"/>
      <c r="R399" s="685"/>
      <c r="S399" s="685"/>
      <c r="T399" s="685"/>
      <c r="U399" s="685"/>
      <c r="V399" s="685"/>
      <c r="W399" s="685"/>
      <c r="X399" s="687"/>
      <c r="Y399" s="687"/>
      <c r="Z399" s="685" t="s">
        <v>1367</v>
      </c>
      <c r="AA399" s="688" t="s">
        <v>304</v>
      </c>
    </row>
    <row r="400" spans="1:27" s="64" customFormat="1" x14ac:dyDescent="0.25">
      <c r="A400" s="683" t="s">
        <v>1344</v>
      </c>
      <c r="B400" s="684"/>
      <c r="C400" s="684" t="s">
        <v>1362</v>
      </c>
      <c r="D400" s="684" t="s">
        <v>1114</v>
      </c>
      <c r="E400" s="684" t="s">
        <v>1388</v>
      </c>
      <c r="F400" s="684" t="s">
        <v>53</v>
      </c>
      <c r="G400" s="685" t="s">
        <v>47</v>
      </c>
      <c r="H400" s="684" t="s">
        <v>1366</v>
      </c>
      <c r="I400" s="686">
        <v>5400</v>
      </c>
      <c r="J400" s="686">
        <v>6350</v>
      </c>
      <c r="K400" s="686">
        <v>6350</v>
      </c>
      <c r="L400" s="686">
        <v>8040</v>
      </c>
      <c r="M400" s="685"/>
      <c r="N400" s="685"/>
      <c r="O400" s="685"/>
      <c r="P400" s="685"/>
      <c r="Q400" s="685"/>
      <c r="R400" s="685"/>
      <c r="S400" s="685"/>
      <c r="T400" s="685"/>
      <c r="U400" s="685"/>
      <c r="V400" s="685"/>
      <c r="W400" s="685"/>
      <c r="X400" s="687"/>
      <c r="Y400" s="687"/>
      <c r="Z400" s="685" t="s">
        <v>1367</v>
      </c>
      <c r="AA400" s="688" t="s">
        <v>304</v>
      </c>
    </row>
    <row r="401" spans="1:27" s="64" customFormat="1" x14ac:dyDescent="0.25">
      <c r="A401" s="683" t="s">
        <v>1344</v>
      </c>
      <c r="B401" s="684"/>
      <c r="C401" s="684" t="s">
        <v>1362</v>
      </c>
      <c r="D401" s="684" t="s">
        <v>1114</v>
      </c>
      <c r="E401" s="684" t="s">
        <v>1389</v>
      </c>
      <c r="F401" s="684" t="s">
        <v>53</v>
      </c>
      <c r="G401" s="685" t="s">
        <v>47</v>
      </c>
      <c r="H401" s="684" t="s">
        <v>1366</v>
      </c>
      <c r="I401" s="686">
        <v>5400</v>
      </c>
      <c r="J401" s="686">
        <v>6350</v>
      </c>
      <c r="K401" s="686">
        <v>6350</v>
      </c>
      <c r="L401" s="686">
        <v>8040</v>
      </c>
      <c r="M401" s="685"/>
      <c r="N401" s="685"/>
      <c r="O401" s="685"/>
      <c r="P401" s="685"/>
      <c r="Q401" s="685"/>
      <c r="R401" s="685"/>
      <c r="S401" s="685"/>
      <c r="T401" s="685"/>
      <c r="U401" s="685"/>
      <c r="V401" s="685"/>
      <c r="W401" s="685"/>
      <c r="X401" s="687"/>
      <c r="Y401" s="687"/>
      <c r="Z401" s="685" t="s">
        <v>1367</v>
      </c>
      <c r="AA401" s="688" t="s">
        <v>304</v>
      </c>
    </row>
    <row r="402" spans="1:27" s="64" customFormat="1" x14ac:dyDescent="0.25">
      <c r="A402" s="683" t="s">
        <v>1344</v>
      </c>
      <c r="B402" s="684"/>
      <c r="C402" s="684" t="s">
        <v>1362</v>
      </c>
      <c r="D402" s="684" t="s">
        <v>1114</v>
      </c>
      <c r="E402" s="684" t="s">
        <v>1390</v>
      </c>
      <c r="F402" s="684" t="s">
        <v>53</v>
      </c>
      <c r="G402" s="685" t="s">
        <v>47</v>
      </c>
      <c r="H402" s="684" t="s">
        <v>1366</v>
      </c>
      <c r="I402" s="686">
        <v>5400</v>
      </c>
      <c r="J402" s="686">
        <v>6350</v>
      </c>
      <c r="K402" s="686">
        <v>6350</v>
      </c>
      <c r="L402" s="686">
        <v>8040</v>
      </c>
      <c r="M402" s="685"/>
      <c r="N402" s="685"/>
      <c r="O402" s="685"/>
      <c r="P402" s="685"/>
      <c r="Q402" s="685"/>
      <c r="R402" s="685"/>
      <c r="S402" s="685"/>
      <c r="T402" s="685"/>
      <c r="U402" s="685"/>
      <c r="V402" s="685"/>
      <c r="W402" s="685"/>
      <c r="X402" s="687"/>
      <c r="Y402" s="687"/>
      <c r="Z402" s="685" t="s">
        <v>1367</v>
      </c>
      <c r="AA402" s="688" t="s">
        <v>304</v>
      </c>
    </row>
    <row r="403" spans="1:27" s="64" customFormat="1" x14ac:dyDescent="0.25">
      <c r="A403" s="683" t="s">
        <v>1344</v>
      </c>
      <c r="B403" s="684"/>
      <c r="C403" s="684" t="s">
        <v>1362</v>
      </c>
      <c r="D403" s="684" t="s">
        <v>1114</v>
      </c>
      <c r="E403" s="684" t="s">
        <v>1391</v>
      </c>
      <c r="F403" s="684" t="s">
        <v>53</v>
      </c>
      <c r="G403" s="685" t="s">
        <v>47</v>
      </c>
      <c r="H403" s="684" t="s">
        <v>1366</v>
      </c>
      <c r="I403" s="686">
        <v>5400</v>
      </c>
      <c r="J403" s="686">
        <v>6350</v>
      </c>
      <c r="K403" s="686">
        <v>6350</v>
      </c>
      <c r="L403" s="686">
        <v>8040</v>
      </c>
      <c r="M403" s="685"/>
      <c r="N403" s="685"/>
      <c r="O403" s="685"/>
      <c r="P403" s="685"/>
      <c r="Q403" s="685"/>
      <c r="R403" s="685"/>
      <c r="S403" s="685"/>
      <c r="T403" s="685"/>
      <c r="U403" s="685"/>
      <c r="V403" s="685"/>
      <c r="W403" s="685"/>
      <c r="X403" s="687"/>
      <c r="Y403" s="687"/>
      <c r="Z403" s="685" t="s">
        <v>1367</v>
      </c>
      <c r="AA403" s="688" t="s">
        <v>304</v>
      </c>
    </row>
    <row r="404" spans="1:27" s="64" customFormat="1" x14ac:dyDescent="0.25">
      <c r="A404" s="683" t="s">
        <v>1345</v>
      </c>
      <c r="B404" s="684"/>
      <c r="C404" s="684" t="s">
        <v>1352</v>
      </c>
      <c r="D404" s="684" t="s">
        <v>1393</v>
      </c>
      <c r="E404" s="684"/>
      <c r="F404" s="684" t="s">
        <v>51</v>
      </c>
      <c r="G404" s="685" t="s">
        <v>47</v>
      </c>
      <c r="H404" s="684" t="s">
        <v>1366</v>
      </c>
      <c r="I404" s="686">
        <v>1260</v>
      </c>
      <c r="J404" s="686">
        <v>1800</v>
      </c>
      <c r="K404" s="686">
        <v>1800</v>
      </c>
      <c r="L404" s="686">
        <v>2280</v>
      </c>
      <c r="M404" s="685"/>
      <c r="N404" s="685"/>
      <c r="O404" s="685"/>
      <c r="P404" s="685"/>
      <c r="Q404" s="685"/>
      <c r="R404" s="685"/>
      <c r="S404" s="685"/>
      <c r="T404" s="685"/>
      <c r="U404" s="685"/>
      <c r="V404" s="685"/>
      <c r="W404" s="685"/>
      <c r="X404" s="687"/>
      <c r="Y404" s="687"/>
      <c r="Z404" s="685" t="s">
        <v>1367</v>
      </c>
      <c r="AA404" s="688" t="s">
        <v>304</v>
      </c>
    </row>
    <row r="405" spans="1:27" s="64" customFormat="1" x14ac:dyDescent="0.25">
      <c r="A405" s="683" t="s">
        <v>1345</v>
      </c>
      <c r="B405" s="684"/>
      <c r="C405" s="684" t="s">
        <v>1354</v>
      </c>
      <c r="D405" s="684" t="s">
        <v>1394</v>
      </c>
      <c r="E405" s="684"/>
      <c r="F405" s="684" t="s">
        <v>51</v>
      </c>
      <c r="G405" s="685" t="s">
        <v>47</v>
      </c>
      <c r="H405" s="684" t="s">
        <v>1366</v>
      </c>
      <c r="I405" s="686">
        <v>1260</v>
      </c>
      <c r="J405" s="686">
        <v>1800</v>
      </c>
      <c r="K405" s="686">
        <v>1800</v>
      </c>
      <c r="L405" s="686">
        <v>2280</v>
      </c>
      <c r="M405" s="685"/>
      <c r="N405" s="685"/>
      <c r="O405" s="685"/>
      <c r="P405" s="685"/>
      <c r="Q405" s="685"/>
      <c r="R405" s="685"/>
      <c r="S405" s="685"/>
      <c r="T405" s="685"/>
      <c r="U405" s="685"/>
      <c r="V405" s="685"/>
      <c r="W405" s="685"/>
      <c r="X405" s="687"/>
      <c r="Y405" s="687"/>
      <c r="Z405" s="685" t="s">
        <v>1367</v>
      </c>
      <c r="AA405" s="688" t="s">
        <v>304</v>
      </c>
    </row>
    <row r="406" spans="1:27" s="64" customFormat="1" x14ac:dyDescent="0.25">
      <c r="A406" s="683" t="s">
        <v>1345</v>
      </c>
      <c r="B406" s="684"/>
      <c r="C406" s="684" t="s">
        <v>1352</v>
      </c>
      <c r="D406" s="684" t="s">
        <v>1393</v>
      </c>
      <c r="E406" s="684" t="s">
        <v>1369</v>
      </c>
      <c r="F406" s="684" t="s">
        <v>53</v>
      </c>
      <c r="G406" s="685" t="s">
        <v>47</v>
      </c>
      <c r="H406" s="684" t="s">
        <v>1366</v>
      </c>
      <c r="I406" s="686">
        <v>3360</v>
      </c>
      <c r="J406" s="686">
        <v>3950</v>
      </c>
      <c r="K406" s="686">
        <v>3950</v>
      </c>
      <c r="L406" s="686">
        <v>5000</v>
      </c>
      <c r="M406" s="685"/>
      <c r="N406" s="685"/>
      <c r="O406" s="685"/>
      <c r="P406" s="685"/>
      <c r="Q406" s="685"/>
      <c r="R406" s="685"/>
      <c r="S406" s="685"/>
      <c r="T406" s="685"/>
      <c r="U406" s="685"/>
      <c r="V406" s="685"/>
      <c r="W406" s="685"/>
      <c r="X406" s="687"/>
      <c r="Y406" s="687"/>
      <c r="Z406" s="685" t="s">
        <v>1367</v>
      </c>
      <c r="AA406" s="688" t="s">
        <v>304</v>
      </c>
    </row>
    <row r="407" spans="1:27" s="64" customFormat="1" x14ac:dyDescent="0.25">
      <c r="A407" s="683" t="s">
        <v>1345</v>
      </c>
      <c r="B407" s="684"/>
      <c r="C407" s="684" t="s">
        <v>1352</v>
      </c>
      <c r="D407" s="684" t="s">
        <v>1393</v>
      </c>
      <c r="E407" s="684" t="s">
        <v>1370</v>
      </c>
      <c r="F407" s="684" t="s">
        <v>53</v>
      </c>
      <c r="G407" s="685" t="s">
        <v>47</v>
      </c>
      <c r="H407" s="684" t="s">
        <v>1366</v>
      </c>
      <c r="I407" s="686">
        <v>3870</v>
      </c>
      <c r="J407" s="686">
        <v>4550</v>
      </c>
      <c r="K407" s="686">
        <v>4550</v>
      </c>
      <c r="L407" s="686">
        <v>5760</v>
      </c>
      <c r="M407" s="685"/>
      <c r="N407" s="685"/>
      <c r="O407" s="685"/>
      <c r="P407" s="685"/>
      <c r="Q407" s="685"/>
      <c r="R407" s="685"/>
      <c r="S407" s="685"/>
      <c r="T407" s="685"/>
      <c r="U407" s="685"/>
      <c r="V407" s="685"/>
      <c r="W407" s="685"/>
      <c r="X407" s="687"/>
      <c r="Y407" s="687"/>
      <c r="Z407" s="685" t="s">
        <v>1367</v>
      </c>
      <c r="AA407" s="688" t="s">
        <v>304</v>
      </c>
    </row>
    <row r="408" spans="1:27" s="64" customFormat="1" x14ac:dyDescent="0.25">
      <c r="A408" s="683" t="s">
        <v>1345</v>
      </c>
      <c r="B408" s="684"/>
      <c r="C408" s="684" t="s">
        <v>1352</v>
      </c>
      <c r="D408" s="684" t="s">
        <v>1393</v>
      </c>
      <c r="E408" s="684" t="s">
        <v>1371</v>
      </c>
      <c r="F408" s="684" t="s">
        <v>53</v>
      </c>
      <c r="G408" s="685" t="s">
        <v>47</v>
      </c>
      <c r="H408" s="684" t="s">
        <v>1366</v>
      </c>
      <c r="I408" s="686">
        <v>3870</v>
      </c>
      <c r="J408" s="686">
        <v>4550</v>
      </c>
      <c r="K408" s="686">
        <v>4550</v>
      </c>
      <c r="L408" s="686">
        <v>5760</v>
      </c>
      <c r="M408" s="685"/>
      <c r="N408" s="685"/>
      <c r="O408" s="685"/>
      <c r="P408" s="685"/>
      <c r="Q408" s="685"/>
      <c r="R408" s="685"/>
      <c r="S408" s="685"/>
      <c r="T408" s="685"/>
      <c r="U408" s="685"/>
      <c r="V408" s="685"/>
      <c r="W408" s="685"/>
      <c r="X408" s="687"/>
      <c r="Y408" s="687"/>
      <c r="Z408" s="685" t="s">
        <v>1367</v>
      </c>
      <c r="AA408" s="688" t="s">
        <v>304</v>
      </c>
    </row>
    <row r="409" spans="1:27" s="64" customFormat="1" x14ac:dyDescent="0.25">
      <c r="A409" s="683" t="s">
        <v>1345</v>
      </c>
      <c r="B409" s="684"/>
      <c r="C409" s="684" t="s">
        <v>1352</v>
      </c>
      <c r="D409" s="684" t="s">
        <v>1393</v>
      </c>
      <c r="E409" s="684" t="s">
        <v>1372</v>
      </c>
      <c r="F409" s="684" t="s">
        <v>53</v>
      </c>
      <c r="G409" s="685" t="s">
        <v>47</v>
      </c>
      <c r="H409" s="684" t="s">
        <v>1366</v>
      </c>
      <c r="I409" s="686">
        <v>3870</v>
      </c>
      <c r="J409" s="686">
        <v>4550</v>
      </c>
      <c r="K409" s="686">
        <v>4550</v>
      </c>
      <c r="L409" s="686">
        <v>5760</v>
      </c>
      <c r="M409" s="685"/>
      <c r="N409" s="685"/>
      <c r="O409" s="685"/>
      <c r="P409" s="685"/>
      <c r="Q409" s="685"/>
      <c r="R409" s="685"/>
      <c r="S409" s="685"/>
      <c r="T409" s="685"/>
      <c r="U409" s="685"/>
      <c r="V409" s="685"/>
      <c r="W409" s="685"/>
      <c r="X409" s="687"/>
      <c r="Y409" s="687"/>
      <c r="Z409" s="685" t="s">
        <v>1367</v>
      </c>
      <c r="AA409" s="688" t="s">
        <v>304</v>
      </c>
    </row>
    <row r="410" spans="1:27" s="64" customFormat="1" x14ac:dyDescent="0.25">
      <c r="A410" s="683" t="s">
        <v>1345</v>
      </c>
      <c r="B410" s="684"/>
      <c r="C410" s="684" t="s">
        <v>1352</v>
      </c>
      <c r="D410" s="684" t="s">
        <v>1393</v>
      </c>
      <c r="E410" s="684" t="s">
        <v>1375</v>
      </c>
      <c r="F410" s="684" t="s">
        <v>53</v>
      </c>
      <c r="G410" s="685" t="s">
        <v>47</v>
      </c>
      <c r="H410" s="684" t="s">
        <v>1366</v>
      </c>
      <c r="I410" s="686">
        <v>3955</v>
      </c>
      <c r="J410" s="686">
        <v>4650</v>
      </c>
      <c r="K410" s="686">
        <v>4650</v>
      </c>
      <c r="L410" s="686">
        <v>5885</v>
      </c>
      <c r="M410" s="685"/>
      <c r="N410" s="685"/>
      <c r="O410" s="685"/>
      <c r="P410" s="685"/>
      <c r="Q410" s="685"/>
      <c r="R410" s="685"/>
      <c r="S410" s="685"/>
      <c r="T410" s="685"/>
      <c r="U410" s="685"/>
      <c r="V410" s="685"/>
      <c r="W410" s="685"/>
      <c r="X410" s="687"/>
      <c r="Y410" s="687"/>
      <c r="Z410" s="685" t="s">
        <v>1367</v>
      </c>
      <c r="AA410" s="688" t="s">
        <v>304</v>
      </c>
    </row>
    <row r="411" spans="1:27" s="64" customFormat="1" x14ac:dyDescent="0.25">
      <c r="A411" s="683" t="s">
        <v>1345</v>
      </c>
      <c r="B411" s="684"/>
      <c r="C411" s="684" t="s">
        <v>1352</v>
      </c>
      <c r="D411" s="684" t="s">
        <v>1393</v>
      </c>
      <c r="E411" s="684" t="s">
        <v>1378</v>
      </c>
      <c r="F411" s="684" t="s">
        <v>120</v>
      </c>
      <c r="G411" s="685" t="s">
        <v>49</v>
      </c>
      <c r="H411" s="684" t="s">
        <v>1366</v>
      </c>
      <c r="I411" s="686">
        <v>5910</v>
      </c>
      <c r="J411" s="686">
        <v>6950</v>
      </c>
      <c r="K411" s="686">
        <v>6950</v>
      </c>
      <c r="L411" s="686">
        <v>8800</v>
      </c>
      <c r="M411" s="685"/>
      <c r="N411" s="685"/>
      <c r="O411" s="685"/>
      <c r="P411" s="685"/>
      <c r="Q411" s="685"/>
      <c r="R411" s="685"/>
      <c r="S411" s="685"/>
      <c r="T411" s="685"/>
      <c r="U411" s="685"/>
      <c r="V411" s="685"/>
      <c r="W411" s="685"/>
      <c r="X411" s="687"/>
      <c r="Y411" s="687"/>
      <c r="Z411" s="685" t="s">
        <v>1367</v>
      </c>
      <c r="AA411" s="688" t="s">
        <v>304</v>
      </c>
    </row>
    <row r="412" spans="1:27" s="64" customFormat="1" x14ac:dyDescent="0.25">
      <c r="A412" s="683" t="s">
        <v>1345</v>
      </c>
      <c r="B412" s="684"/>
      <c r="C412" s="684" t="s">
        <v>1352</v>
      </c>
      <c r="D412" s="684" t="s">
        <v>1393</v>
      </c>
      <c r="E412" s="684" t="s">
        <v>1380</v>
      </c>
      <c r="F412" s="684" t="s">
        <v>53</v>
      </c>
      <c r="G412" s="685" t="s">
        <v>47</v>
      </c>
      <c r="H412" s="684" t="s">
        <v>1366</v>
      </c>
      <c r="I412" s="686">
        <v>4210</v>
      </c>
      <c r="J412" s="686">
        <v>4950</v>
      </c>
      <c r="K412" s="686">
        <v>4950</v>
      </c>
      <c r="L412" s="686">
        <v>6265</v>
      </c>
      <c r="M412" s="685"/>
      <c r="N412" s="685"/>
      <c r="O412" s="685"/>
      <c r="P412" s="685"/>
      <c r="Q412" s="685"/>
      <c r="R412" s="685"/>
      <c r="S412" s="685"/>
      <c r="T412" s="685"/>
      <c r="U412" s="685"/>
      <c r="V412" s="685"/>
      <c r="W412" s="685"/>
      <c r="X412" s="687"/>
      <c r="Y412" s="687"/>
      <c r="Z412" s="685" t="s">
        <v>1367</v>
      </c>
      <c r="AA412" s="688" t="s">
        <v>304</v>
      </c>
    </row>
    <row r="413" spans="1:27" s="64" customFormat="1" x14ac:dyDescent="0.25">
      <c r="A413" s="683" t="s">
        <v>1345</v>
      </c>
      <c r="B413" s="684"/>
      <c r="C413" s="684" t="s">
        <v>1352</v>
      </c>
      <c r="D413" s="684" t="s">
        <v>1393</v>
      </c>
      <c r="E413" s="684" t="s">
        <v>1382</v>
      </c>
      <c r="F413" s="684" t="s">
        <v>53</v>
      </c>
      <c r="G413" s="685" t="s">
        <v>47</v>
      </c>
      <c r="H413" s="684" t="s">
        <v>1366</v>
      </c>
      <c r="I413" s="686">
        <v>3445</v>
      </c>
      <c r="J413" s="686">
        <v>4050</v>
      </c>
      <c r="K413" s="686">
        <v>4050</v>
      </c>
      <c r="L413" s="686">
        <v>5125</v>
      </c>
      <c r="M413" s="685"/>
      <c r="N413" s="685"/>
      <c r="O413" s="685"/>
      <c r="P413" s="685"/>
      <c r="Q413" s="685"/>
      <c r="R413" s="685"/>
      <c r="S413" s="685"/>
      <c r="T413" s="685"/>
      <c r="U413" s="685"/>
      <c r="V413" s="685"/>
      <c r="W413" s="685"/>
      <c r="X413" s="687"/>
      <c r="Y413" s="687"/>
      <c r="Z413" s="685" t="s">
        <v>1367</v>
      </c>
      <c r="AA413" s="688" t="s">
        <v>304</v>
      </c>
    </row>
    <row r="414" spans="1:27" s="64" customFormat="1" x14ac:dyDescent="0.25">
      <c r="A414" s="683" t="s">
        <v>1345</v>
      </c>
      <c r="B414" s="684"/>
      <c r="C414" s="684" t="s">
        <v>1352</v>
      </c>
      <c r="D414" s="684" t="s">
        <v>1393</v>
      </c>
      <c r="E414" s="684" t="s">
        <v>1395</v>
      </c>
      <c r="F414" s="684" t="s">
        <v>53</v>
      </c>
      <c r="G414" s="685" t="s">
        <v>47</v>
      </c>
      <c r="H414" s="684" t="s">
        <v>1366</v>
      </c>
      <c r="I414" s="686">
        <v>3360</v>
      </c>
      <c r="J414" s="686">
        <v>3950</v>
      </c>
      <c r="K414" s="686">
        <v>3950</v>
      </c>
      <c r="L414" s="686">
        <v>5000</v>
      </c>
      <c r="M414" s="685"/>
      <c r="N414" s="685"/>
      <c r="O414" s="685"/>
      <c r="P414" s="685"/>
      <c r="Q414" s="685"/>
      <c r="R414" s="685"/>
      <c r="S414" s="685"/>
      <c r="T414" s="685"/>
      <c r="U414" s="685"/>
      <c r="V414" s="685"/>
      <c r="W414" s="685"/>
      <c r="X414" s="687"/>
      <c r="Y414" s="687"/>
      <c r="Z414" s="685" t="s">
        <v>1367</v>
      </c>
      <c r="AA414" s="688" t="s">
        <v>304</v>
      </c>
    </row>
    <row r="415" spans="1:27" s="64" customFormat="1" x14ac:dyDescent="0.25">
      <c r="A415" s="683" t="s">
        <v>1345</v>
      </c>
      <c r="B415" s="684"/>
      <c r="C415" s="684" t="s">
        <v>1352</v>
      </c>
      <c r="D415" s="684" t="s">
        <v>1393</v>
      </c>
      <c r="E415" s="684" t="s">
        <v>1396</v>
      </c>
      <c r="F415" s="684" t="s">
        <v>53</v>
      </c>
      <c r="G415" s="685" t="s">
        <v>47</v>
      </c>
      <c r="H415" s="684" t="s">
        <v>1366</v>
      </c>
      <c r="I415" s="686">
        <v>2295</v>
      </c>
      <c r="J415" s="686">
        <v>2700</v>
      </c>
      <c r="K415" s="686">
        <v>2700</v>
      </c>
      <c r="L415" s="686">
        <v>3420</v>
      </c>
      <c r="M415" s="685"/>
      <c r="N415" s="685"/>
      <c r="O415" s="685"/>
      <c r="P415" s="685"/>
      <c r="Q415" s="685"/>
      <c r="R415" s="685"/>
      <c r="S415" s="685"/>
      <c r="T415" s="685"/>
      <c r="U415" s="685"/>
      <c r="V415" s="685"/>
      <c r="W415" s="685"/>
      <c r="X415" s="687"/>
      <c r="Y415" s="687"/>
      <c r="Z415" s="685" t="s">
        <v>1367</v>
      </c>
      <c r="AA415" s="688" t="s">
        <v>304</v>
      </c>
    </row>
    <row r="416" spans="1:27" s="64" customFormat="1" x14ac:dyDescent="0.25">
      <c r="A416" s="683" t="s">
        <v>1345</v>
      </c>
      <c r="B416" s="684"/>
      <c r="C416" s="684" t="s">
        <v>1352</v>
      </c>
      <c r="D416" s="684" t="s">
        <v>1393</v>
      </c>
      <c r="E416" s="684" t="s">
        <v>1397</v>
      </c>
      <c r="F416" s="684" t="s">
        <v>53</v>
      </c>
      <c r="G416" s="685" t="s">
        <v>47</v>
      </c>
      <c r="H416" s="684" t="s">
        <v>1366</v>
      </c>
      <c r="I416" s="686">
        <v>3700</v>
      </c>
      <c r="J416" s="686">
        <v>4350</v>
      </c>
      <c r="K416" s="686">
        <v>4350</v>
      </c>
      <c r="L416" s="686">
        <v>5505</v>
      </c>
      <c r="M416" s="685"/>
      <c r="N416" s="685"/>
      <c r="O416" s="685"/>
      <c r="P416" s="685"/>
      <c r="Q416" s="685"/>
      <c r="R416" s="685"/>
      <c r="S416" s="685"/>
      <c r="T416" s="685"/>
      <c r="U416" s="685"/>
      <c r="V416" s="685"/>
      <c r="W416" s="685"/>
      <c r="X416" s="687"/>
      <c r="Y416" s="687"/>
      <c r="Z416" s="685" t="s">
        <v>1367</v>
      </c>
      <c r="AA416" s="688" t="s">
        <v>304</v>
      </c>
    </row>
    <row r="417" spans="1:27" s="64" customFormat="1" x14ac:dyDescent="0.25">
      <c r="A417" s="683" t="s">
        <v>1345</v>
      </c>
      <c r="B417" s="684"/>
      <c r="C417" s="684" t="s">
        <v>1398</v>
      </c>
      <c r="D417" s="684" t="s">
        <v>1393</v>
      </c>
      <c r="E417" s="684"/>
      <c r="F417" s="684" t="s">
        <v>51</v>
      </c>
      <c r="G417" s="685" t="s">
        <v>47</v>
      </c>
      <c r="H417" s="684" t="s">
        <v>1366</v>
      </c>
      <c r="I417" s="686">
        <v>1260</v>
      </c>
      <c r="J417" s="686">
        <v>1800</v>
      </c>
      <c r="K417" s="686">
        <v>1800</v>
      </c>
      <c r="L417" s="686">
        <v>2280</v>
      </c>
      <c r="M417" s="685"/>
      <c r="N417" s="685"/>
      <c r="O417" s="685"/>
      <c r="P417" s="685"/>
      <c r="Q417" s="685"/>
      <c r="R417" s="685"/>
      <c r="S417" s="685"/>
      <c r="T417" s="685"/>
      <c r="U417" s="685"/>
      <c r="V417" s="685"/>
      <c r="W417" s="685"/>
      <c r="X417" s="687"/>
      <c r="Y417" s="687"/>
      <c r="Z417" s="685" t="s">
        <v>1367</v>
      </c>
      <c r="AA417" s="688" t="s">
        <v>304</v>
      </c>
    </row>
    <row r="418" spans="1:27" s="64" customFormat="1" x14ac:dyDescent="0.25">
      <c r="A418" s="683" t="s">
        <v>1345</v>
      </c>
      <c r="B418" s="684"/>
      <c r="C418" s="684" t="s">
        <v>1398</v>
      </c>
      <c r="D418" s="684" t="s">
        <v>1393</v>
      </c>
      <c r="E418" s="684" t="s">
        <v>1369</v>
      </c>
      <c r="F418" s="684" t="s">
        <v>53</v>
      </c>
      <c r="G418" s="685" t="s">
        <v>47</v>
      </c>
      <c r="H418" s="684" t="s">
        <v>1366</v>
      </c>
      <c r="I418" s="686">
        <v>3160</v>
      </c>
      <c r="J418" s="686">
        <v>3950</v>
      </c>
      <c r="K418" s="686">
        <v>3950</v>
      </c>
      <c r="L418" s="686">
        <v>5000</v>
      </c>
      <c r="M418" s="685"/>
      <c r="N418" s="685"/>
      <c r="O418" s="685"/>
      <c r="P418" s="685"/>
      <c r="Q418" s="685"/>
      <c r="R418" s="685"/>
      <c r="S418" s="685"/>
      <c r="T418" s="685"/>
      <c r="U418" s="685"/>
      <c r="V418" s="685"/>
      <c r="W418" s="685"/>
      <c r="X418" s="687"/>
      <c r="Y418" s="687"/>
      <c r="Z418" s="685" t="s">
        <v>1367</v>
      </c>
      <c r="AA418" s="688" t="s">
        <v>304</v>
      </c>
    </row>
    <row r="419" spans="1:27" s="64" customFormat="1" x14ac:dyDescent="0.25">
      <c r="A419" s="683" t="s">
        <v>1345</v>
      </c>
      <c r="B419" s="684"/>
      <c r="C419" s="684" t="s">
        <v>1398</v>
      </c>
      <c r="D419" s="684" t="s">
        <v>1393</v>
      </c>
      <c r="E419" s="684" t="s">
        <v>1370</v>
      </c>
      <c r="F419" s="684" t="s">
        <v>53</v>
      </c>
      <c r="G419" s="685" t="s">
        <v>47</v>
      </c>
      <c r="H419" s="684" t="s">
        <v>1366</v>
      </c>
      <c r="I419" s="686">
        <v>3640</v>
      </c>
      <c r="J419" s="686">
        <v>4550</v>
      </c>
      <c r="K419" s="686">
        <v>4550</v>
      </c>
      <c r="L419" s="686">
        <v>5760</v>
      </c>
      <c r="M419" s="685"/>
      <c r="N419" s="685"/>
      <c r="O419" s="685"/>
      <c r="P419" s="685"/>
      <c r="Q419" s="685"/>
      <c r="R419" s="685"/>
      <c r="S419" s="685"/>
      <c r="T419" s="685"/>
      <c r="U419" s="685"/>
      <c r="V419" s="685"/>
      <c r="W419" s="685"/>
      <c r="X419" s="687"/>
      <c r="Y419" s="687"/>
      <c r="Z419" s="685" t="s">
        <v>1367</v>
      </c>
      <c r="AA419" s="688" t="s">
        <v>304</v>
      </c>
    </row>
    <row r="420" spans="1:27" s="64" customFormat="1" x14ac:dyDescent="0.25">
      <c r="A420" s="683" t="s">
        <v>1345</v>
      </c>
      <c r="B420" s="684"/>
      <c r="C420" s="684" t="s">
        <v>1398</v>
      </c>
      <c r="D420" s="684" t="s">
        <v>1393</v>
      </c>
      <c r="E420" s="684" t="s">
        <v>1371</v>
      </c>
      <c r="F420" s="684" t="s">
        <v>53</v>
      </c>
      <c r="G420" s="685" t="s">
        <v>47</v>
      </c>
      <c r="H420" s="684" t="s">
        <v>1366</v>
      </c>
      <c r="I420" s="686">
        <v>3640</v>
      </c>
      <c r="J420" s="686">
        <v>4550</v>
      </c>
      <c r="K420" s="686">
        <v>4550</v>
      </c>
      <c r="L420" s="686">
        <v>5760</v>
      </c>
      <c r="M420" s="685"/>
      <c r="N420" s="685"/>
      <c r="O420" s="685"/>
      <c r="P420" s="685"/>
      <c r="Q420" s="685"/>
      <c r="R420" s="685"/>
      <c r="S420" s="685"/>
      <c r="T420" s="685"/>
      <c r="U420" s="685"/>
      <c r="V420" s="685"/>
      <c r="W420" s="685"/>
      <c r="X420" s="687"/>
      <c r="Y420" s="687"/>
      <c r="Z420" s="685" t="s">
        <v>1367</v>
      </c>
      <c r="AA420" s="688" t="s">
        <v>304</v>
      </c>
    </row>
    <row r="421" spans="1:27" s="64" customFormat="1" x14ac:dyDescent="0.25">
      <c r="A421" s="683" t="s">
        <v>1345</v>
      </c>
      <c r="B421" s="684"/>
      <c r="C421" s="684" t="s">
        <v>1398</v>
      </c>
      <c r="D421" s="684" t="s">
        <v>1393</v>
      </c>
      <c r="E421" s="684" t="s">
        <v>1372</v>
      </c>
      <c r="F421" s="684" t="s">
        <v>53</v>
      </c>
      <c r="G421" s="685" t="s">
        <v>47</v>
      </c>
      <c r="H421" s="684" t="s">
        <v>1366</v>
      </c>
      <c r="I421" s="686">
        <v>3640</v>
      </c>
      <c r="J421" s="686">
        <v>4550</v>
      </c>
      <c r="K421" s="686">
        <v>4550</v>
      </c>
      <c r="L421" s="686">
        <v>5760</v>
      </c>
      <c r="M421" s="685"/>
      <c r="N421" s="685"/>
      <c r="O421" s="685"/>
      <c r="P421" s="685"/>
      <c r="Q421" s="685"/>
      <c r="R421" s="685"/>
      <c r="S421" s="685"/>
      <c r="T421" s="685"/>
      <c r="U421" s="685"/>
      <c r="V421" s="685"/>
      <c r="W421" s="685"/>
      <c r="X421" s="687"/>
      <c r="Y421" s="687"/>
      <c r="Z421" s="685" t="s">
        <v>1367</v>
      </c>
      <c r="AA421" s="688" t="s">
        <v>304</v>
      </c>
    </row>
    <row r="422" spans="1:27" s="64" customFormat="1" x14ac:dyDescent="0.25">
      <c r="A422" s="683" t="s">
        <v>1345</v>
      </c>
      <c r="B422" s="684"/>
      <c r="C422" s="684" t="s">
        <v>1398</v>
      </c>
      <c r="D422" s="684" t="s">
        <v>1393</v>
      </c>
      <c r="E422" s="684" t="s">
        <v>1375</v>
      </c>
      <c r="F422" s="684" t="s">
        <v>53</v>
      </c>
      <c r="G422" s="685" t="s">
        <v>47</v>
      </c>
      <c r="H422" s="684" t="s">
        <v>1366</v>
      </c>
      <c r="I422" s="686">
        <v>3720</v>
      </c>
      <c r="J422" s="686">
        <v>4650</v>
      </c>
      <c r="K422" s="686">
        <v>4650</v>
      </c>
      <c r="L422" s="686">
        <v>5885</v>
      </c>
      <c r="M422" s="685"/>
      <c r="N422" s="685"/>
      <c r="O422" s="685"/>
      <c r="P422" s="685"/>
      <c r="Q422" s="685"/>
      <c r="R422" s="685"/>
      <c r="S422" s="685"/>
      <c r="T422" s="685"/>
      <c r="U422" s="685"/>
      <c r="V422" s="685"/>
      <c r="W422" s="685"/>
      <c r="X422" s="687"/>
      <c r="Y422" s="687"/>
      <c r="Z422" s="685" t="s">
        <v>1367</v>
      </c>
      <c r="AA422" s="688" t="s">
        <v>304</v>
      </c>
    </row>
    <row r="423" spans="1:27" s="64" customFormat="1" x14ac:dyDescent="0.25">
      <c r="A423" s="683" t="s">
        <v>1345</v>
      </c>
      <c r="B423" s="684"/>
      <c r="C423" s="684" t="s">
        <v>1398</v>
      </c>
      <c r="D423" s="684" t="s">
        <v>1393</v>
      </c>
      <c r="E423" s="684" t="s">
        <v>1378</v>
      </c>
      <c r="F423" s="684" t="s">
        <v>120</v>
      </c>
      <c r="G423" s="685" t="s">
        <v>49</v>
      </c>
      <c r="H423" s="684" t="s">
        <v>1366</v>
      </c>
      <c r="I423" s="686">
        <v>5560</v>
      </c>
      <c r="J423" s="686">
        <v>6950</v>
      </c>
      <c r="K423" s="686">
        <v>6950</v>
      </c>
      <c r="L423" s="686">
        <v>8800</v>
      </c>
      <c r="M423" s="685"/>
      <c r="N423" s="685"/>
      <c r="O423" s="685"/>
      <c r="P423" s="685"/>
      <c r="Q423" s="685"/>
      <c r="R423" s="685"/>
      <c r="S423" s="685"/>
      <c r="T423" s="685"/>
      <c r="U423" s="685"/>
      <c r="V423" s="685"/>
      <c r="W423" s="685"/>
      <c r="X423" s="687"/>
      <c r="Y423" s="687"/>
      <c r="Z423" s="685" t="s">
        <v>1367</v>
      </c>
      <c r="AA423" s="688" t="s">
        <v>304</v>
      </c>
    </row>
    <row r="424" spans="1:27" s="64" customFormat="1" x14ac:dyDescent="0.25">
      <c r="A424" s="683" t="s">
        <v>1345</v>
      </c>
      <c r="B424" s="684"/>
      <c r="C424" s="684" t="s">
        <v>1398</v>
      </c>
      <c r="D424" s="684" t="s">
        <v>1393</v>
      </c>
      <c r="E424" s="684" t="s">
        <v>1380</v>
      </c>
      <c r="F424" s="684" t="s">
        <v>53</v>
      </c>
      <c r="G424" s="685" t="s">
        <v>47</v>
      </c>
      <c r="H424" s="684" t="s">
        <v>1366</v>
      </c>
      <c r="I424" s="686">
        <v>3960</v>
      </c>
      <c r="J424" s="686">
        <v>4950</v>
      </c>
      <c r="K424" s="686">
        <v>4950</v>
      </c>
      <c r="L424" s="686">
        <v>6265</v>
      </c>
      <c r="M424" s="685"/>
      <c r="N424" s="685"/>
      <c r="O424" s="685"/>
      <c r="P424" s="685"/>
      <c r="Q424" s="685"/>
      <c r="R424" s="685"/>
      <c r="S424" s="685"/>
      <c r="T424" s="685"/>
      <c r="U424" s="685"/>
      <c r="V424" s="685"/>
      <c r="W424" s="685"/>
      <c r="X424" s="687"/>
      <c r="Y424" s="687"/>
      <c r="Z424" s="685" t="s">
        <v>1367</v>
      </c>
      <c r="AA424" s="688" t="s">
        <v>304</v>
      </c>
    </row>
    <row r="425" spans="1:27" s="64" customFormat="1" x14ac:dyDescent="0.25">
      <c r="A425" s="683" t="s">
        <v>1345</v>
      </c>
      <c r="B425" s="684"/>
      <c r="C425" s="684" t="s">
        <v>1398</v>
      </c>
      <c r="D425" s="684" t="s">
        <v>1393</v>
      </c>
      <c r="E425" s="684" t="s">
        <v>1382</v>
      </c>
      <c r="F425" s="684" t="s">
        <v>53</v>
      </c>
      <c r="G425" s="685" t="s">
        <v>47</v>
      </c>
      <c r="H425" s="684" t="s">
        <v>1366</v>
      </c>
      <c r="I425" s="686">
        <v>3240</v>
      </c>
      <c r="J425" s="686">
        <v>4050</v>
      </c>
      <c r="K425" s="686">
        <v>4050</v>
      </c>
      <c r="L425" s="686">
        <v>5125</v>
      </c>
      <c r="M425" s="685"/>
      <c r="N425" s="685"/>
      <c r="O425" s="685"/>
      <c r="P425" s="685"/>
      <c r="Q425" s="685"/>
      <c r="R425" s="685"/>
      <c r="S425" s="685"/>
      <c r="T425" s="685"/>
      <c r="U425" s="685"/>
      <c r="V425" s="685"/>
      <c r="W425" s="685"/>
      <c r="X425" s="687"/>
      <c r="Y425" s="687"/>
      <c r="Z425" s="685" t="s">
        <v>1367</v>
      </c>
      <c r="AA425" s="688" t="s">
        <v>304</v>
      </c>
    </row>
    <row r="426" spans="1:27" s="64" customFormat="1" x14ac:dyDescent="0.25">
      <c r="A426" s="683" t="s">
        <v>1345</v>
      </c>
      <c r="B426" s="684"/>
      <c r="C426" s="684" t="s">
        <v>1398</v>
      </c>
      <c r="D426" s="684" t="s">
        <v>1393</v>
      </c>
      <c r="E426" s="684" t="s">
        <v>1395</v>
      </c>
      <c r="F426" s="684" t="s">
        <v>53</v>
      </c>
      <c r="G426" s="685" t="s">
        <v>47</v>
      </c>
      <c r="H426" s="684" t="s">
        <v>1366</v>
      </c>
      <c r="I426" s="686">
        <v>3160</v>
      </c>
      <c r="J426" s="686">
        <v>3950</v>
      </c>
      <c r="K426" s="686">
        <v>3950</v>
      </c>
      <c r="L426" s="686">
        <v>5000</v>
      </c>
      <c r="M426" s="685"/>
      <c r="N426" s="685"/>
      <c r="O426" s="685"/>
      <c r="P426" s="685"/>
      <c r="Q426" s="685"/>
      <c r="R426" s="685"/>
      <c r="S426" s="685"/>
      <c r="T426" s="685"/>
      <c r="U426" s="685"/>
      <c r="V426" s="685"/>
      <c r="W426" s="685"/>
      <c r="X426" s="687"/>
      <c r="Y426" s="687"/>
      <c r="Z426" s="685" t="s">
        <v>1367</v>
      </c>
      <c r="AA426" s="688" t="s">
        <v>304</v>
      </c>
    </row>
    <row r="427" spans="1:27" s="64" customFormat="1" x14ac:dyDescent="0.25">
      <c r="A427" s="683" t="s">
        <v>1345</v>
      </c>
      <c r="B427" s="684"/>
      <c r="C427" s="684" t="s">
        <v>1398</v>
      </c>
      <c r="D427" s="684" t="s">
        <v>1393</v>
      </c>
      <c r="E427" s="684" t="s">
        <v>1396</v>
      </c>
      <c r="F427" s="684" t="s">
        <v>53</v>
      </c>
      <c r="G427" s="685" t="s">
        <v>47</v>
      </c>
      <c r="H427" s="684" t="s">
        <v>1366</v>
      </c>
      <c r="I427" s="686">
        <v>2160</v>
      </c>
      <c r="J427" s="686">
        <v>2700</v>
      </c>
      <c r="K427" s="686">
        <v>2700</v>
      </c>
      <c r="L427" s="686">
        <v>3420</v>
      </c>
      <c r="M427" s="685"/>
      <c r="N427" s="685"/>
      <c r="O427" s="685"/>
      <c r="P427" s="685"/>
      <c r="Q427" s="685"/>
      <c r="R427" s="685"/>
      <c r="S427" s="685"/>
      <c r="T427" s="685"/>
      <c r="U427" s="685"/>
      <c r="V427" s="685"/>
      <c r="W427" s="685"/>
      <c r="X427" s="687"/>
      <c r="Y427" s="687"/>
      <c r="Z427" s="685" t="s">
        <v>1367</v>
      </c>
      <c r="AA427" s="688" t="s">
        <v>304</v>
      </c>
    </row>
    <row r="428" spans="1:27" s="64" customFormat="1" x14ac:dyDescent="0.25">
      <c r="A428" s="683" t="s">
        <v>1345</v>
      </c>
      <c r="B428" s="684"/>
      <c r="C428" s="684" t="s">
        <v>1398</v>
      </c>
      <c r="D428" s="684" t="s">
        <v>1393</v>
      </c>
      <c r="E428" s="684" t="s">
        <v>1397</v>
      </c>
      <c r="F428" s="684" t="s">
        <v>53</v>
      </c>
      <c r="G428" s="685" t="s">
        <v>47</v>
      </c>
      <c r="H428" s="684" t="s">
        <v>1366</v>
      </c>
      <c r="I428" s="686">
        <v>3480</v>
      </c>
      <c r="J428" s="686">
        <v>4350</v>
      </c>
      <c r="K428" s="686">
        <v>4350</v>
      </c>
      <c r="L428" s="686">
        <v>5505</v>
      </c>
      <c r="M428" s="685"/>
      <c r="N428" s="685"/>
      <c r="O428" s="685"/>
      <c r="P428" s="685"/>
      <c r="Q428" s="685"/>
      <c r="R428" s="685"/>
      <c r="S428" s="685"/>
      <c r="T428" s="685"/>
      <c r="U428" s="685"/>
      <c r="V428" s="685"/>
      <c r="W428" s="685"/>
      <c r="X428" s="687"/>
      <c r="Y428" s="687"/>
      <c r="Z428" s="685" t="s">
        <v>1367</v>
      </c>
      <c r="AA428" s="688" t="s">
        <v>304</v>
      </c>
    </row>
    <row r="429" spans="1:27" s="64" customFormat="1" x14ac:dyDescent="0.25">
      <c r="A429" s="683" t="s">
        <v>1345</v>
      </c>
      <c r="B429" s="684"/>
      <c r="C429" s="684" t="s">
        <v>1347</v>
      </c>
      <c r="D429" s="684" t="s">
        <v>1394</v>
      </c>
      <c r="E429" s="684"/>
      <c r="F429" s="684" t="s">
        <v>51</v>
      </c>
      <c r="G429" s="685" t="s">
        <v>47</v>
      </c>
      <c r="H429" s="684" t="s">
        <v>1366</v>
      </c>
      <c r="I429" s="686">
        <v>1260</v>
      </c>
      <c r="J429" s="686">
        <v>1800</v>
      </c>
      <c r="K429" s="686">
        <v>1800</v>
      </c>
      <c r="L429" s="686">
        <v>2280</v>
      </c>
      <c r="M429" s="685"/>
      <c r="N429" s="685"/>
      <c r="O429" s="685"/>
      <c r="P429" s="685"/>
      <c r="Q429" s="685"/>
      <c r="R429" s="685"/>
      <c r="S429" s="685"/>
      <c r="T429" s="685"/>
      <c r="U429" s="685"/>
      <c r="V429" s="685"/>
      <c r="W429" s="685"/>
      <c r="X429" s="687"/>
      <c r="Y429" s="687"/>
      <c r="Z429" s="685" t="s">
        <v>1367</v>
      </c>
      <c r="AA429" s="688" t="s">
        <v>304</v>
      </c>
    </row>
    <row r="430" spans="1:27" s="64" customFormat="1" x14ac:dyDescent="0.25">
      <c r="A430" s="683" t="s">
        <v>1345</v>
      </c>
      <c r="B430" s="684"/>
      <c r="C430" s="684" t="s">
        <v>1392</v>
      </c>
      <c r="D430" s="684" t="s">
        <v>1393</v>
      </c>
      <c r="E430" s="684"/>
      <c r="F430" s="684" t="s">
        <v>51</v>
      </c>
      <c r="G430" s="685" t="s">
        <v>47</v>
      </c>
      <c r="H430" s="684" t="s">
        <v>1366</v>
      </c>
      <c r="I430" s="686">
        <v>1260</v>
      </c>
      <c r="J430" s="686">
        <v>1800</v>
      </c>
      <c r="K430" s="686">
        <v>1800</v>
      </c>
      <c r="L430" s="686">
        <v>2280</v>
      </c>
      <c r="M430" s="685"/>
      <c r="N430" s="685"/>
      <c r="O430" s="685"/>
      <c r="P430" s="685"/>
      <c r="Q430" s="685"/>
      <c r="R430" s="685"/>
      <c r="S430" s="685"/>
      <c r="T430" s="685"/>
      <c r="U430" s="685"/>
      <c r="V430" s="685"/>
      <c r="W430" s="685"/>
      <c r="X430" s="687"/>
      <c r="Y430" s="687"/>
      <c r="Z430" s="685" t="s">
        <v>1367</v>
      </c>
      <c r="AA430" s="688" t="s">
        <v>304</v>
      </c>
    </row>
    <row r="431" spans="1:27" s="64" customFormat="1" x14ac:dyDescent="0.25">
      <c r="A431" s="683" t="s">
        <v>1345</v>
      </c>
      <c r="B431" s="684"/>
      <c r="C431" s="684" t="s">
        <v>1392</v>
      </c>
      <c r="D431" s="684" t="s">
        <v>1393</v>
      </c>
      <c r="E431" s="684" t="s">
        <v>1369</v>
      </c>
      <c r="F431" s="684" t="s">
        <v>53</v>
      </c>
      <c r="G431" s="685" t="s">
        <v>47</v>
      </c>
      <c r="H431" s="684" t="s">
        <v>1366</v>
      </c>
      <c r="I431" s="686">
        <v>3360</v>
      </c>
      <c r="J431" s="686">
        <v>3950</v>
      </c>
      <c r="K431" s="686">
        <v>3950</v>
      </c>
      <c r="L431" s="686">
        <v>5000</v>
      </c>
      <c r="M431" s="685"/>
      <c r="N431" s="685"/>
      <c r="O431" s="685"/>
      <c r="P431" s="685"/>
      <c r="Q431" s="685"/>
      <c r="R431" s="685"/>
      <c r="S431" s="685"/>
      <c r="T431" s="685"/>
      <c r="U431" s="685"/>
      <c r="V431" s="685"/>
      <c r="W431" s="685"/>
      <c r="X431" s="687"/>
      <c r="Y431" s="687"/>
      <c r="Z431" s="685" t="s">
        <v>1367</v>
      </c>
      <c r="AA431" s="688" t="s">
        <v>304</v>
      </c>
    </row>
    <row r="432" spans="1:27" s="64" customFormat="1" x14ac:dyDescent="0.25">
      <c r="A432" s="683" t="s">
        <v>1345</v>
      </c>
      <c r="B432" s="684"/>
      <c r="C432" s="684" t="s">
        <v>1392</v>
      </c>
      <c r="D432" s="684" t="s">
        <v>1393</v>
      </c>
      <c r="E432" s="684" t="s">
        <v>1370</v>
      </c>
      <c r="F432" s="684" t="s">
        <v>53</v>
      </c>
      <c r="G432" s="685" t="s">
        <v>47</v>
      </c>
      <c r="H432" s="684" t="s">
        <v>1366</v>
      </c>
      <c r="I432" s="686">
        <v>3870</v>
      </c>
      <c r="J432" s="686">
        <v>4550</v>
      </c>
      <c r="K432" s="686">
        <v>4550</v>
      </c>
      <c r="L432" s="686">
        <v>5760</v>
      </c>
      <c r="M432" s="685"/>
      <c r="N432" s="685"/>
      <c r="O432" s="685"/>
      <c r="P432" s="685"/>
      <c r="Q432" s="685"/>
      <c r="R432" s="685"/>
      <c r="S432" s="685"/>
      <c r="T432" s="685"/>
      <c r="U432" s="685"/>
      <c r="V432" s="685"/>
      <c r="W432" s="685"/>
      <c r="X432" s="687"/>
      <c r="Y432" s="687"/>
      <c r="Z432" s="685" t="s">
        <v>1367</v>
      </c>
      <c r="AA432" s="688" t="s">
        <v>304</v>
      </c>
    </row>
    <row r="433" spans="1:27" s="64" customFormat="1" x14ac:dyDescent="0.25">
      <c r="A433" s="683" t="s">
        <v>1345</v>
      </c>
      <c r="B433" s="684"/>
      <c r="C433" s="684" t="s">
        <v>1392</v>
      </c>
      <c r="D433" s="684" t="s">
        <v>1393</v>
      </c>
      <c r="E433" s="684" t="s">
        <v>1371</v>
      </c>
      <c r="F433" s="684" t="s">
        <v>53</v>
      </c>
      <c r="G433" s="685" t="s">
        <v>47</v>
      </c>
      <c r="H433" s="684" t="s">
        <v>1366</v>
      </c>
      <c r="I433" s="686">
        <v>3870</v>
      </c>
      <c r="J433" s="686">
        <v>4550</v>
      </c>
      <c r="K433" s="686">
        <v>4550</v>
      </c>
      <c r="L433" s="686">
        <v>5760</v>
      </c>
      <c r="M433" s="685"/>
      <c r="N433" s="685"/>
      <c r="O433" s="685"/>
      <c r="P433" s="685"/>
      <c r="Q433" s="685"/>
      <c r="R433" s="685"/>
      <c r="S433" s="685"/>
      <c r="T433" s="685"/>
      <c r="U433" s="685"/>
      <c r="V433" s="685"/>
      <c r="W433" s="685"/>
      <c r="X433" s="687"/>
      <c r="Y433" s="687"/>
      <c r="Z433" s="685" t="s">
        <v>1367</v>
      </c>
      <c r="AA433" s="688" t="s">
        <v>304</v>
      </c>
    </row>
    <row r="434" spans="1:27" s="64" customFormat="1" x14ac:dyDescent="0.25">
      <c r="A434" s="683" t="s">
        <v>1345</v>
      </c>
      <c r="B434" s="684"/>
      <c r="C434" s="684" t="s">
        <v>1392</v>
      </c>
      <c r="D434" s="684" t="s">
        <v>1393</v>
      </c>
      <c r="E434" s="684" t="s">
        <v>1372</v>
      </c>
      <c r="F434" s="684" t="s">
        <v>53</v>
      </c>
      <c r="G434" s="685" t="s">
        <v>47</v>
      </c>
      <c r="H434" s="684" t="s">
        <v>1366</v>
      </c>
      <c r="I434" s="686">
        <v>3870</v>
      </c>
      <c r="J434" s="686">
        <v>4550</v>
      </c>
      <c r="K434" s="686">
        <v>4550</v>
      </c>
      <c r="L434" s="686">
        <v>5760</v>
      </c>
      <c r="M434" s="685"/>
      <c r="N434" s="685"/>
      <c r="O434" s="685"/>
      <c r="P434" s="685"/>
      <c r="Q434" s="685"/>
      <c r="R434" s="685"/>
      <c r="S434" s="685"/>
      <c r="T434" s="685"/>
      <c r="U434" s="685"/>
      <c r="V434" s="685"/>
      <c r="W434" s="685"/>
      <c r="X434" s="687"/>
      <c r="Y434" s="687"/>
      <c r="Z434" s="685" t="s">
        <v>1367</v>
      </c>
      <c r="AA434" s="688" t="s">
        <v>304</v>
      </c>
    </row>
    <row r="435" spans="1:27" s="64" customFormat="1" x14ac:dyDescent="0.25">
      <c r="A435" s="683" t="s">
        <v>1345</v>
      </c>
      <c r="B435" s="684"/>
      <c r="C435" s="684" t="s">
        <v>1392</v>
      </c>
      <c r="D435" s="684" t="s">
        <v>1393</v>
      </c>
      <c r="E435" s="684" t="s">
        <v>1375</v>
      </c>
      <c r="F435" s="684" t="s">
        <v>53</v>
      </c>
      <c r="G435" s="685" t="s">
        <v>47</v>
      </c>
      <c r="H435" s="684" t="s">
        <v>1366</v>
      </c>
      <c r="I435" s="686">
        <v>3955</v>
      </c>
      <c r="J435" s="686">
        <v>4650</v>
      </c>
      <c r="K435" s="686">
        <v>4650</v>
      </c>
      <c r="L435" s="686">
        <v>5885</v>
      </c>
      <c r="M435" s="685"/>
      <c r="N435" s="685"/>
      <c r="O435" s="685"/>
      <c r="P435" s="685"/>
      <c r="Q435" s="685"/>
      <c r="R435" s="685"/>
      <c r="S435" s="685"/>
      <c r="T435" s="685"/>
      <c r="U435" s="685"/>
      <c r="V435" s="685"/>
      <c r="W435" s="685"/>
      <c r="X435" s="687"/>
      <c r="Y435" s="687"/>
      <c r="Z435" s="685" t="s">
        <v>1367</v>
      </c>
      <c r="AA435" s="688" t="s">
        <v>304</v>
      </c>
    </row>
    <row r="436" spans="1:27" s="64" customFormat="1" x14ac:dyDescent="0.25">
      <c r="A436" s="683" t="s">
        <v>1345</v>
      </c>
      <c r="B436" s="684"/>
      <c r="C436" s="684" t="s">
        <v>1392</v>
      </c>
      <c r="D436" s="684" t="s">
        <v>1393</v>
      </c>
      <c r="E436" s="684" t="s">
        <v>1378</v>
      </c>
      <c r="F436" s="684" t="s">
        <v>120</v>
      </c>
      <c r="G436" s="685" t="s">
        <v>49</v>
      </c>
      <c r="H436" s="684" t="s">
        <v>1366</v>
      </c>
      <c r="I436" s="686">
        <v>5910</v>
      </c>
      <c r="J436" s="686">
        <v>6950</v>
      </c>
      <c r="K436" s="686">
        <v>6950</v>
      </c>
      <c r="L436" s="686">
        <v>8800</v>
      </c>
      <c r="M436" s="685"/>
      <c r="N436" s="685"/>
      <c r="O436" s="685"/>
      <c r="P436" s="685"/>
      <c r="Q436" s="685"/>
      <c r="R436" s="685"/>
      <c r="S436" s="685"/>
      <c r="T436" s="685"/>
      <c r="U436" s="685"/>
      <c r="V436" s="685"/>
      <c r="W436" s="685"/>
      <c r="X436" s="687"/>
      <c r="Y436" s="687"/>
      <c r="Z436" s="685" t="s">
        <v>1367</v>
      </c>
      <c r="AA436" s="688" t="s">
        <v>304</v>
      </c>
    </row>
    <row r="437" spans="1:27" s="64" customFormat="1" x14ac:dyDescent="0.25">
      <c r="A437" s="683" t="s">
        <v>1345</v>
      </c>
      <c r="B437" s="684"/>
      <c r="C437" s="684" t="s">
        <v>1392</v>
      </c>
      <c r="D437" s="684" t="s">
        <v>1393</v>
      </c>
      <c r="E437" s="684" t="s">
        <v>1380</v>
      </c>
      <c r="F437" s="684" t="s">
        <v>53</v>
      </c>
      <c r="G437" s="685" t="s">
        <v>47</v>
      </c>
      <c r="H437" s="684" t="s">
        <v>1366</v>
      </c>
      <c r="I437" s="686">
        <v>4210</v>
      </c>
      <c r="J437" s="686">
        <v>4950</v>
      </c>
      <c r="K437" s="686">
        <v>4950</v>
      </c>
      <c r="L437" s="686">
        <v>6265</v>
      </c>
      <c r="M437" s="685"/>
      <c r="N437" s="685"/>
      <c r="O437" s="685"/>
      <c r="P437" s="685"/>
      <c r="Q437" s="685"/>
      <c r="R437" s="685"/>
      <c r="S437" s="685"/>
      <c r="T437" s="685"/>
      <c r="U437" s="685"/>
      <c r="V437" s="685"/>
      <c r="W437" s="685"/>
      <c r="X437" s="687"/>
      <c r="Y437" s="687"/>
      <c r="Z437" s="685" t="s">
        <v>1367</v>
      </c>
      <c r="AA437" s="688" t="s">
        <v>304</v>
      </c>
    </row>
    <row r="438" spans="1:27" s="64" customFormat="1" x14ac:dyDescent="0.25">
      <c r="A438" s="683" t="s">
        <v>1345</v>
      </c>
      <c r="B438" s="684"/>
      <c r="C438" s="684" t="s">
        <v>1392</v>
      </c>
      <c r="D438" s="684" t="s">
        <v>1393</v>
      </c>
      <c r="E438" s="684" t="s">
        <v>1382</v>
      </c>
      <c r="F438" s="684" t="s">
        <v>53</v>
      </c>
      <c r="G438" s="685" t="s">
        <v>47</v>
      </c>
      <c r="H438" s="684" t="s">
        <v>1366</v>
      </c>
      <c r="I438" s="686">
        <v>3445</v>
      </c>
      <c r="J438" s="686">
        <v>4050</v>
      </c>
      <c r="K438" s="686">
        <v>4050</v>
      </c>
      <c r="L438" s="686">
        <v>5125</v>
      </c>
      <c r="M438" s="685"/>
      <c r="N438" s="685"/>
      <c r="O438" s="685"/>
      <c r="P438" s="685"/>
      <c r="Q438" s="685"/>
      <c r="R438" s="685"/>
      <c r="S438" s="685"/>
      <c r="T438" s="685"/>
      <c r="U438" s="685"/>
      <c r="V438" s="685"/>
      <c r="W438" s="685"/>
      <c r="X438" s="687"/>
      <c r="Y438" s="687"/>
      <c r="Z438" s="685" t="s">
        <v>1367</v>
      </c>
      <c r="AA438" s="688" t="s">
        <v>304</v>
      </c>
    </row>
    <row r="439" spans="1:27" s="64" customFormat="1" x14ac:dyDescent="0.25">
      <c r="A439" s="683" t="s">
        <v>1345</v>
      </c>
      <c r="B439" s="684"/>
      <c r="C439" s="684" t="s">
        <v>1392</v>
      </c>
      <c r="D439" s="684" t="s">
        <v>1393</v>
      </c>
      <c r="E439" s="684" t="s">
        <v>1395</v>
      </c>
      <c r="F439" s="684" t="s">
        <v>53</v>
      </c>
      <c r="G439" s="685" t="s">
        <v>47</v>
      </c>
      <c r="H439" s="684" t="s">
        <v>1366</v>
      </c>
      <c r="I439" s="686">
        <v>3360</v>
      </c>
      <c r="J439" s="686">
        <v>3950</v>
      </c>
      <c r="K439" s="686">
        <v>3950</v>
      </c>
      <c r="L439" s="686">
        <v>5000</v>
      </c>
      <c r="M439" s="685"/>
      <c r="N439" s="685"/>
      <c r="O439" s="685"/>
      <c r="P439" s="685"/>
      <c r="Q439" s="685"/>
      <c r="R439" s="685"/>
      <c r="S439" s="685"/>
      <c r="T439" s="685"/>
      <c r="U439" s="685"/>
      <c r="V439" s="685"/>
      <c r="W439" s="685"/>
      <c r="X439" s="687"/>
      <c r="Y439" s="687"/>
      <c r="Z439" s="685" t="s">
        <v>1367</v>
      </c>
      <c r="AA439" s="688" t="s">
        <v>304</v>
      </c>
    </row>
    <row r="440" spans="1:27" s="64" customFormat="1" x14ac:dyDescent="0.25">
      <c r="A440" s="683" t="s">
        <v>1345</v>
      </c>
      <c r="B440" s="684"/>
      <c r="C440" s="684" t="s">
        <v>1392</v>
      </c>
      <c r="D440" s="684" t="s">
        <v>1393</v>
      </c>
      <c r="E440" s="684" t="s">
        <v>1396</v>
      </c>
      <c r="F440" s="684" t="s">
        <v>53</v>
      </c>
      <c r="G440" s="685" t="s">
        <v>47</v>
      </c>
      <c r="H440" s="684" t="s">
        <v>1366</v>
      </c>
      <c r="I440" s="686">
        <v>2295</v>
      </c>
      <c r="J440" s="686">
        <v>2700</v>
      </c>
      <c r="K440" s="686">
        <v>2700</v>
      </c>
      <c r="L440" s="686">
        <v>3420</v>
      </c>
      <c r="M440" s="685"/>
      <c r="N440" s="685"/>
      <c r="O440" s="685"/>
      <c r="P440" s="685"/>
      <c r="Q440" s="685"/>
      <c r="R440" s="685"/>
      <c r="S440" s="685"/>
      <c r="T440" s="685"/>
      <c r="U440" s="685"/>
      <c r="V440" s="685"/>
      <c r="W440" s="685"/>
      <c r="X440" s="687"/>
      <c r="Y440" s="687"/>
      <c r="Z440" s="685" t="s">
        <v>1367</v>
      </c>
      <c r="AA440" s="688" t="s">
        <v>304</v>
      </c>
    </row>
    <row r="441" spans="1:27" s="64" customFormat="1" x14ac:dyDescent="0.25">
      <c r="A441" s="683" t="s">
        <v>1345</v>
      </c>
      <c r="B441" s="684"/>
      <c r="C441" s="684" t="s">
        <v>1392</v>
      </c>
      <c r="D441" s="684" t="s">
        <v>1393</v>
      </c>
      <c r="E441" s="684" t="s">
        <v>1397</v>
      </c>
      <c r="F441" s="684" t="s">
        <v>53</v>
      </c>
      <c r="G441" s="685" t="s">
        <v>47</v>
      </c>
      <c r="H441" s="684" t="s">
        <v>1366</v>
      </c>
      <c r="I441" s="686">
        <v>3700</v>
      </c>
      <c r="J441" s="686">
        <v>4350</v>
      </c>
      <c r="K441" s="686">
        <v>4350</v>
      </c>
      <c r="L441" s="686">
        <v>5505</v>
      </c>
      <c r="M441" s="685"/>
      <c r="N441" s="685"/>
      <c r="O441" s="685"/>
      <c r="P441" s="685"/>
      <c r="Q441" s="685"/>
      <c r="R441" s="685"/>
      <c r="S441" s="685"/>
      <c r="T441" s="685"/>
      <c r="U441" s="685"/>
      <c r="V441" s="685"/>
      <c r="W441" s="685"/>
      <c r="X441" s="687"/>
      <c r="Y441" s="687"/>
      <c r="Z441" s="685" t="s">
        <v>1367</v>
      </c>
      <c r="AA441" s="688" t="s">
        <v>304</v>
      </c>
    </row>
    <row r="442" spans="1:27" s="64" customFormat="1" x14ac:dyDescent="0.25">
      <c r="A442" s="683" t="s">
        <v>1345</v>
      </c>
      <c r="B442" s="684"/>
      <c r="C442" s="684" t="s">
        <v>1399</v>
      </c>
      <c r="D442" s="684" t="s">
        <v>1393</v>
      </c>
      <c r="E442" s="684"/>
      <c r="F442" s="684" t="s">
        <v>51</v>
      </c>
      <c r="G442" s="685" t="s">
        <v>47</v>
      </c>
      <c r="H442" s="684" t="s">
        <v>1366</v>
      </c>
      <c r="I442" s="686">
        <v>1260</v>
      </c>
      <c r="J442" s="686">
        <v>1800</v>
      </c>
      <c r="K442" s="686">
        <v>1800</v>
      </c>
      <c r="L442" s="686">
        <v>2280</v>
      </c>
      <c r="M442" s="685"/>
      <c r="N442" s="685"/>
      <c r="O442" s="685"/>
      <c r="P442" s="685"/>
      <c r="Q442" s="685"/>
      <c r="R442" s="685"/>
      <c r="S442" s="685"/>
      <c r="T442" s="685"/>
      <c r="U442" s="685"/>
      <c r="V442" s="685"/>
      <c r="W442" s="685"/>
      <c r="X442" s="687"/>
      <c r="Y442" s="687"/>
      <c r="Z442" s="685" t="s">
        <v>1367</v>
      </c>
      <c r="AA442" s="688" t="s">
        <v>304</v>
      </c>
    </row>
    <row r="443" spans="1:27" s="64" customFormat="1" x14ac:dyDescent="0.25">
      <c r="A443" s="683" t="s">
        <v>1345</v>
      </c>
      <c r="B443" s="684"/>
      <c r="C443" s="684" t="s">
        <v>1399</v>
      </c>
      <c r="D443" s="684" t="s">
        <v>1394</v>
      </c>
      <c r="E443" s="684"/>
      <c r="F443" s="684" t="s">
        <v>51</v>
      </c>
      <c r="G443" s="685" t="s">
        <v>47</v>
      </c>
      <c r="H443" s="684" t="s">
        <v>1366</v>
      </c>
      <c r="I443" s="686">
        <v>1260</v>
      </c>
      <c r="J443" s="686">
        <v>1800</v>
      </c>
      <c r="K443" s="686">
        <v>1800</v>
      </c>
      <c r="L443" s="686">
        <v>2280</v>
      </c>
      <c r="M443" s="685"/>
      <c r="N443" s="685"/>
      <c r="O443" s="685"/>
      <c r="P443" s="685"/>
      <c r="Q443" s="685"/>
      <c r="R443" s="685"/>
      <c r="S443" s="685"/>
      <c r="T443" s="685"/>
      <c r="U443" s="685"/>
      <c r="V443" s="685"/>
      <c r="W443" s="685"/>
      <c r="X443" s="687"/>
      <c r="Y443" s="687"/>
      <c r="Z443" s="685" t="s">
        <v>1367</v>
      </c>
      <c r="AA443" s="688" t="s">
        <v>304</v>
      </c>
    </row>
    <row r="444" spans="1:27" s="64" customFormat="1" x14ac:dyDescent="0.25">
      <c r="A444" s="683" t="s">
        <v>1345</v>
      </c>
      <c r="B444" s="684"/>
      <c r="C444" s="684" t="s">
        <v>1399</v>
      </c>
      <c r="D444" s="684" t="s">
        <v>1393</v>
      </c>
      <c r="E444" s="684" t="s">
        <v>1369</v>
      </c>
      <c r="F444" s="684" t="s">
        <v>53</v>
      </c>
      <c r="G444" s="685" t="s">
        <v>47</v>
      </c>
      <c r="H444" s="684" t="s">
        <v>1366</v>
      </c>
      <c r="I444" s="686">
        <v>3360</v>
      </c>
      <c r="J444" s="686">
        <v>3950</v>
      </c>
      <c r="K444" s="686">
        <v>3950</v>
      </c>
      <c r="L444" s="686">
        <v>5000</v>
      </c>
      <c r="M444" s="685"/>
      <c r="N444" s="685"/>
      <c r="O444" s="685"/>
      <c r="P444" s="685"/>
      <c r="Q444" s="685"/>
      <c r="R444" s="685"/>
      <c r="S444" s="685"/>
      <c r="T444" s="685"/>
      <c r="U444" s="685"/>
      <c r="V444" s="685"/>
      <c r="W444" s="685"/>
      <c r="X444" s="687"/>
      <c r="Y444" s="687"/>
      <c r="Z444" s="685" t="s">
        <v>1367</v>
      </c>
      <c r="AA444" s="688" t="s">
        <v>304</v>
      </c>
    </row>
    <row r="445" spans="1:27" s="64" customFormat="1" x14ac:dyDescent="0.25">
      <c r="A445" s="683" t="s">
        <v>1345</v>
      </c>
      <c r="B445" s="684"/>
      <c r="C445" s="684" t="s">
        <v>1399</v>
      </c>
      <c r="D445" s="684" t="s">
        <v>1393</v>
      </c>
      <c r="E445" s="684" t="s">
        <v>1370</v>
      </c>
      <c r="F445" s="684" t="s">
        <v>53</v>
      </c>
      <c r="G445" s="685" t="s">
        <v>47</v>
      </c>
      <c r="H445" s="684" t="s">
        <v>1366</v>
      </c>
      <c r="I445" s="686">
        <v>3870</v>
      </c>
      <c r="J445" s="686">
        <v>4550</v>
      </c>
      <c r="K445" s="686">
        <v>4550</v>
      </c>
      <c r="L445" s="686">
        <v>5760</v>
      </c>
      <c r="M445" s="685"/>
      <c r="N445" s="685"/>
      <c r="O445" s="685"/>
      <c r="P445" s="685"/>
      <c r="Q445" s="685"/>
      <c r="R445" s="685"/>
      <c r="S445" s="685"/>
      <c r="T445" s="685"/>
      <c r="U445" s="685"/>
      <c r="V445" s="685"/>
      <c r="W445" s="685"/>
      <c r="X445" s="687"/>
      <c r="Y445" s="687"/>
      <c r="Z445" s="685" t="s">
        <v>1367</v>
      </c>
      <c r="AA445" s="688" t="s">
        <v>304</v>
      </c>
    </row>
    <row r="446" spans="1:27" s="64" customFormat="1" x14ac:dyDescent="0.25">
      <c r="A446" s="683" t="s">
        <v>1345</v>
      </c>
      <c r="B446" s="684"/>
      <c r="C446" s="684" t="s">
        <v>1399</v>
      </c>
      <c r="D446" s="684" t="s">
        <v>1393</v>
      </c>
      <c r="E446" s="684" t="s">
        <v>1371</v>
      </c>
      <c r="F446" s="684" t="s">
        <v>53</v>
      </c>
      <c r="G446" s="685" t="s">
        <v>47</v>
      </c>
      <c r="H446" s="684" t="s">
        <v>1366</v>
      </c>
      <c r="I446" s="686">
        <v>3870</v>
      </c>
      <c r="J446" s="686">
        <v>4550</v>
      </c>
      <c r="K446" s="686">
        <v>4550</v>
      </c>
      <c r="L446" s="686">
        <v>5760</v>
      </c>
      <c r="M446" s="685"/>
      <c r="N446" s="685"/>
      <c r="O446" s="685"/>
      <c r="P446" s="685"/>
      <c r="Q446" s="685"/>
      <c r="R446" s="685"/>
      <c r="S446" s="685"/>
      <c r="T446" s="685"/>
      <c r="U446" s="685"/>
      <c r="V446" s="685"/>
      <c r="W446" s="685"/>
      <c r="X446" s="687"/>
      <c r="Y446" s="687"/>
      <c r="Z446" s="685" t="s">
        <v>1367</v>
      </c>
      <c r="AA446" s="688" t="s">
        <v>304</v>
      </c>
    </row>
    <row r="447" spans="1:27" s="64" customFormat="1" x14ac:dyDescent="0.25">
      <c r="A447" s="683" t="s">
        <v>1345</v>
      </c>
      <c r="B447" s="684"/>
      <c r="C447" s="684" t="s">
        <v>1399</v>
      </c>
      <c r="D447" s="684" t="s">
        <v>1393</v>
      </c>
      <c r="E447" s="684" t="s">
        <v>1372</v>
      </c>
      <c r="F447" s="684" t="s">
        <v>53</v>
      </c>
      <c r="G447" s="685" t="s">
        <v>47</v>
      </c>
      <c r="H447" s="684" t="s">
        <v>1366</v>
      </c>
      <c r="I447" s="686">
        <v>3870</v>
      </c>
      <c r="J447" s="686">
        <v>4550</v>
      </c>
      <c r="K447" s="686">
        <v>4550</v>
      </c>
      <c r="L447" s="686">
        <v>5760</v>
      </c>
      <c r="M447" s="685"/>
      <c r="N447" s="685"/>
      <c r="O447" s="685"/>
      <c r="P447" s="685"/>
      <c r="Q447" s="685"/>
      <c r="R447" s="685"/>
      <c r="S447" s="685"/>
      <c r="T447" s="685"/>
      <c r="U447" s="685"/>
      <c r="V447" s="685"/>
      <c r="W447" s="685"/>
      <c r="X447" s="687"/>
      <c r="Y447" s="687"/>
      <c r="Z447" s="685" t="s">
        <v>1367</v>
      </c>
      <c r="AA447" s="688" t="s">
        <v>304</v>
      </c>
    </row>
    <row r="448" spans="1:27" s="64" customFormat="1" x14ac:dyDescent="0.25">
      <c r="A448" s="683" t="s">
        <v>1345</v>
      </c>
      <c r="B448" s="684"/>
      <c r="C448" s="684" t="s">
        <v>1399</v>
      </c>
      <c r="D448" s="684" t="s">
        <v>1393</v>
      </c>
      <c r="E448" s="684" t="s">
        <v>1375</v>
      </c>
      <c r="F448" s="684" t="s">
        <v>53</v>
      </c>
      <c r="G448" s="685" t="s">
        <v>47</v>
      </c>
      <c r="H448" s="684" t="s">
        <v>1366</v>
      </c>
      <c r="I448" s="686">
        <v>3955</v>
      </c>
      <c r="J448" s="686">
        <v>4650</v>
      </c>
      <c r="K448" s="686">
        <v>4650</v>
      </c>
      <c r="L448" s="686">
        <v>5885</v>
      </c>
      <c r="M448" s="685"/>
      <c r="N448" s="685"/>
      <c r="O448" s="685"/>
      <c r="P448" s="685"/>
      <c r="Q448" s="685"/>
      <c r="R448" s="685"/>
      <c r="S448" s="685"/>
      <c r="T448" s="685"/>
      <c r="U448" s="685"/>
      <c r="V448" s="685"/>
      <c r="W448" s="685"/>
      <c r="X448" s="687"/>
      <c r="Y448" s="687"/>
      <c r="Z448" s="685" t="s">
        <v>1367</v>
      </c>
      <c r="AA448" s="688" t="s">
        <v>304</v>
      </c>
    </row>
    <row r="449" spans="1:27" s="64" customFormat="1" x14ac:dyDescent="0.25">
      <c r="A449" s="683" t="s">
        <v>1345</v>
      </c>
      <c r="B449" s="684"/>
      <c r="C449" s="684" t="s">
        <v>1399</v>
      </c>
      <c r="D449" s="684" t="s">
        <v>1393</v>
      </c>
      <c r="E449" s="684" t="s">
        <v>1378</v>
      </c>
      <c r="F449" s="684" t="s">
        <v>120</v>
      </c>
      <c r="G449" s="685" t="s">
        <v>49</v>
      </c>
      <c r="H449" s="684" t="s">
        <v>1366</v>
      </c>
      <c r="I449" s="686">
        <v>5910</v>
      </c>
      <c r="J449" s="686">
        <v>6950</v>
      </c>
      <c r="K449" s="686">
        <v>6950</v>
      </c>
      <c r="L449" s="686">
        <v>8800</v>
      </c>
      <c r="M449" s="685"/>
      <c r="N449" s="685"/>
      <c r="O449" s="685"/>
      <c r="P449" s="685"/>
      <c r="Q449" s="685"/>
      <c r="R449" s="685"/>
      <c r="S449" s="685"/>
      <c r="T449" s="685"/>
      <c r="U449" s="685"/>
      <c r="V449" s="685"/>
      <c r="W449" s="685"/>
      <c r="X449" s="687"/>
      <c r="Y449" s="687"/>
      <c r="Z449" s="685" t="s">
        <v>1367</v>
      </c>
      <c r="AA449" s="688" t="s">
        <v>304</v>
      </c>
    </row>
    <row r="450" spans="1:27" s="64" customFormat="1" x14ac:dyDescent="0.25">
      <c r="A450" s="683" t="s">
        <v>1345</v>
      </c>
      <c r="B450" s="684"/>
      <c r="C450" s="684" t="s">
        <v>1399</v>
      </c>
      <c r="D450" s="684" t="s">
        <v>1393</v>
      </c>
      <c r="E450" s="684" t="s">
        <v>1380</v>
      </c>
      <c r="F450" s="684" t="s">
        <v>53</v>
      </c>
      <c r="G450" s="685" t="s">
        <v>47</v>
      </c>
      <c r="H450" s="684" t="s">
        <v>1366</v>
      </c>
      <c r="I450" s="686">
        <v>4210</v>
      </c>
      <c r="J450" s="686">
        <v>4950</v>
      </c>
      <c r="K450" s="686">
        <v>4950</v>
      </c>
      <c r="L450" s="686">
        <v>6265</v>
      </c>
      <c r="M450" s="685"/>
      <c r="N450" s="685"/>
      <c r="O450" s="685"/>
      <c r="P450" s="685"/>
      <c r="Q450" s="685"/>
      <c r="R450" s="685"/>
      <c r="S450" s="685"/>
      <c r="T450" s="685"/>
      <c r="U450" s="685"/>
      <c r="V450" s="685"/>
      <c r="W450" s="685"/>
      <c r="X450" s="687"/>
      <c r="Y450" s="687"/>
      <c r="Z450" s="685" t="s">
        <v>1367</v>
      </c>
      <c r="AA450" s="688" t="s">
        <v>304</v>
      </c>
    </row>
    <row r="451" spans="1:27" s="64" customFormat="1" x14ac:dyDescent="0.25">
      <c r="A451" s="683" t="s">
        <v>1345</v>
      </c>
      <c r="B451" s="684"/>
      <c r="C451" s="684" t="s">
        <v>1399</v>
      </c>
      <c r="D451" s="684" t="s">
        <v>1393</v>
      </c>
      <c r="E451" s="684" t="s">
        <v>1382</v>
      </c>
      <c r="F451" s="684" t="s">
        <v>53</v>
      </c>
      <c r="G451" s="685" t="s">
        <v>47</v>
      </c>
      <c r="H451" s="684" t="s">
        <v>1366</v>
      </c>
      <c r="I451" s="686">
        <v>3445</v>
      </c>
      <c r="J451" s="686">
        <v>4050</v>
      </c>
      <c r="K451" s="686">
        <v>4050</v>
      </c>
      <c r="L451" s="686">
        <v>5125</v>
      </c>
      <c r="M451" s="685"/>
      <c r="N451" s="685"/>
      <c r="O451" s="685"/>
      <c r="P451" s="685"/>
      <c r="Q451" s="685"/>
      <c r="R451" s="685"/>
      <c r="S451" s="685"/>
      <c r="T451" s="685"/>
      <c r="U451" s="685"/>
      <c r="V451" s="685"/>
      <c r="W451" s="685"/>
      <c r="X451" s="687"/>
      <c r="Y451" s="687"/>
      <c r="Z451" s="685" t="s">
        <v>1367</v>
      </c>
      <c r="AA451" s="688" t="s">
        <v>304</v>
      </c>
    </row>
    <row r="452" spans="1:27" s="64" customFormat="1" x14ac:dyDescent="0.25">
      <c r="A452" s="683" t="s">
        <v>1345</v>
      </c>
      <c r="B452" s="684"/>
      <c r="C452" s="684" t="s">
        <v>1399</v>
      </c>
      <c r="D452" s="684" t="s">
        <v>1393</v>
      </c>
      <c r="E452" s="684" t="s">
        <v>1395</v>
      </c>
      <c r="F452" s="684" t="s">
        <v>53</v>
      </c>
      <c r="G452" s="685" t="s">
        <v>47</v>
      </c>
      <c r="H452" s="684" t="s">
        <v>1366</v>
      </c>
      <c r="I452" s="686">
        <v>3360</v>
      </c>
      <c r="J452" s="686">
        <v>3950</v>
      </c>
      <c r="K452" s="686">
        <v>3950</v>
      </c>
      <c r="L452" s="686">
        <v>5000</v>
      </c>
      <c r="M452" s="685"/>
      <c r="N452" s="685"/>
      <c r="O452" s="685"/>
      <c r="P452" s="685"/>
      <c r="Q452" s="685"/>
      <c r="R452" s="685"/>
      <c r="S452" s="685"/>
      <c r="T452" s="685"/>
      <c r="U452" s="685"/>
      <c r="V452" s="685"/>
      <c r="W452" s="685"/>
      <c r="X452" s="687"/>
      <c r="Y452" s="687"/>
      <c r="Z452" s="685" t="s">
        <v>1367</v>
      </c>
      <c r="AA452" s="688" t="s">
        <v>304</v>
      </c>
    </row>
    <row r="453" spans="1:27" s="64" customFormat="1" x14ac:dyDescent="0.25">
      <c r="A453" s="683" t="s">
        <v>1345</v>
      </c>
      <c r="B453" s="684"/>
      <c r="C453" s="684" t="s">
        <v>1399</v>
      </c>
      <c r="D453" s="684" t="s">
        <v>1393</v>
      </c>
      <c r="E453" s="684" t="s">
        <v>1396</v>
      </c>
      <c r="F453" s="684" t="s">
        <v>53</v>
      </c>
      <c r="G453" s="685" t="s">
        <v>47</v>
      </c>
      <c r="H453" s="684" t="s">
        <v>1366</v>
      </c>
      <c r="I453" s="686">
        <v>2295</v>
      </c>
      <c r="J453" s="686">
        <v>2700</v>
      </c>
      <c r="K453" s="686">
        <v>2700</v>
      </c>
      <c r="L453" s="686">
        <v>3420</v>
      </c>
      <c r="M453" s="685"/>
      <c r="N453" s="685"/>
      <c r="O453" s="685"/>
      <c r="P453" s="685"/>
      <c r="Q453" s="685"/>
      <c r="R453" s="685"/>
      <c r="S453" s="685"/>
      <c r="T453" s="685"/>
      <c r="U453" s="685"/>
      <c r="V453" s="685"/>
      <c r="W453" s="685"/>
      <c r="X453" s="687"/>
      <c r="Y453" s="687"/>
      <c r="Z453" s="685" t="s">
        <v>1367</v>
      </c>
      <c r="AA453" s="688" t="s">
        <v>304</v>
      </c>
    </row>
    <row r="454" spans="1:27" s="64" customFormat="1" x14ac:dyDescent="0.25">
      <c r="A454" s="683" t="s">
        <v>1345</v>
      </c>
      <c r="B454" s="684"/>
      <c r="C454" s="684" t="s">
        <v>1399</v>
      </c>
      <c r="D454" s="684" t="s">
        <v>1393</v>
      </c>
      <c r="E454" s="684" t="s">
        <v>1397</v>
      </c>
      <c r="F454" s="684" t="s">
        <v>53</v>
      </c>
      <c r="G454" s="685" t="s">
        <v>47</v>
      </c>
      <c r="H454" s="684" t="s">
        <v>1366</v>
      </c>
      <c r="I454" s="686">
        <v>3700</v>
      </c>
      <c r="J454" s="686">
        <v>4350</v>
      </c>
      <c r="K454" s="686">
        <v>4350</v>
      </c>
      <c r="L454" s="686">
        <v>5505</v>
      </c>
      <c r="M454" s="685"/>
      <c r="N454" s="685"/>
      <c r="O454" s="685"/>
      <c r="P454" s="685"/>
      <c r="Q454" s="685"/>
      <c r="R454" s="685"/>
      <c r="S454" s="685"/>
      <c r="T454" s="685"/>
      <c r="U454" s="685"/>
      <c r="V454" s="685"/>
      <c r="W454" s="685"/>
      <c r="X454" s="687"/>
      <c r="Y454" s="687"/>
      <c r="Z454" s="685" t="s">
        <v>1367</v>
      </c>
      <c r="AA454" s="688" t="s">
        <v>304</v>
      </c>
    </row>
    <row r="455" spans="1:27" s="64" customFormat="1" x14ac:dyDescent="0.25">
      <c r="A455" s="683" t="s">
        <v>1345</v>
      </c>
      <c r="B455" s="684"/>
      <c r="C455" s="684" t="s">
        <v>1400</v>
      </c>
      <c r="D455" s="684" t="s">
        <v>1393</v>
      </c>
      <c r="E455" s="684"/>
      <c r="F455" s="684" t="s">
        <v>51</v>
      </c>
      <c r="G455" s="685" t="s">
        <v>47</v>
      </c>
      <c r="H455" s="684" t="s">
        <v>1366</v>
      </c>
      <c r="I455" s="686">
        <v>1330</v>
      </c>
      <c r="J455" s="686">
        <v>1900</v>
      </c>
      <c r="K455" s="686">
        <v>1900</v>
      </c>
      <c r="L455" s="686">
        <v>2405</v>
      </c>
      <c r="M455" s="685"/>
      <c r="N455" s="685"/>
      <c r="O455" s="685"/>
      <c r="P455" s="685"/>
      <c r="Q455" s="685"/>
      <c r="R455" s="685"/>
      <c r="S455" s="685"/>
      <c r="T455" s="685"/>
      <c r="U455" s="685"/>
      <c r="V455" s="685"/>
      <c r="W455" s="685"/>
      <c r="X455" s="687"/>
      <c r="Y455" s="687"/>
      <c r="Z455" s="685" t="s">
        <v>1367</v>
      </c>
      <c r="AA455" s="688" t="s">
        <v>304</v>
      </c>
    </row>
    <row r="456" spans="1:27" s="64" customFormat="1" x14ac:dyDescent="0.25">
      <c r="A456" s="683" t="s">
        <v>1345</v>
      </c>
      <c r="B456" s="684"/>
      <c r="C456" s="684" t="s">
        <v>1400</v>
      </c>
      <c r="D456" s="684" t="s">
        <v>1394</v>
      </c>
      <c r="E456" s="684"/>
      <c r="F456" s="684" t="s">
        <v>51</v>
      </c>
      <c r="G456" s="685" t="s">
        <v>47</v>
      </c>
      <c r="H456" s="684" t="s">
        <v>1366</v>
      </c>
      <c r="I456" s="686">
        <v>1330</v>
      </c>
      <c r="J456" s="686">
        <v>1900</v>
      </c>
      <c r="K456" s="686">
        <v>1900</v>
      </c>
      <c r="L456" s="686">
        <v>2405</v>
      </c>
      <c r="M456" s="685"/>
      <c r="N456" s="685"/>
      <c r="O456" s="685"/>
      <c r="P456" s="685"/>
      <c r="Q456" s="685"/>
      <c r="R456" s="685"/>
      <c r="S456" s="685"/>
      <c r="T456" s="685"/>
      <c r="U456" s="685"/>
      <c r="V456" s="685"/>
      <c r="W456" s="685"/>
      <c r="X456" s="687"/>
      <c r="Y456" s="687"/>
      <c r="Z456" s="685" t="s">
        <v>1367</v>
      </c>
      <c r="AA456" s="688" t="s">
        <v>304</v>
      </c>
    </row>
    <row r="457" spans="1:27" s="64" customFormat="1" x14ac:dyDescent="0.25">
      <c r="A457" s="683" t="s">
        <v>1345</v>
      </c>
      <c r="B457" s="684"/>
      <c r="C457" s="684" t="s">
        <v>1400</v>
      </c>
      <c r="D457" s="684" t="s">
        <v>1393</v>
      </c>
      <c r="E457" s="684" t="s">
        <v>1369</v>
      </c>
      <c r="F457" s="684" t="s">
        <v>53</v>
      </c>
      <c r="G457" s="685" t="s">
        <v>47</v>
      </c>
      <c r="H457" s="684" t="s">
        <v>1366</v>
      </c>
      <c r="I457" s="686">
        <v>3445</v>
      </c>
      <c r="J457" s="686">
        <v>4050</v>
      </c>
      <c r="K457" s="686">
        <v>4050</v>
      </c>
      <c r="L457" s="686">
        <v>5125</v>
      </c>
      <c r="M457" s="685"/>
      <c r="N457" s="685"/>
      <c r="O457" s="685"/>
      <c r="P457" s="685"/>
      <c r="Q457" s="685"/>
      <c r="R457" s="685"/>
      <c r="S457" s="685"/>
      <c r="T457" s="685"/>
      <c r="U457" s="685"/>
      <c r="V457" s="685"/>
      <c r="W457" s="685"/>
      <c r="X457" s="687"/>
      <c r="Y457" s="687"/>
      <c r="Z457" s="685" t="s">
        <v>1367</v>
      </c>
      <c r="AA457" s="688" t="s">
        <v>304</v>
      </c>
    </row>
    <row r="458" spans="1:27" s="64" customFormat="1" x14ac:dyDescent="0.25">
      <c r="A458" s="683" t="s">
        <v>1345</v>
      </c>
      <c r="B458" s="684"/>
      <c r="C458" s="684" t="s">
        <v>1400</v>
      </c>
      <c r="D458" s="684" t="s">
        <v>1393</v>
      </c>
      <c r="E458" s="684" t="s">
        <v>1370</v>
      </c>
      <c r="F458" s="684" t="s">
        <v>53</v>
      </c>
      <c r="G458" s="685" t="s">
        <v>47</v>
      </c>
      <c r="H458" s="684" t="s">
        <v>1366</v>
      </c>
      <c r="I458" s="686">
        <v>3955</v>
      </c>
      <c r="J458" s="686">
        <v>4650</v>
      </c>
      <c r="K458" s="686">
        <v>4650</v>
      </c>
      <c r="L458" s="686">
        <v>5885</v>
      </c>
      <c r="M458" s="685"/>
      <c r="N458" s="685"/>
      <c r="O458" s="685"/>
      <c r="P458" s="685"/>
      <c r="Q458" s="685"/>
      <c r="R458" s="685"/>
      <c r="S458" s="685"/>
      <c r="T458" s="685"/>
      <c r="U458" s="685"/>
      <c r="V458" s="685"/>
      <c r="W458" s="685"/>
      <c r="X458" s="687"/>
      <c r="Y458" s="687"/>
      <c r="Z458" s="685" t="s">
        <v>1367</v>
      </c>
      <c r="AA458" s="688" t="s">
        <v>304</v>
      </c>
    </row>
    <row r="459" spans="1:27" s="64" customFormat="1" x14ac:dyDescent="0.25">
      <c r="A459" s="683" t="s">
        <v>1345</v>
      </c>
      <c r="B459" s="684"/>
      <c r="C459" s="684" t="s">
        <v>1400</v>
      </c>
      <c r="D459" s="684" t="s">
        <v>1393</v>
      </c>
      <c r="E459" s="684" t="s">
        <v>1371</v>
      </c>
      <c r="F459" s="684" t="s">
        <v>53</v>
      </c>
      <c r="G459" s="685" t="s">
        <v>47</v>
      </c>
      <c r="H459" s="684" t="s">
        <v>1366</v>
      </c>
      <c r="I459" s="686">
        <v>3955</v>
      </c>
      <c r="J459" s="686">
        <v>4650</v>
      </c>
      <c r="K459" s="686">
        <v>4650</v>
      </c>
      <c r="L459" s="686">
        <v>5885</v>
      </c>
      <c r="M459" s="685"/>
      <c r="N459" s="685"/>
      <c r="O459" s="685"/>
      <c r="P459" s="685"/>
      <c r="Q459" s="685"/>
      <c r="R459" s="685"/>
      <c r="S459" s="685"/>
      <c r="T459" s="685"/>
      <c r="U459" s="685"/>
      <c r="V459" s="685"/>
      <c r="W459" s="685"/>
      <c r="X459" s="687"/>
      <c r="Y459" s="687"/>
      <c r="Z459" s="685" t="s">
        <v>1367</v>
      </c>
      <c r="AA459" s="688" t="s">
        <v>304</v>
      </c>
    </row>
    <row r="460" spans="1:27" s="64" customFormat="1" x14ac:dyDescent="0.25">
      <c r="A460" s="683" t="s">
        <v>1345</v>
      </c>
      <c r="B460" s="684"/>
      <c r="C460" s="684" t="s">
        <v>1400</v>
      </c>
      <c r="D460" s="684" t="s">
        <v>1393</v>
      </c>
      <c r="E460" s="684" t="s">
        <v>1372</v>
      </c>
      <c r="F460" s="684" t="s">
        <v>53</v>
      </c>
      <c r="G460" s="685" t="s">
        <v>47</v>
      </c>
      <c r="H460" s="684" t="s">
        <v>1366</v>
      </c>
      <c r="I460" s="686">
        <v>3955</v>
      </c>
      <c r="J460" s="686">
        <v>4650</v>
      </c>
      <c r="K460" s="686">
        <v>4650</v>
      </c>
      <c r="L460" s="686">
        <v>5885</v>
      </c>
      <c r="M460" s="685"/>
      <c r="N460" s="685"/>
      <c r="O460" s="685"/>
      <c r="P460" s="685"/>
      <c r="Q460" s="685"/>
      <c r="R460" s="685"/>
      <c r="S460" s="685"/>
      <c r="T460" s="685"/>
      <c r="U460" s="685"/>
      <c r="V460" s="685"/>
      <c r="W460" s="685"/>
      <c r="X460" s="687"/>
      <c r="Y460" s="687"/>
      <c r="Z460" s="685" t="s">
        <v>1367</v>
      </c>
      <c r="AA460" s="688" t="s">
        <v>304</v>
      </c>
    </row>
    <row r="461" spans="1:27" s="64" customFormat="1" x14ac:dyDescent="0.25">
      <c r="A461" s="683" t="s">
        <v>1345</v>
      </c>
      <c r="B461" s="684"/>
      <c r="C461" s="684" t="s">
        <v>1400</v>
      </c>
      <c r="D461" s="684" t="s">
        <v>1393</v>
      </c>
      <c r="E461" s="684" t="s">
        <v>1375</v>
      </c>
      <c r="F461" s="684" t="s">
        <v>53</v>
      </c>
      <c r="G461" s="685" t="s">
        <v>47</v>
      </c>
      <c r="H461" s="684" t="s">
        <v>1366</v>
      </c>
      <c r="I461" s="686">
        <v>4040</v>
      </c>
      <c r="J461" s="686">
        <v>4750</v>
      </c>
      <c r="K461" s="686">
        <v>4750</v>
      </c>
      <c r="L461" s="686">
        <v>6015</v>
      </c>
      <c r="M461" s="685"/>
      <c r="N461" s="685"/>
      <c r="O461" s="685"/>
      <c r="P461" s="685"/>
      <c r="Q461" s="685"/>
      <c r="R461" s="685"/>
      <c r="S461" s="685"/>
      <c r="T461" s="685"/>
      <c r="U461" s="685"/>
      <c r="V461" s="685"/>
      <c r="W461" s="685"/>
      <c r="X461" s="687"/>
      <c r="Y461" s="687"/>
      <c r="Z461" s="685" t="s">
        <v>1367</v>
      </c>
      <c r="AA461" s="688" t="s">
        <v>304</v>
      </c>
    </row>
    <row r="462" spans="1:27" s="64" customFormat="1" x14ac:dyDescent="0.25">
      <c r="A462" s="683" t="s">
        <v>1345</v>
      </c>
      <c r="B462" s="684"/>
      <c r="C462" s="684" t="s">
        <v>1400</v>
      </c>
      <c r="D462" s="684" t="s">
        <v>1393</v>
      </c>
      <c r="E462" s="684" t="s">
        <v>1378</v>
      </c>
      <c r="F462" s="684" t="s">
        <v>120</v>
      </c>
      <c r="G462" s="685" t="s">
        <v>49</v>
      </c>
      <c r="H462" s="684" t="s">
        <v>1366</v>
      </c>
      <c r="I462" s="686">
        <v>5995</v>
      </c>
      <c r="J462" s="686">
        <v>7050</v>
      </c>
      <c r="K462" s="686">
        <v>7050</v>
      </c>
      <c r="L462" s="686">
        <v>8925</v>
      </c>
      <c r="M462" s="685"/>
      <c r="N462" s="685"/>
      <c r="O462" s="685"/>
      <c r="P462" s="685"/>
      <c r="Q462" s="685"/>
      <c r="R462" s="685"/>
      <c r="S462" s="685"/>
      <c r="T462" s="685"/>
      <c r="U462" s="685"/>
      <c r="V462" s="685"/>
      <c r="W462" s="685"/>
      <c r="X462" s="687"/>
      <c r="Y462" s="687"/>
      <c r="Z462" s="685" t="s">
        <v>1367</v>
      </c>
      <c r="AA462" s="688" t="s">
        <v>304</v>
      </c>
    </row>
    <row r="463" spans="1:27" s="64" customFormat="1" x14ac:dyDescent="0.25">
      <c r="A463" s="683" t="s">
        <v>1345</v>
      </c>
      <c r="B463" s="684"/>
      <c r="C463" s="684" t="s">
        <v>1400</v>
      </c>
      <c r="D463" s="684" t="s">
        <v>1393</v>
      </c>
      <c r="E463" s="684" t="s">
        <v>1380</v>
      </c>
      <c r="F463" s="684" t="s">
        <v>53</v>
      </c>
      <c r="G463" s="685" t="s">
        <v>47</v>
      </c>
      <c r="H463" s="684" t="s">
        <v>1366</v>
      </c>
      <c r="I463" s="686">
        <v>4295</v>
      </c>
      <c r="J463" s="686">
        <v>5050</v>
      </c>
      <c r="K463" s="686">
        <v>5050</v>
      </c>
      <c r="L463" s="686">
        <v>6395</v>
      </c>
      <c r="M463" s="685"/>
      <c r="N463" s="685"/>
      <c r="O463" s="685"/>
      <c r="P463" s="685"/>
      <c r="Q463" s="685"/>
      <c r="R463" s="685"/>
      <c r="S463" s="685"/>
      <c r="T463" s="685"/>
      <c r="U463" s="685"/>
      <c r="V463" s="685"/>
      <c r="W463" s="685"/>
      <c r="X463" s="687"/>
      <c r="Y463" s="687"/>
      <c r="Z463" s="685" t="s">
        <v>1367</v>
      </c>
      <c r="AA463" s="688" t="s">
        <v>304</v>
      </c>
    </row>
    <row r="464" spans="1:27" s="64" customFormat="1" x14ac:dyDescent="0.25">
      <c r="A464" s="683" t="s">
        <v>1345</v>
      </c>
      <c r="B464" s="684"/>
      <c r="C464" s="684" t="s">
        <v>1400</v>
      </c>
      <c r="D464" s="684" t="s">
        <v>1393</v>
      </c>
      <c r="E464" s="684" t="s">
        <v>1382</v>
      </c>
      <c r="F464" s="684" t="s">
        <v>53</v>
      </c>
      <c r="G464" s="685" t="s">
        <v>47</v>
      </c>
      <c r="H464" s="684" t="s">
        <v>1366</v>
      </c>
      <c r="I464" s="686">
        <v>3530</v>
      </c>
      <c r="J464" s="686">
        <v>4150</v>
      </c>
      <c r="K464" s="686">
        <v>4150</v>
      </c>
      <c r="L464" s="686">
        <v>5255</v>
      </c>
      <c r="M464" s="685"/>
      <c r="N464" s="685"/>
      <c r="O464" s="685"/>
      <c r="P464" s="685"/>
      <c r="Q464" s="685"/>
      <c r="R464" s="685"/>
      <c r="S464" s="685"/>
      <c r="T464" s="685"/>
      <c r="U464" s="685"/>
      <c r="V464" s="685"/>
      <c r="W464" s="685"/>
      <c r="X464" s="687"/>
      <c r="Y464" s="687"/>
      <c r="Z464" s="685" t="s">
        <v>1367</v>
      </c>
      <c r="AA464" s="688" t="s">
        <v>304</v>
      </c>
    </row>
    <row r="465" spans="1:27" s="64" customFormat="1" x14ac:dyDescent="0.25">
      <c r="A465" s="683" t="s">
        <v>1345</v>
      </c>
      <c r="B465" s="684"/>
      <c r="C465" s="684" t="s">
        <v>1400</v>
      </c>
      <c r="D465" s="684" t="s">
        <v>1393</v>
      </c>
      <c r="E465" s="684" t="s">
        <v>1395</v>
      </c>
      <c r="F465" s="684" t="s">
        <v>53</v>
      </c>
      <c r="G465" s="685" t="s">
        <v>47</v>
      </c>
      <c r="H465" s="684" t="s">
        <v>1366</v>
      </c>
      <c r="I465" s="686">
        <v>3445</v>
      </c>
      <c r="J465" s="686">
        <v>4050</v>
      </c>
      <c r="K465" s="686">
        <v>4050</v>
      </c>
      <c r="L465" s="686">
        <v>5125</v>
      </c>
      <c r="M465" s="685"/>
      <c r="N465" s="685"/>
      <c r="O465" s="685"/>
      <c r="P465" s="685"/>
      <c r="Q465" s="685"/>
      <c r="R465" s="685"/>
      <c r="S465" s="685"/>
      <c r="T465" s="685"/>
      <c r="U465" s="685"/>
      <c r="V465" s="685"/>
      <c r="W465" s="685"/>
      <c r="X465" s="687"/>
      <c r="Y465" s="687"/>
      <c r="Z465" s="685" t="s">
        <v>1367</v>
      </c>
      <c r="AA465" s="688" t="s">
        <v>304</v>
      </c>
    </row>
    <row r="466" spans="1:27" s="64" customFormat="1" x14ac:dyDescent="0.25">
      <c r="A466" s="683" t="s">
        <v>1345</v>
      </c>
      <c r="B466" s="684"/>
      <c r="C466" s="684" t="s">
        <v>1400</v>
      </c>
      <c r="D466" s="684" t="s">
        <v>1393</v>
      </c>
      <c r="E466" s="684" t="s">
        <v>1396</v>
      </c>
      <c r="F466" s="684" t="s">
        <v>53</v>
      </c>
      <c r="G466" s="685" t="s">
        <v>47</v>
      </c>
      <c r="H466" s="684" t="s">
        <v>1366</v>
      </c>
      <c r="I466" s="686">
        <v>2380</v>
      </c>
      <c r="J466" s="686">
        <v>2800</v>
      </c>
      <c r="K466" s="686">
        <v>2800</v>
      </c>
      <c r="L466" s="686">
        <v>3545</v>
      </c>
      <c r="M466" s="685"/>
      <c r="N466" s="685"/>
      <c r="O466" s="685"/>
      <c r="P466" s="685"/>
      <c r="Q466" s="685"/>
      <c r="R466" s="685"/>
      <c r="S466" s="685"/>
      <c r="T466" s="685"/>
      <c r="U466" s="685"/>
      <c r="V466" s="685"/>
      <c r="W466" s="685"/>
      <c r="X466" s="687"/>
      <c r="Y466" s="687"/>
      <c r="Z466" s="685" t="s">
        <v>1367</v>
      </c>
      <c r="AA466" s="688" t="s">
        <v>304</v>
      </c>
    </row>
    <row r="467" spans="1:27" s="64" customFormat="1" x14ac:dyDescent="0.25">
      <c r="A467" s="683" t="s">
        <v>1345</v>
      </c>
      <c r="B467" s="684"/>
      <c r="C467" s="684" t="s">
        <v>1400</v>
      </c>
      <c r="D467" s="684" t="s">
        <v>1393</v>
      </c>
      <c r="E467" s="684" t="s">
        <v>1397</v>
      </c>
      <c r="F467" s="684" t="s">
        <v>53</v>
      </c>
      <c r="G467" s="685" t="s">
        <v>47</v>
      </c>
      <c r="H467" s="684" t="s">
        <v>1366</v>
      </c>
      <c r="I467" s="686">
        <v>3785</v>
      </c>
      <c r="J467" s="686">
        <v>4450</v>
      </c>
      <c r="K467" s="686">
        <v>4450</v>
      </c>
      <c r="L467" s="686">
        <v>5635</v>
      </c>
      <c r="M467" s="685"/>
      <c r="N467" s="685"/>
      <c r="O467" s="685"/>
      <c r="P467" s="685"/>
      <c r="Q467" s="685"/>
      <c r="R467" s="685"/>
      <c r="S467" s="685"/>
      <c r="T467" s="685"/>
      <c r="U467" s="685"/>
      <c r="V467" s="685"/>
      <c r="W467" s="685"/>
      <c r="X467" s="687"/>
      <c r="Y467" s="687"/>
      <c r="Z467" s="685" t="s">
        <v>1367</v>
      </c>
      <c r="AA467" s="688" t="s">
        <v>304</v>
      </c>
    </row>
    <row r="468" spans="1:27" s="64" customFormat="1" x14ac:dyDescent="0.25">
      <c r="A468" s="683" t="s">
        <v>1345</v>
      </c>
      <c r="B468" s="684"/>
      <c r="C468" s="684" t="s">
        <v>1401</v>
      </c>
      <c r="D468" s="684" t="s">
        <v>1393</v>
      </c>
      <c r="E468" s="684"/>
      <c r="F468" s="684" t="s">
        <v>51</v>
      </c>
      <c r="G468" s="685" t="s">
        <v>47</v>
      </c>
      <c r="H468" s="684" t="s">
        <v>1366</v>
      </c>
      <c r="I468" s="686">
        <v>1260</v>
      </c>
      <c r="J468" s="686">
        <v>1800</v>
      </c>
      <c r="K468" s="686">
        <v>1800</v>
      </c>
      <c r="L468" s="686">
        <v>2280</v>
      </c>
      <c r="M468" s="685"/>
      <c r="N468" s="685"/>
      <c r="O468" s="685"/>
      <c r="P468" s="685"/>
      <c r="Q468" s="685"/>
      <c r="R468" s="685"/>
      <c r="S468" s="685"/>
      <c r="T468" s="685"/>
      <c r="U468" s="685"/>
      <c r="V468" s="685"/>
      <c r="W468" s="685"/>
      <c r="X468" s="687"/>
      <c r="Y468" s="687"/>
      <c r="Z468" s="685" t="s">
        <v>1367</v>
      </c>
      <c r="AA468" s="688" t="s">
        <v>304</v>
      </c>
    </row>
    <row r="469" spans="1:27" s="64" customFormat="1" x14ac:dyDescent="0.25">
      <c r="A469" s="683" t="s">
        <v>1345</v>
      </c>
      <c r="B469" s="684"/>
      <c r="C469" s="684" t="s">
        <v>1401</v>
      </c>
      <c r="D469" s="684" t="s">
        <v>1393</v>
      </c>
      <c r="E469" s="684" t="s">
        <v>1369</v>
      </c>
      <c r="F469" s="684" t="s">
        <v>53</v>
      </c>
      <c r="G469" s="685" t="s">
        <v>47</v>
      </c>
      <c r="H469" s="684" t="s">
        <v>1366</v>
      </c>
      <c r="I469" s="686">
        <v>3360</v>
      </c>
      <c r="J469" s="686">
        <v>3950</v>
      </c>
      <c r="K469" s="686">
        <v>3950</v>
      </c>
      <c r="L469" s="686">
        <v>5000</v>
      </c>
      <c r="M469" s="685"/>
      <c r="N469" s="685"/>
      <c r="O469" s="685"/>
      <c r="P469" s="685"/>
      <c r="Q469" s="685"/>
      <c r="R469" s="685"/>
      <c r="S469" s="685"/>
      <c r="T469" s="685"/>
      <c r="U469" s="685"/>
      <c r="V469" s="685"/>
      <c r="W469" s="685"/>
      <c r="X469" s="687"/>
      <c r="Y469" s="687"/>
      <c r="Z469" s="685" t="s">
        <v>1367</v>
      </c>
      <c r="AA469" s="688" t="s">
        <v>304</v>
      </c>
    </row>
    <row r="470" spans="1:27" s="64" customFormat="1" x14ac:dyDescent="0.25">
      <c r="A470" s="683" t="s">
        <v>1345</v>
      </c>
      <c r="B470" s="684"/>
      <c r="C470" s="684" t="s">
        <v>1401</v>
      </c>
      <c r="D470" s="684" t="s">
        <v>1393</v>
      </c>
      <c r="E470" s="684" t="s">
        <v>1370</v>
      </c>
      <c r="F470" s="684" t="s">
        <v>53</v>
      </c>
      <c r="G470" s="685" t="s">
        <v>47</v>
      </c>
      <c r="H470" s="684" t="s">
        <v>1366</v>
      </c>
      <c r="I470" s="686">
        <v>3870</v>
      </c>
      <c r="J470" s="686">
        <v>4550</v>
      </c>
      <c r="K470" s="686">
        <v>4550</v>
      </c>
      <c r="L470" s="686">
        <v>5760</v>
      </c>
      <c r="M470" s="685"/>
      <c r="N470" s="685"/>
      <c r="O470" s="685"/>
      <c r="P470" s="685"/>
      <c r="Q470" s="685"/>
      <c r="R470" s="685"/>
      <c r="S470" s="685"/>
      <c r="T470" s="685"/>
      <c r="U470" s="685"/>
      <c r="V470" s="685"/>
      <c r="W470" s="685"/>
      <c r="X470" s="687"/>
      <c r="Y470" s="687"/>
      <c r="Z470" s="685" t="s">
        <v>1367</v>
      </c>
      <c r="AA470" s="688" t="s">
        <v>304</v>
      </c>
    </row>
    <row r="471" spans="1:27" s="64" customFormat="1" x14ac:dyDescent="0.25">
      <c r="A471" s="683" t="s">
        <v>1345</v>
      </c>
      <c r="B471" s="684"/>
      <c r="C471" s="684" t="s">
        <v>1401</v>
      </c>
      <c r="D471" s="684" t="s">
        <v>1393</v>
      </c>
      <c r="E471" s="684" t="s">
        <v>1371</v>
      </c>
      <c r="F471" s="684" t="s">
        <v>53</v>
      </c>
      <c r="G471" s="685" t="s">
        <v>47</v>
      </c>
      <c r="H471" s="684" t="s">
        <v>1366</v>
      </c>
      <c r="I471" s="686">
        <v>3870</v>
      </c>
      <c r="J471" s="686">
        <v>4550</v>
      </c>
      <c r="K471" s="686">
        <v>4550</v>
      </c>
      <c r="L471" s="686">
        <v>5760</v>
      </c>
      <c r="M471" s="685"/>
      <c r="N471" s="685"/>
      <c r="O471" s="685"/>
      <c r="P471" s="685"/>
      <c r="Q471" s="685"/>
      <c r="R471" s="685"/>
      <c r="S471" s="685"/>
      <c r="T471" s="685"/>
      <c r="U471" s="685"/>
      <c r="V471" s="685"/>
      <c r="W471" s="685"/>
      <c r="X471" s="687"/>
      <c r="Y471" s="687"/>
      <c r="Z471" s="685" t="s">
        <v>1367</v>
      </c>
      <c r="AA471" s="688" t="s">
        <v>304</v>
      </c>
    </row>
    <row r="472" spans="1:27" s="64" customFormat="1" x14ac:dyDescent="0.25">
      <c r="A472" s="683" t="s">
        <v>1345</v>
      </c>
      <c r="B472" s="684"/>
      <c r="C472" s="684" t="s">
        <v>1401</v>
      </c>
      <c r="D472" s="684" t="s">
        <v>1393</v>
      </c>
      <c r="E472" s="684" t="s">
        <v>1372</v>
      </c>
      <c r="F472" s="684" t="s">
        <v>53</v>
      </c>
      <c r="G472" s="685" t="s">
        <v>47</v>
      </c>
      <c r="H472" s="684" t="s">
        <v>1366</v>
      </c>
      <c r="I472" s="686">
        <v>3870</v>
      </c>
      <c r="J472" s="686">
        <v>4550</v>
      </c>
      <c r="K472" s="686">
        <v>4550</v>
      </c>
      <c r="L472" s="686">
        <v>5760</v>
      </c>
      <c r="M472" s="685"/>
      <c r="N472" s="685"/>
      <c r="O472" s="685"/>
      <c r="P472" s="685"/>
      <c r="Q472" s="685"/>
      <c r="R472" s="685"/>
      <c r="S472" s="685"/>
      <c r="T472" s="685"/>
      <c r="U472" s="685"/>
      <c r="V472" s="685"/>
      <c r="W472" s="685"/>
      <c r="X472" s="687"/>
      <c r="Y472" s="687"/>
      <c r="Z472" s="685" t="s">
        <v>1367</v>
      </c>
      <c r="AA472" s="688" t="s">
        <v>304</v>
      </c>
    </row>
    <row r="473" spans="1:27" s="64" customFormat="1" x14ac:dyDescent="0.25">
      <c r="A473" s="683" t="s">
        <v>1345</v>
      </c>
      <c r="B473" s="684"/>
      <c r="C473" s="684" t="s">
        <v>1401</v>
      </c>
      <c r="D473" s="684" t="s">
        <v>1393</v>
      </c>
      <c r="E473" s="684" t="s">
        <v>1375</v>
      </c>
      <c r="F473" s="684" t="s">
        <v>53</v>
      </c>
      <c r="G473" s="685" t="s">
        <v>47</v>
      </c>
      <c r="H473" s="684" t="s">
        <v>1366</v>
      </c>
      <c r="I473" s="686">
        <v>3955</v>
      </c>
      <c r="J473" s="686">
        <v>4650</v>
      </c>
      <c r="K473" s="686">
        <v>4650</v>
      </c>
      <c r="L473" s="686">
        <v>5885</v>
      </c>
      <c r="M473" s="685"/>
      <c r="N473" s="685"/>
      <c r="O473" s="685"/>
      <c r="P473" s="685"/>
      <c r="Q473" s="685"/>
      <c r="R473" s="685"/>
      <c r="S473" s="685"/>
      <c r="T473" s="685"/>
      <c r="U473" s="685"/>
      <c r="V473" s="685"/>
      <c r="W473" s="685"/>
      <c r="X473" s="687"/>
      <c r="Y473" s="687"/>
      <c r="Z473" s="685" t="s">
        <v>1367</v>
      </c>
      <c r="AA473" s="688" t="s">
        <v>304</v>
      </c>
    </row>
    <row r="474" spans="1:27" s="64" customFormat="1" x14ac:dyDescent="0.25">
      <c r="A474" s="683" t="s">
        <v>1345</v>
      </c>
      <c r="B474" s="684"/>
      <c r="C474" s="684" t="s">
        <v>1401</v>
      </c>
      <c r="D474" s="684" t="s">
        <v>1393</v>
      </c>
      <c r="E474" s="684" t="s">
        <v>1378</v>
      </c>
      <c r="F474" s="684" t="s">
        <v>120</v>
      </c>
      <c r="G474" s="685" t="s">
        <v>49</v>
      </c>
      <c r="H474" s="684" t="s">
        <v>1366</v>
      </c>
      <c r="I474" s="686">
        <v>5910</v>
      </c>
      <c r="J474" s="686">
        <v>6950</v>
      </c>
      <c r="K474" s="686">
        <v>6950</v>
      </c>
      <c r="L474" s="686">
        <v>8800</v>
      </c>
      <c r="M474" s="685"/>
      <c r="N474" s="685"/>
      <c r="O474" s="685"/>
      <c r="P474" s="685"/>
      <c r="Q474" s="685"/>
      <c r="R474" s="685"/>
      <c r="S474" s="685"/>
      <c r="T474" s="685"/>
      <c r="U474" s="685"/>
      <c r="V474" s="685"/>
      <c r="W474" s="685"/>
      <c r="X474" s="687"/>
      <c r="Y474" s="687"/>
      <c r="Z474" s="685" t="s">
        <v>1367</v>
      </c>
      <c r="AA474" s="688" t="s">
        <v>304</v>
      </c>
    </row>
    <row r="475" spans="1:27" s="64" customFormat="1" x14ac:dyDescent="0.25">
      <c r="A475" s="683" t="s">
        <v>1345</v>
      </c>
      <c r="B475" s="684"/>
      <c r="C475" s="684" t="s">
        <v>1401</v>
      </c>
      <c r="D475" s="684" t="s">
        <v>1393</v>
      </c>
      <c r="E475" s="684" t="s">
        <v>1380</v>
      </c>
      <c r="F475" s="684" t="s">
        <v>53</v>
      </c>
      <c r="G475" s="685" t="s">
        <v>47</v>
      </c>
      <c r="H475" s="684" t="s">
        <v>1366</v>
      </c>
      <c r="I475" s="686">
        <v>4210</v>
      </c>
      <c r="J475" s="686">
        <v>4950</v>
      </c>
      <c r="K475" s="686">
        <v>4950</v>
      </c>
      <c r="L475" s="686">
        <v>6265</v>
      </c>
      <c r="M475" s="685"/>
      <c r="N475" s="685"/>
      <c r="O475" s="685"/>
      <c r="P475" s="685"/>
      <c r="Q475" s="685"/>
      <c r="R475" s="685"/>
      <c r="S475" s="685"/>
      <c r="T475" s="685"/>
      <c r="U475" s="685"/>
      <c r="V475" s="685"/>
      <c r="W475" s="685"/>
      <c r="X475" s="687"/>
      <c r="Y475" s="687"/>
      <c r="Z475" s="685" t="s">
        <v>1367</v>
      </c>
      <c r="AA475" s="688" t="s">
        <v>304</v>
      </c>
    </row>
    <row r="476" spans="1:27" s="64" customFormat="1" x14ac:dyDescent="0.25">
      <c r="A476" s="683" t="s">
        <v>1345</v>
      </c>
      <c r="B476" s="684"/>
      <c r="C476" s="684" t="s">
        <v>1401</v>
      </c>
      <c r="D476" s="684" t="s">
        <v>1393</v>
      </c>
      <c r="E476" s="684" t="s">
        <v>1382</v>
      </c>
      <c r="F476" s="684" t="s">
        <v>53</v>
      </c>
      <c r="G476" s="685" t="s">
        <v>47</v>
      </c>
      <c r="H476" s="684" t="s">
        <v>1366</v>
      </c>
      <c r="I476" s="686">
        <v>3445</v>
      </c>
      <c r="J476" s="686">
        <v>4050</v>
      </c>
      <c r="K476" s="686">
        <v>4050</v>
      </c>
      <c r="L476" s="686">
        <v>5125</v>
      </c>
      <c r="M476" s="685"/>
      <c r="N476" s="685"/>
      <c r="O476" s="685"/>
      <c r="P476" s="685"/>
      <c r="Q476" s="685"/>
      <c r="R476" s="685"/>
      <c r="S476" s="685"/>
      <c r="T476" s="685"/>
      <c r="U476" s="685"/>
      <c r="V476" s="685"/>
      <c r="W476" s="685"/>
      <c r="X476" s="687"/>
      <c r="Y476" s="687"/>
      <c r="Z476" s="685" t="s">
        <v>1367</v>
      </c>
      <c r="AA476" s="688" t="s">
        <v>304</v>
      </c>
    </row>
    <row r="477" spans="1:27" s="64" customFormat="1" x14ac:dyDescent="0.25">
      <c r="A477" s="683" t="s">
        <v>1345</v>
      </c>
      <c r="B477" s="684"/>
      <c r="C477" s="684" t="s">
        <v>1401</v>
      </c>
      <c r="D477" s="684" t="s">
        <v>1393</v>
      </c>
      <c r="E477" s="684" t="s">
        <v>1395</v>
      </c>
      <c r="F477" s="684" t="s">
        <v>53</v>
      </c>
      <c r="G477" s="685" t="s">
        <v>47</v>
      </c>
      <c r="H477" s="684" t="s">
        <v>1366</v>
      </c>
      <c r="I477" s="686">
        <v>3360</v>
      </c>
      <c r="J477" s="686">
        <v>3950</v>
      </c>
      <c r="K477" s="686">
        <v>3950</v>
      </c>
      <c r="L477" s="686">
        <v>5000</v>
      </c>
      <c r="M477" s="685"/>
      <c r="N477" s="685"/>
      <c r="O477" s="685"/>
      <c r="P477" s="685"/>
      <c r="Q477" s="685"/>
      <c r="R477" s="685"/>
      <c r="S477" s="685"/>
      <c r="T477" s="685"/>
      <c r="U477" s="685"/>
      <c r="V477" s="685"/>
      <c r="W477" s="685"/>
      <c r="X477" s="687"/>
      <c r="Y477" s="687"/>
      <c r="Z477" s="685" t="s">
        <v>1367</v>
      </c>
      <c r="AA477" s="688" t="s">
        <v>304</v>
      </c>
    </row>
    <row r="478" spans="1:27" s="64" customFormat="1" x14ac:dyDescent="0.25">
      <c r="A478" s="683" t="s">
        <v>1345</v>
      </c>
      <c r="B478" s="684"/>
      <c r="C478" s="684" t="s">
        <v>1401</v>
      </c>
      <c r="D478" s="684" t="s">
        <v>1393</v>
      </c>
      <c r="E478" s="684" t="s">
        <v>1396</v>
      </c>
      <c r="F478" s="684" t="s">
        <v>53</v>
      </c>
      <c r="G478" s="685" t="s">
        <v>47</v>
      </c>
      <c r="H478" s="684" t="s">
        <v>1366</v>
      </c>
      <c r="I478" s="686">
        <v>2295</v>
      </c>
      <c r="J478" s="686">
        <v>2700</v>
      </c>
      <c r="K478" s="686">
        <v>2700</v>
      </c>
      <c r="L478" s="686">
        <v>3420</v>
      </c>
      <c r="M478" s="685"/>
      <c r="N478" s="685"/>
      <c r="O478" s="685"/>
      <c r="P478" s="685"/>
      <c r="Q478" s="685"/>
      <c r="R478" s="685"/>
      <c r="S478" s="685"/>
      <c r="T478" s="685"/>
      <c r="U478" s="685"/>
      <c r="V478" s="685"/>
      <c r="W478" s="685"/>
      <c r="X478" s="687"/>
      <c r="Y478" s="687"/>
      <c r="Z478" s="685" t="s">
        <v>1367</v>
      </c>
      <c r="AA478" s="688" t="s">
        <v>304</v>
      </c>
    </row>
    <row r="479" spans="1:27" s="64" customFormat="1" x14ac:dyDescent="0.25">
      <c r="A479" s="683" t="s">
        <v>1345</v>
      </c>
      <c r="B479" s="684"/>
      <c r="C479" s="684" t="s">
        <v>1401</v>
      </c>
      <c r="D479" s="684" t="s">
        <v>1393</v>
      </c>
      <c r="E479" s="684" t="s">
        <v>1397</v>
      </c>
      <c r="F479" s="684" t="s">
        <v>53</v>
      </c>
      <c r="G479" s="685" t="s">
        <v>47</v>
      </c>
      <c r="H479" s="684" t="s">
        <v>1366</v>
      </c>
      <c r="I479" s="686">
        <v>3700</v>
      </c>
      <c r="J479" s="686">
        <v>4350</v>
      </c>
      <c r="K479" s="686">
        <v>4350</v>
      </c>
      <c r="L479" s="686">
        <v>5505</v>
      </c>
      <c r="M479" s="685"/>
      <c r="N479" s="685"/>
      <c r="O479" s="685"/>
      <c r="P479" s="685"/>
      <c r="Q479" s="685"/>
      <c r="R479" s="685"/>
      <c r="S479" s="685"/>
      <c r="T479" s="685"/>
      <c r="U479" s="685"/>
      <c r="V479" s="685"/>
      <c r="W479" s="685"/>
      <c r="X479" s="687"/>
      <c r="Y479" s="687"/>
      <c r="Z479" s="685" t="s">
        <v>1367</v>
      </c>
      <c r="AA479" s="688" t="s">
        <v>304</v>
      </c>
    </row>
    <row r="480" spans="1:27" s="64" customFormat="1" x14ac:dyDescent="0.25">
      <c r="A480" s="683" t="s">
        <v>1346</v>
      </c>
      <c r="B480" s="684"/>
      <c r="C480" s="684" t="s">
        <v>1392</v>
      </c>
      <c r="D480" s="684" t="s">
        <v>1402</v>
      </c>
      <c r="E480" s="684"/>
      <c r="F480" s="684" t="s">
        <v>51</v>
      </c>
      <c r="G480" s="685" t="s">
        <v>47</v>
      </c>
      <c r="H480" s="684" t="s">
        <v>1366</v>
      </c>
      <c r="I480" s="686">
        <v>4000</v>
      </c>
      <c r="J480" s="686">
        <v>5000</v>
      </c>
      <c r="K480" s="686">
        <v>5000</v>
      </c>
      <c r="L480" s="686">
        <v>6300</v>
      </c>
      <c r="M480" s="685"/>
      <c r="N480" s="685"/>
      <c r="O480" s="685"/>
      <c r="P480" s="685"/>
      <c r="Q480" s="685"/>
      <c r="R480" s="685"/>
      <c r="S480" s="685"/>
      <c r="T480" s="685"/>
      <c r="U480" s="685"/>
      <c r="V480" s="685"/>
      <c r="W480" s="685"/>
      <c r="X480" s="687"/>
      <c r="Y480" s="687"/>
      <c r="Z480" s="685" t="s">
        <v>1367</v>
      </c>
      <c r="AA480" s="688" t="s">
        <v>389</v>
      </c>
    </row>
    <row r="481" spans="1:27" s="64" customFormat="1" x14ac:dyDescent="0.25">
      <c r="A481" s="683" t="s">
        <v>1346</v>
      </c>
      <c r="B481" s="684"/>
      <c r="C481" s="684" t="s">
        <v>1403</v>
      </c>
      <c r="D481" s="684" t="s">
        <v>1402</v>
      </c>
      <c r="E481" s="684"/>
      <c r="F481" s="684" t="s">
        <v>51</v>
      </c>
      <c r="G481" s="685" t="s">
        <v>47</v>
      </c>
      <c r="H481" s="684" t="s">
        <v>1366</v>
      </c>
      <c r="I481" s="686">
        <v>3540</v>
      </c>
      <c r="J481" s="686">
        <v>4460</v>
      </c>
      <c r="K481" s="686">
        <v>4460</v>
      </c>
      <c r="L481" s="686">
        <v>5620</v>
      </c>
      <c r="M481" s="685"/>
      <c r="N481" s="685"/>
      <c r="O481" s="685"/>
      <c r="P481" s="685"/>
      <c r="Q481" s="685"/>
      <c r="R481" s="685"/>
      <c r="S481" s="685"/>
      <c r="T481" s="685"/>
      <c r="U481" s="685"/>
      <c r="V481" s="685"/>
      <c r="W481" s="685"/>
      <c r="X481" s="687"/>
      <c r="Y481" s="687"/>
      <c r="Z481" s="685" t="s">
        <v>1367</v>
      </c>
      <c r="AA481" s="688" t="s">
        <v>389</v>
      </c>
    </row>
    <row r="482" spans="1:27" s="64" customFormat="1" x14ac:dyDescent="0.25">
      <c r="A482" s="683" t="s">
        <v>1346</v>
      </c>
      <c r="B482" s="684"/>
      <c r="C482" s="684" t="s">
        <v>1404</v>
      </c>
      <c r="D482" s="684" t="s">
        <v>1402</v>
      </c>
      <c r="E482" s="684"/>
      <c r="F482" s="684" t="s">
        <v>51</v>
      </c>
      <c r="G482" s="685" t="s">
        <v>47</v>
      </c>
      <c r="H482" s="684" t="s">
        <v>1366</v>
      </c>
      <c r="I482" s="686">
        <v>3540</v>
      </c>
      <c r="J482" s="686">
        <v>4460</v>
      </c>
      <c r="K482" s="686">
        <v>4460</v>
      </c>
      <c r="L482" s="686">
        <v>5620</v>
      </c>
      <c r="M482" s="685"/>
      <c r="N482" s="685"/>
      <c r="O482" s="685"/>
      <c r="P482" s="685"/>
      <c r="Q482" s="685"/>
      <c r="R482" s="685"/>
      <c r="S482" s="685"/>
      <c r="T482" s="685"/>
      <c r="U482" s="685"/>
      <c r="V482" s="685"/>
      <c r="W482" s="685"/>
      <c r="X482" s="687"/>
      <c r="Y482" s="687"/>
      <c r="Z482" s="685" t="s">
        <v>1367</v>
      </c>
      <c r="AA482" s="688" t="s">
        <v>389</v>
      </c>
    </row>
    <row r="483" spans="1:27" s="64" customFormat="1" x14ac:dyDescent="0.25">
      <c r="A483" s="683" t="s">
        <v>1346</v>
      </c>
      <c r="B483" s="684"/>
      <c r="C483" s="684" t="s">
        <v>1405</v>
      </c>
      <c r="D483" s="684" t="s">
        <v>1402</v>
      </c>
      <c r="E483" s="684"/>
      <c r="F483" s="684" t="s">
        <v>51</v>
      </c>
      <c r="G483" s="685" t="s">
        <v>47</v>
      </c>
      <c r="H483" s="684" t="s">
        <v>1366</v>
      </c>
      <c r="I483" s="686">
        <v>3650</v>
      </c>
      <c r="J483" s="686">
        <v>4600</v>
      </c>
      <c r="K483" s="686">
        <v>4600</v>
      </c>
      <c r="L483" s="686">
        <v>5800</v>
      </c>
      <c r="M483" s="685"/>
      <c r="N483" s="685"/>
      <c r="O483" s="685"/>
      <c r="P483" s="685"/>
      <c r="Q483" s="685"/>
      <c r="R483" s="685"/>
      <c r="S483" s="685"/>
      <c r="T483" s="685"/>
      <c r="U483" s="685"/>
      <c r="V483" s="685"/>
      <c r="W483" s="685"/>
      <c r="X483" s="687"/>
      <c r="Y483" s="687"/>
      <c r="Z483" s="685" t="s">
        <v>1367</v>
      </c>
      <c r="AA483" s="688" t="s">
        <v>389</v>
      </c>
    </row>
    <row r="484" spans="1:27" s="64" customFormat="1" x14ac:dyDescent="0.25">
      <c r="A484" s="683" t="s">
        <v>1346</v>
      </c>
      <c r="B484" s="684"/>
      <c r="C484" s="684" t="s">
        <v>1406</v>
      </c>
      <c r="D484" s="684" t="s">
        <v>1402</v>
      </c>
      <c r="E484" s="684"/>
      <c r="F484" s="684" t="s">
        <v>51</v>
      </c>
      <c r="G484" s="685" t="s">
        <v>47</v>
      </c>
      <c r="H484" s="684" t="s">
        <v>1366</v>
      </c>
      <c r="I484" s="686">
        <v>3650</v>
      </c>
      <c r="J484" s="686">
        <v>4600</v>
      </c>
      <c r="K484" s="686">
        <v>4600</v>
      </c>
      <c r="L484" s="686">
        <v>5800</v>
      </c>
      <c r="M484" s="685"/>
      <c r="N484" s="685"/>
      <c r="O484" s="685"/>
      <c r="P484" s="685"/>
      <c r="Q484" s="685"/>
      <c r="R484" s="685"/>
      <c r="S484" s="685"/>
      <c r="T484" s="685"/>
      <c r="U484" s="685"/>
      <c r="V484" s="685"/>
      <c r="W484" s="685"/>
      <c r="X484" s="687"/>
      <c r="Y484" s="687"/>
      <c r="Z484" s="685" t="s">
        <v>1367</v>
      </c>
      <c r="AA484" s="688" t="s">
        <v>389</v>
      </c>
    </row>
    <row r="485" spans="1:27" s="64" customFormat="1" x14ac:dyDescent="0.25">
      <c r="A485" s="683" t="s">
        <v>1346</v>
      </c>
      <c r="B485" s="684"/>
      <c r="C485" s="684" t="s">
        <v>1407</v>
      </c>
      <c r="D485" s="684" t="s">
        <v>1402</v>
      </c>
      <c r="E485" s="684"/>
      <c r="F485" s="684" t="s">
        <v>51</v>
      </c>
      <c r="G485" s="685" t="s">
        <v>47</v>
      </c>
      <c r="H485" s="684" t="s">
        <v>1366</v>
      </c>
      <c r="I485" s="686">
        <v>3650</v>
      </c>
      <c r="J485" s="686">
        <v>4600</v>
      </c>
      <c r="K485" s="686">
        <v>4600</v>
      </c>
      <c r="L485" s="686">
        <v>5800</v>
      </c>
      <c r="M485" s="685"/>
      <c r="N485" s="685"/>
      <c r="O485" s="685"/>
      <c r="P485" s="685"/>
      <c r="Q485" s="685"/>
      <c r="R485" s="685"/>
      <c r="S485" s="685"/>
      <c r="T485" s="685"/>
      <c r="U485" s="685"/>
      <c r="V485" s="685"/>
      <c r="W485" s="685"/>
      <c r="X485" s="687"/>
      <c r="Y485" s="687"/>
      <c r="Z485" s="685" t="s">
        <v>1367</v>
      </c>
      <c r="AA485" s="688" t="s">
        <v>389</v>
      </c>
    </row>
    <row r="486" spans="1:27" s="64" customFormat="1" x14ac:dyDescent="0.25">
      <c r="A486" s="683" t="s">
        <v>1346</v>
      </c>
      <c r="B486" s="684"/>
      <c r="C486" s="684" t="s">
        <v>1408</v>
      </c>
      <c r="D486" s="684" t="s">
        <v>1402</v>
      </c>
      <c r="E486" s="684"/>
      <c r="F486" s="684" t="s">
        <v>51</v>
      </c>
      <c r="G486" s="685" t="s">
        <v>47</v>
      </c>
      <c r="H486" s="684" t="s">
        <v>1366</v>
      </c>
      <c r="I486" s="686">
        <v>3850</v>
      </c>
      <c r="J486" s="686">
        <v>4860</v>
      </c>
      <c r="K486" s="686">
        <v>4860</v>
      </c>
      <c r="L486" s="686">
        <v>6120</v>
      </c>
      <c r="M486" s="685"/>
      <c r="N486" s="685"/>
      <c r="O486" s="685"/>
      <c r="P486" s="685"/>
      <c r="Q486" s="685"/>
      <c r="R486" s="685"/>
      <c r="S486" s="685"/>
      <c r="T486" s="685"/>
      <c r="U486" s="685"/>
      <c r="V486" s="685"/>
      <c r="W486" s="685"/>
      <c r="X486" s="687"/>
      <c r="Y486" s="687"/>
      <c r="Z486" s="685" t="s">
        <v>1367</v>
      </c>
      <c r="AA486" s="688" t="s">
        <v>389</v>
      </c>
    </row>
    <row r="487" spans="1:27" s="64" customFormat="1" x14ac:dyDescent="0.25">
      <c r="A487" s="683" t="s">
        <v>1346</v>
      </c>
      <c r="B487" s="684"/>
      <c r="C487" s="684" t="s">
        <v>1409</v>
      </c>
      <c r="D487" s="684" t="s">
        <v>1402</v>
      </c>
      <c r="E487" s="684"/>
      <c r="F487" s="684" t="s">
        <v>51</v>
      </c>
      <c r="G487" s="685" t="s">
        <v>47</v>
      </c>
      <c r="H487" s="684" t="s">
        <v>1366</v>
      </c>
      <c r="I487" s="686">
        <v>3850</v>
      </c>
      <c r="J487" s="686">
        <v>4860</v>
      </c>
      <c r="K487" s="686">
        <v>4860</v>
      </c>
      <c r="L487" s="686">
        <v>6120</v>
      </c>
      <c r="M487" s="685"/>
      <c r="N487" s="685"/>
      <c r="O487" s="685"/>
      <c r="P487" s="685"/>
      <c r="Q487" s="685"/>
      <c r="R487" s="685"/>
      <c r="S487" s="685"/>
      <c r="T487" s="685"/>
      <c r="U487" s="685"/>
      <c r="V487" s="685"/>
      <c r="W487" s="685"/>
      <c r="X487" s="687"/>
      <c r="Y487" s="687"/>
      <c r="Z487" s="685" t="s">
        <v>1367</v>
      </c>
      <c r="AA487" s="688" t="s">
        <v>389</v>
      </c>
    </row>
    <row r="488" spans="1:27" s="64" customFormat="1" x14ac:dyDescent="0.25">
      <c r="A488" s="683" t="s">
        <v>1346</v>
      </c>
      <c r="B488" s="684"/>
      <c r="C488" s="684" t="s">
        <v>1410</v>
      </c>
      <c r="D488" s="684" t="s">
        <v>1402</v>
      </c>
      <c r="E488" s="684"/>
      <c r="F488" s="684" t="s">
        <v>51</v>
      </c>
      <c r="G488" s="685" t="s">
        <v>47</v>
      </c>
      <c r="H488" s="684" t="s">
        <v>1366</v>
      </c>
      <c r="I488" s="686">
        <v>3850</v>
      </c>
      <c r="J488" s="686">
        <v>4860</v>
      </c>
      <c r="K488" s="686">
        <v>4860</v>
      </c>
      <c r="L488" s="686">
        <v>6120</v>
      </c>
      <c r="M488" s="685"/>
      <c r="N488" s="685"/>
      <c r="O488" s="685"/>
      <c r="P488" s="685"/>
      <c r="Q488" s="685"/>
      <c r="R488" s="685"/>
      <c r="S488" s="685"/>
      <c r="T488" s="685"/>
      <c r="U488" s="685"/>
      <c r="V488" s="685"/>
      <c r="W488" s="685"/>
      <c r="X488" s="687"/>
      <c r="Y488" s="687"/>
      <c r="Z488" s="685" t="s">
        <v>1367</v>
      </c>
      <c r="AA488" s="688" t="s">
        <v>389</v>
      </c>
    </row>
    <row r="489" spans="1:27" s="64" customFormat="1" x14ac:dyDescent="0.25">
      <c r="A489" s="683" t="s">
        <v>1346</v>
      </c>
      <c r="B489" s="684"/>
      <c r="C489" s="684" t="s">
        <v>1411</v>
      </c>
      <c r="D489" s="684" t="s">
        <v>1402</v>
      </c>
      <c r="E489" s="684"/>
      <c r="F489" s="684" t="s">
        <v>51</v>
      </c>
      <c r="G489" s="685" t="s">
        <v>47</v>
      </c>
      <c r="H489" s="684" t="s">
        <v>1366</v>
      </c>
      <c r="I489" s="686">
        <v>3850</v>
      </c>
      <c r="J489" s="686">
        <v>4860</v>
      </c>
      <c r="K489" s="686">
        <v>4860</v>
      </c>
      <c r="L489" s="686">
        <v>6120</v>
      </c>
      <c r="M489" s="685"/>
      <c r="N489" s="685"/>
      <c r="O489" s="685"/>
      <c r="P489" s="685"/>
      <c r="Q489" s="685"/>
      <c r="R489" s="685"/>
      <c r="S489" s="685"/>
      <c r="T489" s="685"/>
      <c r="U489" s="685"/>
      <c r="V489" s="685"/>
      <c r="W489" s="685"/>
      <c r="X489" s="687"/>
      <c r="Y489" s="687"/>
      <c r="Z489" s="685" t="s">
        <v>1367</v>
      </c>
      <c r="AA489" s="688" t="s">
        <v>389</v>
      </c>
    </row>
    <row r="490" spans="1:27" s="64" customFormat="1" x14ac:dyDescent="0.25">
      <c r="A490" s="683" t="s">
        <v>1346</v>
      </c>
      <c r="B490" s="684"/>
      <c r="C490" s="684" t="s">
        <v>1412</v>
      </c>
      <c r="D490" s="684" t="s">
        <v>1402</v>
      </c>
      <c r="E490" s="684"/>
      <c r="F490" s="684" t="s">
        <v>51</v>
      </c>
      <c r="G490" s="685" t="s">
        <v>47</v>
      </c>
      <c r="H490" s="684" t="s">
        <v>1366</v>
      </c>
      <c r="I490" s="686">
        <v>3850</v>
      </c>
      <c r="J490" s="686">
        <v>4860</v>
      </c>
      <c r="K490" s="686">
        <v>4860</v>
      </c>
      <c r="L490" s="686">
        <v>6120</v>
      </c>
      <c r="M490" s="685"/>
      <c r="N490" s="685"/>
      <c r="O490" s="685"/>
      <c r="P490" s="685"/>
      <c r="Q490" s="685"/>
      <c r="R490" s="685"/>
      <c r="S490" s="685"/>
      <c r="T490" s="685"/>
      <c r="U490" s="685"/>
      <c r="V490" s="685"/>
      <c r="W490" s="685"/>
      <c r="X490" s="687"/>
      <c r="Y490" s="687"/>
      <c r="Z490" s="685" t="s">
        <v>1367</v>
      </c>
      <c r="AA490" s="688" t="s">
        <v>389</v>
      </c>
    </row>
    <row r="491" spans="1:27" s="64" customFormat="1" x14ac:dyDescent="0.25">
      <c r="A491" s="683" t="s">
        <v>1346</v>
      </c>
      <c r="B491" s="684"/>
      <c r="C491" s="684" t="s">
        <v>1398</v>
      </c>
      <c r="D491" s="684" t="s">
        <v>1402</v>
      </c>
      <c r="E491" s="684"/>
      <c r="F491" s="684" t="s">
        <v>51</v>
      </c>
      <c r="G491" s="685" t="s">
        <v>47</v>
      </c>
      <c r="H491" s="684" t="s">
        <v>1366</v>
      </c>
      <c r="I491" s="686">
        <v>3770</v>
      </c>
      <c r="J491" s="686">
        <v>4750</v>
      </c>
      <c r="K491" s="686">
        <v>4750</v>
      </c>
      <c r="L491" s="686">
        <v>5980</v>
      </c>
      <c r="M491" s="685"/>
      <c r="N491" s="685"/>
      <c r="O491" s="685"/>
      <c r="P491" s="685"/>
      <c r="Q491" s="685"/>
      <c r="R491" s="685"/>
      <c r="S491" s="685"/>
      <c r="T491" s="685"/>
      <c r="U491" s="685"/>
      <c r="V491" s="685"/>
      <c r="W491" s="685"/>
      <c r="X491" s="687"/>
      <c r="Y491" s="687"/>
      <c r="Z491" s="685" t="s">
        <v>1367</v>
      </c>
      <c r="AA491" s="688" t="s">
        <v>389</v>
      </c>
    </row>
    <row r="492" spans="1:27" s="64" customFormat="1" x14ac:dyDescent="0.25">
      <c r="A492" s="683" t="s">
        <v>1346</v>
      </c>
      <c r="B492" s="684"/>
      <c r="C492" s="684" t="s">
        <v>1413</v>
      </c>
      <c r="D492" s="684" t="s">
        <v>1402</v>
      </c>
      <c r="E492" s="684"/>
      <c r="F492" s="684" t="s">
        <v>51</v>
      </c>
      <c r="G492" s="685" t="s">
        <v>47</v>
      </c>
      <c r="H492" s="684" t="s">
        <v>1366</v>
      </c>
      <c r="I492" s="686">
        <v>3850</v>
      </c>
      <c r="J492" s="686">
        <v>4850</v>
      </c>
      <c r="K492" s="686">
        <v>4850</v>
      </c>
      <c r="L492" s="686">
        <v>6110</v>
      </c>
      <c r="M492" s="685"/>
      <c r="N492" s="685"/>
      <c r="O492" s="685"/>
      <c r="P492" s="685"/>
      <c r="Q492" s="685"/>
      <c r="R492" s="685"/>
      <c r="S492" s="685"/>
      <c r="T492" s="685"/>
      <c r="U492" s="685"/>
      <c r="V492" s="685"/>
      <c r="W492" s="685"/>
      <c r="X492" s="687"/>
      <c r="Y492" s="687"/>
      <c r="Z492" s="685" t="s">
        <v>1367</v>
      </c>
      <c r="AA492" s="688" t="s">
        <v>389</v>
      </c>
    </row>
    <row r="493" spans="1:27" s="64" customFormat="1" x14ac:dyDescent="0.25">
      <c r="A493" s="683" t="s">
        <v>1346</v>
      </c>
      <c r="B493" s="684"/>
      <c r="C493" s="684" t="s">
        <v>1414</v>
      </c>
      <c r="D493" s="684" t="s">
        <v>1402</v>
      </c>
      <c r="E493" s="684"/>
      <c r="F493" s="684" t="s">
        <v>51</v>
      </c>
      <c r="G493" s="685" t="s">
        <v>47</v>
      </c>
      <c r="H493" s="684" t="s">
        <v>1366</v>
      </c>
      <c r="I493" s="686">
        <v>3850</v>
      </c>
      <c r="J493" s="686">
        <v>4850</v>
      </c>
      <c r="K493" s="686">
        <v>4850</v>
      </c>
      <c r="L493" s="686">
        <v>6110</v>
      </c>
      <c r="M493" s="685"/>
      <c r="N493" s="685"/>
      <c r="O493" s="685"/>
      <c r="P493" s="685"/>
      <c r="Q493" s="685"/>
      <c r="R493" s="685"/>
      <c r="S493" s="685"/>
      <c r="T493" s="685"/>
      <c r="U493" s="685"/>
      <c r="V493" s="685"/>
      <c r="W493" s="685"/>
      <c r="X493" s="687"/>
      <c r="Y493" s="687"/>
      <c r="Z493" s="685" t="s">
        <v>1367</v>
      </c>
      <c r="AA493" s="688" t="s">
        <v>389</v>
      </c>
    </row>
    <row r="494" spans="1:27" s="64" customFormat="1" x14ac:dyDescent="0.25">
      <c r="A494" s="683" t="s">
        <v>1346</v>
      </c>
      <c r="B494" s="684"/>
      <c r="C494" s="684" t="s">
        <v>1400</v>
      </c>
      <c r="D494" s="684" t="s">
        <v>1402</v>
      </c>
      <c r="E494" s="684"/>
      <c r="F494" s="684" t="s">
        <v>51</v>
      </c>
      <c r="G494" s="685" t="s">
        <v>47</v>
      </c>
      <c r="H494" s="684" t="s">
        <v>1366</v>
      </c>
      <c r="I494" s="686">
        <v>3730</v>
      </c>
      <c r="J494" s="686">
        <v>4700</v>
      </c>
      <c r="K494" s="686">
        <v>4700</v>
      </c>
      <c r="L494" s="686">
        <v>5930</v>
      </c>
      <c r="M494" s="685"/>
      <c r="N494" s="685"/>
      <c r="O494" s="685"/>
      <c r="P494" s="685"/>
      <c r="Q494" s="685"/>
      <c r="R494" s="685"/>
      <c r="S494" s="685"/>
      <c r="T494" s="685"/>
      <c r="U494" s="685"/>
      <c r="V494" s="685"/>
      <c r="W494" s="685"/>
      <c r="X494" s="687"/>
      <c r="Y494" s="687"/>
      <c r="Z494" s="685" t="s">
        <v>1367</v>
      </c>
      <c r="AA494" s="688" t="s">
        <v>389</v>
      </c>
    </row>
    <row r="495" spans="1:27" s="64" customFormat="1" x14ac:dyDescent="0.25">
      <c r="A495" s="683" t="s">
        <v>1346</v>
      </c>
      <c r="B495" s="684"/>
      <c r="C495" s="684" t="s">
        <v>1415</v>
      </c>
      <c r="D495" s="684" t="s">
        <v>1402</v>
      </c>
      <c r="E495" s="684"/>
      <c r="F495" s="684" t="s">
        <v>51</v>
      </c>
      <c r="G495" s="685" t="s">
        <v>47</v>
      </c>
      <c r="H495" s="684" t="s">
        <v>1366</v>
      </c>
      <c r="I495" s="686">
        <v>3730</v>
      </c>
      <c r="J495" s="686">
        <v>4700</v>
      </c>
      <c r="K495" s="686">
        <v>4700</v>
      </c>
      <c r="L495" s="686">
        <v>5930</v>
      </c>
      <c r="M495" s="685"/>
      <c r="N495" s="685"/>
      <c r="O495" s="685"/>
      <c r="P495" s="685"/>
      <c r="Q495" s="685"/>
      <c r="R495" s="685"/>
      <c r="S495" s="685"/>
      <c r="T495" s="685"/>
      <c r="U495" s="685"/>
      <c r="V495" s="685"/>
      <c r="W495" s="685"/>
      <c r="X495" s="687"/>
      <c r="Y495" s="687"/>
      <c r="Z495" s="685" t="s">
        <v>1367</v>
      </c>
      <c r="AA495" s="688" t="s">
        <v>389</v>
      </c>
    </row>
    <row r="496" spans="1:27" s="64" customFormat="1" x14ac:dyDescent="0.25">
      <c r="A496" s="683" t="s">
        <v>1346</v>
      </c>
      <c r="B496" s="684" t="s">
        <v>1416</v>
      </c>
      <c r="C496" s="684" t="s">
        <v>1400</v>
      </c>
      <c r="D496" s="684" t="s">
        <v>1402</v>
      </c>
      <c r="E496" s="684"/>
      <c r="F496" s="684" t="s">
        <v>126</v>
      </c>
      <c r="G496" s="685" t="s">
        <v>47</v>
      </c>
      <c r="H496" s="684" t="s">
        <v>1366</v>
      </c>
      <c r="I496" s="686">
        <v>3730</v>
      </c>
      <c r="J496" s="686">
        <v>4700</v>
      </c>
      <c r="K496" s="686">
        <v>4700</v>
      </c>
      <c r="L496" s="686">
        <v>5930</v>
      </c>
      <c r="M496" s="685"/>
      <c r="N496" s="685"/>
      <c r="O496" s="685"/>
      <c r="P496" s="685"/>
      <c r="Q496" s="685"/>
      <c r="R496" s="685"/>
      <c r="S496" s="685"/>
      <c r="T496" s="685"/>
      <c r="U496" s="685"/>
      <c r="V496" s="685"/>
      <c r="W496" s="685"/>
      <c r="X496" s="687"/>
      <c r="Y496" s="687"/>
      <c r="Z496" s="685" t="s">
        <v>1367</v>
      </c>
      <c r="AA496" s="688" t="s">
        <v>306</v>
      </c>
    </row>
    <row r="497" spans="1:27" s="64" customFormat="1" x14ac:dyDescent="0.25">
      <c r="A497" s="683" t="s">
        <v>1346</v>
      </c>
      <c r="B497" s="684"/>
      <c r="C497" s="684" t="s">
        <v>1417</v>
      </c>
      <c r="D497" s="684" t="s">
        <v>1402</v>
      </c>
      <c r="E497" s="684"/>
      <c r="F497" s="684" t="s">
        <v>51</v>
      </c>
      <c r="G497" s="685" t="s">
        <v>47</v>
      </c>
      <c r="H497" s="684" t="s">
        <v>1366</v>
      </c>
      <c r="I497" s="686">
        <v>3730</v>
      </c>
      <c r="J497" s="686">
        <v>4700</v>
      </c>
      <c r="K497" s="686">
        <v>4700</v>
      </c>
      <c r="L497" s="686">
        <v>5930</v>
      </c>
      <c r="M497" s="685"/>
      <c r="N497" s="685"/>
      <c r="O497" s="685"/>
      <c r="P497" s="685"/>
      <c r="Q497" s="685"/>
      <c r="R497" s="685"/>
      <c r="S497" s="685"/>
      <c r="T497" s="685"/>
      <c r="U497" s="685"/>
      <c r="V497" s="685"/>
      <c r="W497" s="685"/>
      <c r="X497" s="687"/>
      <c r="Y497" s="687"/>
      <c r="Z497" s="685" t="s">
        <v>1367</v>
      </c>
      <c r="AA497" s="688" t="s">
        <v>389</v>
      </c>
    </row>
    <row r="498" spans="1:27" s="64" customFormat="1" x14ac:dyDescent="0.25">
      <c r="A498" s="683" t="s">
        <v>1346</v>
      </c>
      <c r="B498" s="684"/>
      <c r="C498" s="684" t="s">
        <v>1418</v>
      </c>
      <c r="D498" s="684" t="s">
        <v>1402</v>
      </c>
      <c r="E498" s="684"/>
      <c r="F498" s="684" t="s">
        <v>51</v>
      </c>
      <c r="G498" s="685" t="s">
        <v>47</v>
      </c>
      <c r="H498" s="684" t="s">
        <v>1366</v>
      </c>
      <c r="I498" s="686">
        <v>3810</v>
      </c>
      <c r="J498" s="686">
        <v>4800</v>
      </c>
      <c r="K498" s="686">
        <v>4800</v>
      </c>
      <c r="L498" s="686">
        <v>6060</v>
      </c>
      <c r="M498" s="685"/>
      <c r="N498" s="685"/>
      <c r="O498" s="685"/>
      <c r="P498" s="685"/>
      <c r="Q498" s="685"/>
      <c r="R498" s="685"/>
      <c r="S498" s="685"/>
      <c r="T498" s="685"/>
      <c r="U498" s="685"/>
      <c r="V498" s="685"/>
      <c r="W498" s="685"/>
      <c r="X498" s="687"/>
      <c r="Y498" s="687"/>
      <c r="Z498" s="685" t="s">
        <v>1367</v>
      </c>
      <c r="AA498" s="688" t="s">
        <v>389</v>
      </c>
    </row>
    <row r="499" spans="1:27" s="64" customFormat="1" x14ac:dyDescent="0.25">
      <c r="A499" s="683" t="s">
        <v>1346</v>
      </c>
      <c r="B499" s="684"/>
      <c r="C499" s="684" t="s">
        <v>1419</v>
      </c>
      <c r="D499" s="684" t="s">
        <v>1402</v>
      </c>
      <c r="E499" s="684"/>
      <c r="F499" s="684" t="s">
        <v>51</v>
      </c>
      <c r="G499" s="685" t="s">
        <v>47</v>
      </c>
      <c r="H499" s="684" t="s">
        <v>1366</v>
      </c>
      <c r="I499" s="686">
        <v>3810</v>
      </c>
      <c r="J499" s="686">
        <v>4800</v>
      </c>
      <c r="K499" s="686">
        <v>4800</v>
      </c>
      <c r="L499" s="686">
        <v>6060</v>
      </c>
      <c r="M499" s="685"/>
      <c r="N499" s="685"/>
      <c r="O499" s="685"/>
      <c r="P499" s="685"/>
      <c r="Q499" s="685"/>
      <c r="R499" s="685"/>
      <c r="S499" s="685"/>
      <c r="T499" s="685"/>
      <c r="U499" s="685"/>
      <c r="V499" s="685"/>
      <c r="W499" s="685"/>
      <c r="X499" s="687"/>
      <c r="Y499" s="687"/>
      <c r="Z499" s="685" t="s">
        <v>1367</v>
      </c>
      <c r="AA499" s="688" t="s">
        <v>389</v>
      </c>
    </row>
    <row r="500" spans="1:27" s="64" customFormat="1" x14ac:dyDescent="0.25">
      <c r="A500" s="683" t="s">
        <v>1346</v>
      </c>
      <c r="B500" s="684"/>
      <c r="C500" s="684" t="s">
        <v>1399</v>
      </c>
      <c r="D500" s="684" t="s">
        <v>1402</v>
      </c>
      <c r="E500" s="684"/>
      <c r="F500" s="684" t="s">
        <v>51</v>
      </c>
      <c r="G500" s="685" t="s">
        <v>47</v>
      </c>
      <c r="H500" s="684" t="s">
        <v>1366</v>
      </c>
      <c r="I500" s="686">
        <v>3730</v>
      </c>
      <c r="J500" s="686">
        <v>4700</v>
      </c>
      <c r="K500" s="686">
        <v>4700</v>
      </c>
      <c r="L500" s="686">
        <v>5930</v>
      </c>
      <c r="M500" s="685"/>
      <c r="N500" s="685"/>
      <c r="O500" s="685"/>
      <c r="P500" s="685"/>
      <c r="Q500" s="685"/>
      <c r="R500" s="685"/>
      <c r="S500" s="685"/>
      <c r="T500" s="685"/>
      <c r="U500" s="685"/>
      <c r="V500" s="685"/>
      <c r="W500" s="685"/>
      <c r="X500" s="687"/>
      <c r="Y500" s="687"/>
      <c r="Z500" s="685" t="s">
        <v>1367</v>
      </c>
      <c r="AA500" s="688" t="s">
        <v>389</v>
      </c>
    </row>
    <row r="501" spans="1:27" s="64" customFormat="1" x14ac:dyDescent="0.25">
      <c r="A501" s="683" t="s">
        <v>1346</v>
      </c>
      <c r="B501" s="684"/>
      <c r="C501" s="684" t="s">
        <v>1420</v>
      </c>
      <c r="D501" s="684" t="s">
        <v>1402</v>
      </c>
      <c r="E501" s="684"/>
      <c r="F501" s="684" t="s">
        <v>51</v>
      </c>
      <c r="G501" s="685" t="s">
        <v>47</v>
      </c>
      <c r="H501" s="684" t="s">
        <v>1366</v>
      </c>
      <c r="I501" s="686">
        <v>3730</v>
      </c>
      <c r="J501" s="686">
        <v>4700</v>
      </c>
      <c r="K501" s="686">
        <v>4700</v>
      </c>
      <c r="L501" s="686">
        <v>5930</v>
      </c>
      <c r="M501" s="685"/>
      <c r="N501" s="685"/>
      <c r="O501" s="685"/>
      <c r="P501" s="685"/>
      <c r="Q501" s="685"/>
      <c r="R501" s="685"/>
      <c r="S501" s="685"/>
      <c r="T501" s="685"/>
      <c r="U501" s="685"/>
      <c r="V501" s="685"/>
      <c r="W501" s="685"/>
      <c r="X501" s="687"/>
      <c r="Y501" s="687"/>
      <c r="Z501" s="685" t="s">
        <v>1367</v>
      </c>
      <c r="AA501" s="688" t="s">
        <v>389</v>
      </c>
    </row>
    <row r="502" spans="1:27" s="64" customFormat="1" x14ac:dyDescent="0.25">
      <c r="A502" s="683" t="s">
        <v>1346</v>
      </c>
      <c r="B502" s="684"/>
      <c r="C502" s="684" t="s">
        <v>1421</v>
      </c>
      <c r="D502" s="684" t="s">
        <v>1402</v>
      </c>
      <c r="E502" s="684"/>
      <c r="F502" s="684" t="s">
        <v>51</v>
      </c>
      <c r="G502" s="685" t="s">
        <v>47</v>
      </c>
      <c r="H502" s="684" t="s">
        <v>1366</v>
      </c>
      <c r="I502" s="686">
        <v>3810</v>
      </c>
      <c r="J502" s="686">
        <v>4800</v>
      </c>
      <c r="K502" s="686">
        <v>4800</v>
      </c>
      <c r="L502" s="686">
        <v>6060</v>
      </c>
      <c r="M502" s="685"/>
      <c r="N502" s="685"/>
      <c r="O502" s="685"/>
      <c r="P502" s="685"/>
      <c r="Q502" s="685"/>
      <c r="R502" s="685"/>
      <c r="S502" s="685"/>
      <c r="T502" s="685"/>
      <c r="U502" s="685"/>
      <c r="V502" s="685"/>
      <c r="W502" s="685"/>
      <c r="X502" s="687"/>
      <c r="Y502" s="687"/>
      <c r="Z502" s="685" t="s">
        <v>1367</v>
      </c>
      <c r="AA502" s="688" t="s">
        <v>389</v>
      </c>
    </row>
    <row r="503" spans="1:27" s="64" customFormat="1" x14ac:dyDescent="0.25">
      <c r="A503" s="683" t="s">
        <v>1346</v>
      </c>
      <c r="B503" s="684"/>
      <c r="C503" s="684" t="s">
        <v>1422</v>
      </c>
      <c r="D503" s="684" t="s">
        <v>1402</v>
      </c>
      <c r="E503" s="684"/>
      <c r="F503" s="684" t="s">
        <v>51</v>
      </c>
      <c r="G503" s="685" t="s">
        <v>47</v>
      </c>
      <c r="H503" s="684" t="s">
        <v>1366</v>
      </c>
      <c r="I503" s="686">
        <v>3810</v>
      </c>
      <c r="J503" s="686">
        <v>4800</v>
      </c>
      <c r="K503" s="686">
        <v>4800</v>
      </c>
      <c r="L503" s="686">
        <v>6060</v>
      </c>
      <c r="M503" s="685"/>
      <c r="N503" s="685"/>
      <c r="O503" s="685"/>
      <c r="P503" s="685"/>
      <c r="Q503" s="685"/>
      <c r="R503" s="685"/>
      <c r="S503" s="685"/>
      <c r="T503" s="685"/>
      <c r="U503" s="685"/>
      <c r="V503" s="685"/>
      <c r="W503" s="685"/>
      <c r="X503" s="687"/>
      <c r="Y503" s="687"/>
      <c r="Z503" s="685" t="s">
        <v>1367</v>
      </c>
      <c r="AA503" s="688" t="s">
        <v>389</v>
      </c>
    </row>
    <row r="504" spans="1:27" s="64" customFormat="1" x14ac:dyDescent="0.25">
      <c r="A504" s="683" t="s">
        <v>1346</v>
      </c>
      <c r="B504" s="684"/>
      <c r="C504" s="684" t="s">
        <v>1423</v>
      </c>
      <c r="D504" s="684" t="s">
        <v>1402</v>
      </c>
      <c r="E504" s="684"/>
      <c r="F504" s="684" t="s">
        <v>51</v>
      </c>
      <c r="G504" s="685" t="s">
        <v>47</v>
      </c>
      <c r="H504" s="684" t="s">
        <v>1366</v>
      </c>
      <c r="I504" s="686">
        <v>3810</v>
      </c>
      <c r="J504" s="686">
        <v>4800</v>
      </c>
      <c r="K504" s="686">
        <v>4800</v>
      </c>
      <c r="L504" s="686">
        <v>5920</v>
      </c>
      <c r="M504" s="685"/>
      <c r="N504" s="685"/>
      <c r="O504" s="685"/>
      <c r="P504" s="685"/>
      <c r="Q504" s="685"/>
      <c r="R504" s="685"/>
      <c r="S504" s="685"/>
      <c r="T504" s="685"/>
      <c r="U504" s="685"/>
      <c r="V504" s="685"/>
      <c r="W504" s="685"/>
      <c r="X504" s="687"/>
      <c r="Y504" s="687"/>
      <c r="Z504" s="685" t="s">
        <v>1367</v>
      </c>
      <c r="AA504" s="688" t="s">
        <v>389</v>
      </c>
    </row>
    <row r="505" spans="1:27" s="64" customFormat="1" x14ac:dyDescent="0.25">
      <c r="A505" s="683" t="s">
        <v>1346</v>
      </c>
      <c r="B505" s="684"/>
      <c r="C505" s="684" t="s">
        <v>1424</v>
      </c>
      <c r="D505" s="684" t="s">
        <v>1402</v>
      </c>
      <c r="E505" s="684"/>
      <c r="F505" s="684" t="s">
        <v>51</v>
      </c>
      <c r="G505" s="685" t="s">
        <v>47</v>
      </c>
      <c r="H505" s="684" t="s">
        <v>1366</v>
      </c>
      <c r="I505" s="686">
        <v>3890</v>
      </c>
      <c r="J505" s="686">
        <v>4900</v>
      </c>
      <c r="K505" s="686">
        <v>4900</v>
      </c>
      <c r="L505" s="686">
        <v>6180</v>
      </c>
      <c r="M505" s="685"/>
      <c r="N505" s="685"/>
      <c r="O505" s="685"/>
      <c r="P505" s="685"/>
      <c r="Q505" s="685"/>
      <c r="R505" s="685"/>
      <c r="S505" s="685"/>
      <c r="T505" s="685"/>
      <c r="U505" s="685"/>
      <c r="V505" s="685"/>
      <c r="W505" s="685"/>
      <c r="X505" s="687"/>
      <c r="Y505" s="687"/>
      <c r="Z505" s="685" t="s">
        <v>1367</v>
      </c>
      <c r="AA505" s="688" t="s">
        <v>389</v>
      </c>
    </row>
    <row r="506" spans="1:27" s="64" customFormat="1" x14ac:dyDescent="0.25">
      <c r="A506" s="683" t="s">
        <v>1346</v>
      </c>
      <c r="B506" s="684"/>
      <c r="C506" s="684" t="s">
        <v>1425</v>
      </c>
      <c r="D506" s="684" t="s">
        <v>1402</v>
      </c>
      <c r="E506" s="684"/>
      <c r="F506" s="684" t="s">
        <v>51</v>
      </c>
      <c r="G506" s="685" t="s">
        <v>47</v>
      </c>
      <c r="H506" s="684" t="s">
        <v>1366</v>
      </c>
      <c r="I506" s="686">
        <v>4050</v>
      </c>
      <c r="J506" s="686">
        <v>5100</v>
      </c>
      <c r="K506" s="686">
        <v>5100</v>
      </c>
      <c r="L506" s="686">
        <v>6430</v>
      </c>
      <c r="M506" s="685"/>
      <c r="N506" s="685"/>
      <c r="O506" s="685"/>
      <c r="P506" s="685"/>
      <c r="Q506" s="685"/>
      <c r="R506" s="685"/>
      <c r="S506" s="685"/>
      <c r="T506" s="685"/>
      <c r="U506" s="685"/>
      <c r="V506" s="685"/>
      <c r="W506" s="685"/>
      <c r="X506" s="687"/>
      <c r="Y506" s="687"/>
      <c r="Z506" s="685" t="s">
        <v>1367</v>
      </c>
      <c r="AA506" s="688" t="s">
        <v>389</v>
      </c>
    </row>
    <row r="507" spans="1:27" s="64" customFormat="1" x14ac:dyDescent="0.25">
      <c r="A507" s="683" t="s">
        <v>1346</v>
      </c>
      <c r="B507" s="684"/>
      <c r="C507" s="684" t="s">
        <v>1426</v>
      </c>
      <c r="D507" s="684" t="s">
        <v>1402</v>
      </c>
      <c r="E507" s="684"/>
      <c r="F507" s="684" t="s">
        <v>51</v>
      </c>
      <c r="G507" s="685" t="s">
        <v>47</v>
      </c>
      <c r="H507" s="684" t="s">
        <v>1366</v>
      </c>
      <c r="I507" s="686">
        <v>3530</v>
      </c>
      <c r="J507" s="686">
        <v>4450</v>
      </c>
      <c r="K507" s="686">
        <v>4450</v>
      </c>
      <c r="L507" s="686">
        <v>5610</v>
      </c>
      <c r="M507" s="685"/>
      <c r="N507" s="685"/>
      <c r="O507" s="685"/>
      <c r="P507" s="685"/>
      <c r="Q507" s="685"/>
      <c r="R507" s="685"/>
      <c r="S507" s="685"/>
      <c r="T507" s="685"/>
      <c r="U507" s="685"/>
      <c r="V507" s="685"/>
      <c r="W507" s="685"/>
      <c r="X507" s="687"/>
      <c r="Y507" s="687"/>
      <c r="Z507" s="685" t="s">
        <v>1367</v>
      </c>
      <c r="AA507" s="688" t="s">
        <v>389</v>
      </c>
    </row>
    <row r="508" spans="1:27" s="64" customFormat="1" x14ac:dyDescent="0.25">
      <c r="A508" s="683" t="s">
        <v>1346</v>
      </c>
      <c r="B508" s="684"/>
      <c r="C508" s="684" t="s">
        <v>1427</v>
      </c>
      <c r="D508" s="684" t="s">
        <v>1402</v>
      </c>
      <c r="E508" s="684"/>
      <c r="F508" s="684" t="s">
        <v>51</v>
      </c>
      <c r="G508" s="685" t="s">
        <v>47</v>
      </c>
      <c r="H508" s="684" t="s">
        <v>1366</v>
      </c>
      <c r="I508" s="686">
        <v>3530</v>
      </c>
      <c r="J508" s="686">
        <v>4450</v>
      </c>
      <c r="K508" s="686">
        <v>4450</v>
      </c>
      <c r="L508" s="686">
        <v>5610</v>
      </c>
      <c r="M508" s="685"/>
      <c r="N508" s="685"/>
      <c r="O508" s="685"/>
      <c r="P508" s="685"/>
      <c r="Q508" s="685"/>
      <c r="R508" s="685"/>
      <c r="S508" s="685"/>
      <c r="T508" s="685"/>
      <c r="U508" s="685"/>
      <c r="V508" s="685"/>
      <c r="W508" s="685"/>
      <c r="X508" s="687"/>
      <c r="Y508" s="687"/>
      <c r="Z508" s="685" t="s">
        <v>1367</v>
      </c>
      <c r="AA508" s="688" t="s">
        <v>389</v>
      </c>
    </row>
    <row r="509" spans="1:27" s="64" customFormat="1" x14ac:dyDescent="0.25">
      <c r="A509" s="59"/>
      <c r="B509" s="60"/>
      <c r="C509" s="60"/>
      <c r="D509" s="60"/>
      <c r="E509" s="60"/>
      <c r="F509" s="60"/>
      <c r="G509" s="61"/>
      <c r="H509" s="60"/>
      <c r="I509" s="62"/>
      <c r="J509" s="62"/>
      <c r="K509" s="62"/>
      <c r="L509" s="62"/>
      <c r="M509" s="61"/>
      <c r="N509" s="61"/>
      <c r="O509" s="61"/>
      <c r="P509" s="61"/>
      <c r="Q509" s="61"/>
      <c r="R509" s="61"/>
      <c r="S509" s="61"/>
      <c r="T509" s="61"/>
      <c r="U509" s="61"/>
      <c r="V509" s="61"/>
      <c r="W509" s="61"/>
      <c r="X509" s="345"/>
      <c r="Y509" s="345"/>
      <c r="Z509" s="61"/>
      <c r="AA509" s="63"/>
    </row>
    <row r="510" spans="1:27" s="64" customFormat="1" ht="13.8" thickBot="1" x14ac:dyDescent="0.3">
      <c r="A510" s="191"/>
      <c r="B510" s="263"/>
      <c r="C510" s="263"/>
      <c r="D510" s="263"/>
      <c r="E510" s="263"/>
      <c r="F510" s="263"/>
      <c r="G510" s="195"/>
      <c r="H510" s="263"/>
      <c r="I510" s="342"/>
      <c r="J510" s="342"/>
      <c r="K510" s="342"/>
      <c r="L510" s="342"/>
      <c r="M510" s="195"/>
      <c r="N510" s="195"/>
      <c r="O510" s="195"/>
      <c r="P510" s="195"/>
      <c r="Q510" s="195"/>
      <c r="R510" s="195"/>
      <c r="S510" s="195"/>
      <c r="T510" s="195"/>
      <c r="U510" s="195"/>
      <c r="V510" s="195"/>
      <c r="W510" s="195"/>
      <c r="X510" s="352"/>
      <c r="Y510" s="352"/>
      <c r="Z510" s="195"/>
      <c r="AA510" s="129"/>
    </row>
    <row r="511" spans="1:27" x14ac:dyDescent="0.25">
      <c r="A511" s="142"/>
      <c r="B511" s="142"/>
      <c r="C511" s="142"/>
      <c r="D511" s="142"/>
      <c r="E511" s="142"/>
      <c r="F511" s="142"/>
      <c r="J511" s="199"/>
      <c r="K511" s="199"/>
      <c r="L511" s="199"/>
      <c r="M511" s="199"/>
      <c r="N511" s="199"/>
      <c r="O511" s="66"/>
      <c r="P511" s="66"/>
      <c r="Q511" s="66"/>
      <c r="R511" s="66"/>
      <c r="S511" s="66"/>
      <c r="T511" s="66"/>
      <c r="U511" s="66"/>
      <c r="V511" s="66"/>
      <c r="W511" s="64"/>
    </row>
    <row r="512" spans="1:27" ht="13.8" thickBot="1" x14ac:dyDescent="0.3">
      <c r="A512" s="142"/>
      <c r="B512" s="142"/>
      <c r="C512" s="142"/>
      <c r="D512" s="142"/>
      <c r="E512" s="142"/>
      <c r="F512" s="142"/>
      <c r="J512" s="199"/>
      <c r="K512" s="199"/>
      <c r="N512" s="199"/>
      <c r="O512" s="66"/>
      <c r="P512" s="66"/>
      <c r="Q512" s="66"/>
      <c r="R512" s="66"/>
      <c r="S512" s="66"/>
      <c r="T512" s="66"/>
      <c r="U512" s="66"/>
      <c r="V512" s="66"/>
      <c r="W512" s="64"/>
    </row>
    <row r="513" spans="1:27" ht="13.8" thickBot="1" x14ac:dyDescent="0.3">
      <c r="A513" s="201" t="s">
        <v>25</v>
      </c>
      <c r="B513" s="198"/>
      <c r="C513" s="198"/>
      <c r="D513" s="198"/>
      <c r="E513" s="198"/>
      <c r="F513" s="198"/>
      <c r="G513" s="177"/>
      <c r="H513" s="177"/>
      <c r="I513" s="177"/>
      <c r="J513" s="177"/>
      <c r="K513" s="177"/>
      <c r="M513" s="177"/>
      <c r="N513" s="177"/>
      <c r="O513" s="200"/>
      <c r="P513" s="64"/>
      <c r="Q513" s="64"/>
      <c r="R513" s="64"/>
      <c r="S513" s="305"/>
      <c r="T513" s="305"/>
      <c r="U513" s="305"/>
      <c r="V513" s="305"/>
      <c r="W513" s="200"/>
    </row>
    <row r="514" spans="1:27" ht="15.75" customHeight="1" x14ac:dyDescent="0.25">
      <c r="A514" s="509" t="s">
        <v>558</v>
      </c>
      <c r="B514" s="499" t="s">
        <v>559</v>
      </c>
      <c r="C514" s="499" t="s">
        <v>11</v>
      </c>
      <c r="D514" s="499" t="s">
        <v>12</v>
      </c>
      <c r="E514" s="499" t="s">
        <v>13</v>
      </c>
      <c r="F514" s="499" t="s">
        <v>14</v>
      </c>
      <c r="G514" s="499" t="s">
        <v>15</v>
      </c>
      <c r="H514" s="499" t="s">
        <v>16</v>
      </c>
      <c r="I514" s="499" t="s">
        <v>26</v>
      </c>
      <c r="J514" s="499" t="s">
        <v>27</v>
      </c>
      <c r="K514" s="507" t="s">
        <v>279</v>
      </c>
      <c r="L514" s="178" t="s">
        <v>62</v>
      </c>
      <c r="M514" s="53" t="s">
        <v>63</v>
      </c>
      <c r="N514" s="180" t="s">
        <v>64</v>
      </c>
      <c r="O514" s="332"/>
      <c r="P514" s="179"/>
      <c r="Q514" s="179"/>
      <c r="R514" s="179"/>
      <c r="S514" s="179"/>
      <c r="T514" s="179"/>
      <c r="U514" s="179"/>
      <c r="V514" s="179"/>
      <c r="W514" s="179"/>
      <c r="X514" s="499" t="s">
        <v>22</v>
      </c>
      <c r="Y514" s="499" t="s">
        <v>23</v>
      </c>
      <c r="Z514" s="499" t="s">
        <v>24</v>
      </c>
      <c r="AA514" s="497" t="s">
        <v>330</v>
      </c>
    </row>
    <row r="515" spans="1:27" ht="32.1" customHeight="1" thickBot="1" x14ac:dyDescent="0.3">
      <c r="A515" s="510"/>
      <c r="B515" s="504"/>
      <c r="C515" s="504"/>
      <c r="D515" s="504"/>
      <c r="E515" s="504"/>
      <c r="F515" s="504"/>
      <c r="G515" s="500"/>
      <c r="H515" s="504"/>
      <c r="I515" s="504"/>
      <c r="J515" s="504"/>
      <c r="K515" s="508"/>
      <c r="L515" s="182" t="s">
        <v>65</v>
      </c>
      <c r="M515" s="183" t="s">
        <v>66</v>
      </c>
      <c r="N515" s="185" t="s">
        <v>67</v>
      </c>
      <c r="O515" s="333"/>
      <c r="P515" s="184"/>
      <c r="Q515" s="184"/>
      <c r="R515" s="184"/>
      <c r="S515" s="184"/>
      <c r="T515" s="184"/>
      <c r="U515" s="184"/>
      <c r="V515" s="184"/>
      <c r="W515" s="184"/>
      <c r="X515" s="504"/>
      <c r="Y515" s="504"/>
      <c r="Z515" s="504"/>
      <c r="AA515" s="498"/>
    </row>
    <row r="516" spans="1:27" s="64" customFormat="1" x14ac:dyDescent="0.25">
      <c r="A516" s="677" t="s">
        <v>1344</v>
      </c>
      <c r="B516" s="678"/>
      <c r="C516" s="678" t="s">
        <v>1675</v>
      </c>
      <c r="D516" s="678" t="s">
        <v>1114</v>
      </c>
      <c r="E516" s="678"/>
      <c r="F516" s="678" t="s">
        <v>51</v>
      </c>
      <c r="G516" s="679" t="s">
        <v>47</v>
      </c>
      <c r="H516" s="678" t="s">
        <v>1366</v>
      </c>
      <c r="I516" s="680"/>
      <c r="J516" s="680"/>
      <c r="K516" s="689">
        <v>1260</v>
      </c>
      <c r="L516" s="690" t="s">
        <v>55</v>
      </c>
      <c r="M516" s="679" t="s">
        <v>318</v>
      </c>
      <c r="N516" s="682" t="s">
        <v>55</v>
      </c>
      <c r="O516" s="691"/>
      <c r="P516" s="679"/>
      <c r="Q516" s="679"/>
      <c r="R516" s="679"/>
      <c r="S516" s="679"/>
      <c r="T516" s="679"/>
      <c r="U516" s="679"/>
      <c r="V516" s="679"/>
      <c r="W516" s="679"/>
      <c r="X516" s="681"/>
      <c r="Y516" s="681"/>
      <c r="Z516" s="679" t="s">
        <v>1367</v>
      </c>
      <c r="AA516" s="682" t="s">
        <v>304</v>
      </c>
    </row>
    <row r="517" spans="1:27" s="64" customFormat="1" x14ac:dyDescent="0.25">
      <c r="A517" s="677" t="s">
        <v>1344</v>
      </c>
      <c r="B517" s="678"/>
      <c r="C517" s="678" t="s">
        <v>1676</v>
      </c>
      <c r="D517" s="678" t="s">
        <v>1368</v>
      </c>
      <c r="E517" s="678"/>
      <c r="F517" s="678" t="s">
        <v>51</v>
      </c>
      <c r="G517" s="679" t="s">
        <v>47</v>
      </c>
      <c r="H517" s="678" t="s">
        <v>1366</v>
      </c>
      <c r="I517" s="680"/>
      <c r="J517" s="680"/>
      <c r="K517" s="689">
        <v>1260</v>
      </c>
      <c r="L517" s="690" t="s">
        <v>55</v>
      </c>
      <c r="M517" s="679" t="s">
        <v>318</v>
      </c>
      <c r="N517" s="682" t="s">
        <v>55</v>
      </c>
      <c r="O517" s="691"/>
      <c r="P517" s="679"/>
      <c r="Q517" s="679"/>
      <c r="R517" s="679"/>
      <c r="S517" s="679"/>
      <c r="T517" s="679"/>
      <c r="U517" s="679"/>
      <c r="V517" s="679"/>
      <c r="W517" s="679"/>
      <c r="X517" s="681"/>
      <c r="Y517" s="681"/>
      <c r="Z517" s="679" t="s">
        <v>1367</v>
      </c>
      <c r="AA517" s="682" t="s">
        <v>304</v>
      </c>
    </row>
    <row r="518" spans="1:27" s="64" customFormat="1" x14ac:dyDescent="0.25">
      <c r="A518" s="677" t="s">
        <v>1344</v>
      </c>
      <c r="B518" s="678"/>
      <c r="C518" s="678" t="s">
        <v>1675</v>
      </c>
      <c r="D518" s="678" t="s">
        <v>1114</v>
      </c>
      <c r="E518" s="678" t="s">
        <v>1369</v>
      </c>
      <c r="F518" s="678" t="s">
        <v>53</v>
      </c>
      <c r="G518" s="679" t="s">
        <v>47</v>
      </c>
      <c r="H518" s="678" t="s">
        <v>1366</v>
      </c>
      <c r="I518" s="680"/>
      <c r="J518" s="680"/>
      <c r="K518" s="689">
        <v>2960</v>
      </c>
      <c r="L518" s="690" t="s">
        <v>55</v>
      </c>
      <c r="M518" s="679" t="s">
        <v>318</v>
      </c>
      <c r="N518" s="682" t="s">
        <v>55</v>
      </c>
      <c r="O518" s="691"/>
      <c r="P518" s="679"/>
      <c r="Q518" s="679"/>
      <c r="R518" s="679"/>
      <c r="S518" s="679"/>
      <c r="T518" s="679"/>
      <c r="U518" s="679"/>
      <c r="V518" s="679"/>
      <c r="W518" s="679"/>
      <c r="X518" s="681"/>
      <c r="Y518" s="681"/>
      <c r="Z518" s="679" t="s">
        <v>1367</v>
      </c>
      <c r="AA518" s="682" t="s">
        <v>304</v>
      </c>
    </row>
    <row r="519" spans="1:27" s="64" customFormat="1" x14ac:dyDescent="0.25">
      <c r="A519" s="677" t="s">
        <v>1344</v>
      </c>
      <c r="B519" s="678"/>
      <c r="C519" s="678" t="s">
        <v>1675</v>
      </c>
      <c r="D519" s="678" t="s">
        <v>1114</v>
      </c>
      <c r="E519" s="678" t="s">
        <v>1373</v>
      </c>
      <c r="F519" s="678" t="s">
        <v>53</v>
      </c>
      <c r="G519" s="679" t="s">
        <v>47</v>
      </c>
      <c r="H519" s="678" t="s">
        <v>1366</v>
      </c>
      <c r="I519" s="680"/>
      <c r="J519" s="680"/>
      <c r="K519" s="689">
        <v>2730</v>
      </c>
      <c r="L519" s="690" t="s">
        <v>55</v>
      </c>
      <c r="M519" s="679" t="s">
        <v>318</v>
      </c>
      <c r="N519" s="682" t="s">
        <v>55</v>
      </c>
      <c r="O519" s="691"/>
      <c r="P519" s="679"/>
      <c r="Q519" s="679"/>
      <c r="R519" s="679"/>
      <c r="S519" s="679"/>
      <c r="T519" s="679"/>
      <c r="U519" s="679"/>
      <c r="V519" s="679"/>
      <c r="W519" s="679"/>
      <c r="X519" s="681"/>
      <c r="Y519" s="681"/>
      <c r="Z519" s="679" t="s">
        <v>1367</v>
      </c>
      <c r="AA519" s="682" t="s">
        <v>304</v>
      </c>
    </row>
    <row r="520" spans="1:27" s="64" customFormat="1" x14ac:dyDescent="0.25">
      <c r="A520" s="677" t="s">
        <v>1344</v>
      </c>
      <c r="B520" s="678"/>
      <c r="C520" s="678" t="s">
        <v>1675</v>
      </c>
      <c r="D520" s="678" t="s">
        <v>1114</v>
      </c>
      <c r="E520" s="678" t="s">
        <v>1374</v>
      </c>
      <c r="F520" s="678" t="s">
        <v>53</v>
      </c>
      <c r="G520" s="679" t="s">
        <v>47</v>
      </c>
      <c r="H520" s="678" t="s">
        <v>1366</v>
      </c>
      <c r="I520" s="680"/>
      <c r="J520" s="680"/>
      <c r="K520" s="689">
        <v>3210</v>
      </c>
      <c r="L520" s="690" t="s">
        <v>55</v>
      </c>
      <c r="M520" s="679" t="s">
        <v>318</v>
      </c>
      <c r="N520" s="682" t="s">
        <v>55</v>
      </c>
      <c r="O520" s="691"/>
      <c r="P520" s="679"/>
      <c r="Q520" s="679"/>
      <c r="R520" s="679"/>
      <c r="S520" s="679"/>
      <c r="T520" s="679"/>
      <c r="U520" s="679"/>
      <c r="V520" s="679"/>
      <c r="W520" s="679"/>
      <c r="X520" s="681"/>
      <c r="Y520" s="681"/>
      <c r="Z520" s="679" t="s">
        <v>1367</v>
      </c>
      <c r="AA520" s="682" t="s">
        <v>304</v>
      </c>
    </row>
    <row r="521" spans="1:27" s="64" customFormat="1" x14ac:dyDescent="0.25">
      <c r="A521" s="677" t="s">
        <v>1344</v>
      </c>
      <c r="B521" s="678"/>
      <c r="C521" s="678" t="s">
        <v>1675</v>
      </c>
      <c r="D521" s="678" t="s">
        <v>1114</v>
      </c>
      <c r="E521" s="678" t="s">
        <v>1379</v>
      </c>
      <c r="F521" s="678" t="s">
        <v>53</v>
      </c>
      <c r="G521" s="679" t="s">
        <v>47</v>
      </c>
      <c r="H521" s="678" t="s">
        <v>1366</v>
      </c>
      <c r="I521" s="680"/>
      <c r="J521" s="680"/>
      <c r="K521" s="689">
        <v>2730</v>
      </c>
      <c r="L521" s="690" t="s">
        <v>55</v>
      </c>
      <c r="M521" s="679" t="s">
        <v>318</v>
      </c>
      <c r="N521" s="682" t="s">
        <v>55</v>
      </c>
      <c r="O521" s="691"/>
      <c r="P521" s="679"/>
      <c r="Q521" s="679"/>
      <c r="R521" s="679"/>
      <c r="S521" s="679"/>
      <c r="T521" s="679"/>
      <c r="U521" s="679"/>
      <c r="V521" s="679"/>
      <c r="W521" s="679"/>
      <c r="X521" s="681"/>
      <c r="Y521" s="681"/>
      <c r="Z521" s="679" t="s">
        <v>1367</v>
      </c>
      <c r="AA521" s="682" t="s">
        <v>304</v>
      </c>
    </row>
    <row r="522" spans="1:27" s="64" customFormat="1" x14ac:dyDescent="0.25">
      <c r="A522" s="677" t="s">
        <v>1344</v>
      </c>
      <c r="B522" s="678"/>
      <c r="C522" s="678" t="s">
        <v>1677</v>
      </c>
      <c r="D522" s="678" t="s">
        <v>1114</v>
      </c>
      <c r="E522" s="678"/>
      <c r="F522" s="678" t="s">
        <v>51</v>
      </c>
      <c r="G522" s="679" t="s">
        <v>47</v>
      </c>
      <c r="H522" s="678" t="s">
        <v>1366</v>
      </c>
      <c r="I522" s="680"/>
      <c r="J522" s="680"/>
      <c r="K522" s="689">
        <v>1260</v>
      </c>
      <c r="L522" s="690" t="s">
        <v>55</v>
      </c>
      <c r="M522" s="679" t="s">
        <v>318</v>
      </c>
      <c r="N522" s="682" t="s">
        <v>55</v>
      </c>
      <c r="O522" s="691"/>
      <c r="P522" s="679"/>
      <c r="Q522" s="679"/>
      <c r="R522" s="679"/>
      <c r="S522" s="679"/>
      <c r="T522" s="679"/>
      <c r="U522" s="679"/>
      <c r="V522" s="679"/>
      <c r="W522" s="679"/>
      <c r="X522" s="681"/>
      <c r="Y522" s="681"/>
      <c r="Z522" s="679" t="s">
        <v>1367</v>
      </c>
      <c r="AA522" s="682" t="s">
        <v>304</v>
      </c>
    </row>
    <row r="523" spans="1:27" s="64" customFormat="1" x14ac:dyDescent="0.25">
      <c r="A523" s="677" t="s">
        <v>1344</v>
      </c>
      <c r="B523" s="678"/>
      <c r="C523" s="678" t="s">
        <v>1678</v>
      </c>
      <c r="D523" s="678" t="s">
        <v>1368</v>
      </c>
      <c r="E523" s="678"/>
      <c r="F523" s="678" t="s">
        <v>51</v>
      </c>
      <c r="G523" s="679" t="s">
        <v>47</v>
      </c>
      <c r="H523" s="678" t="s">
        <v>1366</v>
      </c>
      <c r="I523" s="680"/>
      <c r="J523" s="680"/>
      <c r="K523" s="689">
        <v>1260</v>
      </c>
      <c r="L523" s="690" t="s">
        <v>55</v>
      </c>
      <c r="M523" s="679" t="s">
        <v>318</v>
      </c>
      <c r="N523" s="682" t="s">
        <v>55</v>
      </c>
      <c r="O523" s="691"/>
      <c r="P523" s="679"/>
      <c r="Q523" s="679"/>
      <c r="R523" s="679"/>
      <c r="S523" s="679"/>
      <c r="T523" s="679"/>
      <c r="U523" s="679"/>
      <c r="V523" s="679"/>
      <c r="W523" s="679"/>
      <c r="X523" s="681"/>
      <c r="Y523" s="681"/>
      <c r="Z523" s="679" t="s">
        <v>1367</v>
      </c>
      <c r="AA523" s="682" t="s">
        <v>304</v>
      </c>
    </row>
    <row r="524" spans="1:27" s="64" customFormat="1" x14ac:dyDescent="0.25">
      <c r="A524" s="677" t="s">
        <v>1344</v>
      </c>
      <c r="B524" s="678"/>
      <c r="C524" s="678" t="s">
        <v>1677</v>
      </c>
      <c r="D524" s="678" t="s">
        <v>1114</v>
      </c>
      <c r="E524" s="678" t="s">
        <v>1369</v>
      </c>
      <c r="F524" s="678" t="s">
        <v>53</v>
      </c>
      <c r="G524" s="679" t="s">
        <v>47</v>
      </c>
      <c r="H524" s="678" t="s">
        <v>1366</v>
      </c>
      <c r="I524" s="680"/>
      <c r="J524" s="680"/>
      <c r="K524" s="689">
        <v>2960</v>
      </c>
      <c r="L524" s="690" t="s">
        <v>55</v>
      </c>
      <c r="M524" s="679" t="s">
        <v>318</v>
      </c>
      <c r="N524" s="682" t="s">
        <v>55</v>
      </c>
      <c r="O524" s="691"/>
      <c r="P524" s="679"/>
      <c r="Q524" s="679"/>
      <c r="R524" s="679"/>
      <c r="S524" s="679"/>
      <c r="T524" s="679"/>
      <c r="U524" s="679"/>
      <c r="V524" s="679"/>
      <c r="W524" s="679"/>
      <c r="X524" s="681"/>
      <c r="Y524" s="681"/>
      <c r="Z524" s="679" t="s">
        <v>1367</v>
      </c>
      <c r="AA524" s="682" t="s">
        <v>304</v>
      </c>
    </row>
    <row r="525" spans="1:27" s="64" customFormat="1" x14ac:dyDescent="0.25">
      <c r="A525" s="677" t="s">
        <v>1344</v>
      </c>
      <c r="B525" s="678"/>
      <c r="C525" s="678" t="s">
        <v>1677</v>
      </c>
      <c r="D525" s="678" t="s">
        <v>1114</v>
      </c>
      <c r="E525" s="678" t="s">
        <v>1373</v>
      </c>
      <c r="F525" s="678" t="s">
        <v>53</v>
      </c>
      <c r="G525" s="679" t="s">
        <v>47</v>
      </c>
      <c r="H525" s="678" t="s">
        <v>1366</v>
      </c>
      <c r="I525" s="680"/>
      <c r="J525" s="680"/>
      <c r="K525" s="689">
        <v>2730</v>
      </c>
      <c r="L525" s="690" t="s">
        <v>55</v>
      </c>
      <c r="M525" s="679" t="s">
        <v>318</v>
      </c>
      <c r="N525" s="682" t="s">
        <v>55</v>
      </c>
      <c r="O525" s="691"/>
      <c r="P525" s="679"/>
      <c r="Q525" s="679"/>
      <c r="R525" s="679"/>
      <c r="S525" s="679"/>
      <c r="T525" s="679"/>
      <c r="U525" s="679"/>
      <c r="V525" s="679"/>
      <c r="W525" s="679"/>
      <c r="X525" s="681"/>
      <c r="Y525" s="681"/>
      <c r="Z525" s="679" t="s">
        <v>1367</v>
      </c>
      <c r="AA525" s="682" t="s">
        <v>304</v>
      </c>
    </row>
    <row r="526" spans="1:27" s="64" customFormat="1" x14ac:dyDescent="0.25">
      <c r="A526" s="677" t="s">
        <v>1344</v>
      </c>
      <c r="B526" s="678"/>
      <c r="C526" s="678" t="s">
        <v>1677</v>
      </c>
      <c r="D526" s="678" t="s">
        <v>1114</v>
      </c>
      <c r="E526" s="678" t="s">
        <v>1374</v>
      </c>
      <c r="F526" s="678" t="s">
        <v>53</v>
      </c>
      <c r="G526" s="679" t="s">
        <v>47</v>
      </c>
      <c r="H526" s="678" t="s">
        <v>1366</v>
      </c>
      <c r="I526" s="680"/>
      <c r="J526" s="680"/>
      <c r="K526" s="689">
        <v>3210</v>
      </c>
      <c r="L526" s="690" t="s">
        <v>55</v>
      </c>
      <c r="M526" s="679" t="s">
        <v>318</v>
      </c>
      <c r="N526" s="682" t="s">
        <v>55</v>
      </c>
      <c r="O526" s="691"/>
      <c r="P526" s="679"/>
      <c r="Q526" s="679"/>
      <c r="R526" s="679"/>
      <c r="S526" s="679"/>
      <c r="T526" s="679"/>
      <c r="U526" s="679"/>
      <c r="V526" s="679"/>
      <c r="W526" s="679"/>
      <c r="X526" s="681"/>
      <c r="Y526" s="681"/>
      <c r="Z526" s="679" t="s">
        <v>1367</v>
      </c>
      <c r="AA526" s="682" t="s">
        <v>304</v>
      </c>
    </row>
    <row r="527" spans="1:27" s="64" customFormat="1" x14ac:dyDescent="0.25">
      <c r="A527" s="677" t="s">
        <v>1344</v>
      </c>
      <c r="B527" s="678"/>
      <c r="C527" s="678" t="s">
        <v>1677</v>
      </c>
      <c r="D527" s="678" t="s">
        <v>1114</v>
      </c>
      <c r="E527" s="678" t="s">
        <v>1379</v>
      </c>
      <c r="F527" s="678" t="s">
        <v>53</v>
      </c>
      <c r="G527" s="679" t="s">
        <v>47</v>
      </c>
      <c r="H527" s="678" t="s">
        <v>1366</v>
      </c>
      <c r="I527" s="680"/>
      <c r="J527" s="680"/>
      <c r="K527" s="689">
        <v>2730</v>
      </c>
      <c r="L527" s="690" t="s">
        <v>55</v>
      </c>
      <c r="M527" s="679" t="s">
        <v>318</v>
      </c>
      <c r="N527" s="682" t="s">
        <v>55</v>
      </c>
      <c r="O527" s="691"/>
      <c r="P527" s="679"/>
      <c r="Q527" s="679"/>
      <c r="R527" s="679"/>
      <c r="S527" s="679"/>
      <c r="T527" s="679"/>
      <c r="U527" s="679"/>
      <c r="V527" s="679"/>
      <c r="W527" s="679"/>
      <c r="X527" s="681"/>
      <c r="Y527" s="681"/>
      <c r="Z527" s="679" t="s">
        <v>1367</v>
      </c>
      <c r="AA527" s="682" t="s">
        <v>304</v>
      </c>
    </row>
    <row r="528" spans="1:27" s="64" customFormat="1" x14ac:dyDescent="0.25">
      <c r="A528" s="677" t="s">
        <v>1344</v>
      </c>
      <c r="B528" s="678"/>
      <c r="C528" s="678" t="s">
        <v>1347</v>
      </c>
      <c r="D528" s="678" t="s">
        <v>1114</v>
      </c>
      <c r="E528" s="678"/>
      <c r="F528" s="678" t="s">
        <v>51</v>
      </c>
      <c r="G528" s="679" t="s">
        <v>47</v>
      </c>
      <c r="H528" s="678" t="s">
        <v>1366</v>
      </c>
      <c r="I528" s="680"/>
      <c r="J528" s="680"/>
      <c r="K528" s="689">
        <v>1260</v>
      </c>
      <c r="L528" s="690" t="s">
        <v>55</v>
      </c>
      <c r="M528" s="679" t="s">
        <v>318</v>
      </c>
      <c r="N528" s="682" t="s">
        <v>55</v>
      </c>
      <c r="O528" s="691"/>
      <c r="P528" s="679"/>
      <c r="Q528" s="679"/>
      <c r="R528" s="679"/>
      <c r="S528" s="679"/>
      <c r="T528" s="679"/>
      <c r="U528" s="679"/>
      <c r="V528" s="679"/>
      <c r="W528" s="679"/>
      <c r="X528" s="681"/>
      <c r="Y528" s="681"/>
      <c r="Z528" s="679" t="s">
        <v>1367</v>
      </c>
      <c r="AA528" s="682" t="s">
        <v>304</v>
      </c>
    </row>
    <row r="529" spans="1:27" s="64" customFormat="1" x14ac:dyDescent="0.25">
      <c r="A529" s="677" t="s">
        <v>1344</v>
      </c>
      <c r="B529" s="678"/>
      <c r="C529" s="678" t="s">
        <v>1347</v>
      </c>
      <c r="D529" s="678" t="s">
        <v>1368</v>
      </c>
      <c r="E529" s="678"/>
      <c r="F529" s="678" t="s">
        <v>51</v>
      </c>
      <c r="G529" s="679" t="s">
        <v>47</v>
      </c>
      <c r="H529" s="678" t="s">
        <v>1366</v>
      </c>
      <c r="I529" s="680"/>
      <c r="J529" s="680"/>
      <c r="K529" s="689">
        <v>1260</v>
      </c>
      <c r="L529" s="690" t="s">
        <v>55</v>
      </c>
      <c r="M529" s="679" t="s">
        <v>318</v>
      </c>
      <c r="N529" s="682" t="s">
        <v>55</v>
      </c>
      <c r="O529" s="691"/>
      <c r="P529" s="679"/>
      <c r="Q529" s="679"/>
      <c r="R529" s="679"/>
      <c r="S529" s="679"/>
      <c r="T529" s="679"/>
      <c r="U529" s="679"/>
      <c r="V529" s="679"/>
      <c r="W529" s="679"/>
      <c r="X529" s="681"/>
      <c r="Y529" s="681"/>
      <c r="Z529" s="679" t="s">
        <v>1367</v>
      </c>
      <c r="AA529" s="682" t="s">
        <v>304</v>
      </c>
    </row>
    <row r="530" spans="1:27" s="64" customFormat="1" x14ac:dyDescent="0.25">
      <c r="A530" s="677" t="s">
        <v>1344</v>
      </c>
      <c r="B530" s="678"/>
      <c r="C530" s="678" t="s">
        <v>1347</v>
      </c>
      <c r="D530" s="678" t="s">
        <v>1114</v>
      </c>
      <c r="E530" s="678" t="s">
        <v>1369</v>
      </c>
      <c r="F530" s="678" t="s">
        <v>53</v>
      </c>
      <c r="G530" s="679" t="s">
        <v>47</v>
      </c>
      <c r="H530" s="678" t="s">
        <v>1366</v>
      </c>
      <c r="I530" s="680"/>
      <c r="J530" s="680"/>
      <c r="K530" s="689">
        <v>2960</v>
      </c>
      <c r="L530" s="690" t="s">
        <v>55</v>
      </c>
      <c r="M530" s="679" t="s">
        <v>318</v>
      </c>
      <c r="N530" s="682" t="s">
        <v>55</v>
      </c>
      <c r="O530" s="691"/>
      <c r="P530" s="679"/>
      <c r="Q530" s="679"/>
      <c r="R530" s="679"/>
      <c r="S530" s="679"/>
      <c r="T530" s="679"/>
      <c r="U530" s="679"/>
      <c r="V530" s="679"/>
      <c r="W530" s="679"/>
      <c r="X530" s="681"/>
      <c r="Y530" s="681"/>
      <c r="Z530" s="679" t="s">
        <v>1367</v>
      </c>
      <c r="AA530" s="682" t="s">
        <v>304</v>
      </c>
    </row>
    <row r="531" spans="1:27" s="64" customFormat="1" x14ac:dyDescent="0.25">
      <c r="A531" s="677" t="s">
        <v>1344</v>
      </c>
      <c r="B531" s="678"/>
      <c r="C531" s="678" t="s">
        <v>1347</v>
      </c>
      <c r="D531" s="678" t="s">
        <v>1114</v>
      </c>
      <c r="E531" s="678" t="s">
        <v>1373</v>
      </c>
      <c r="F531" s="678" t="s">
        <v>53</v>
      </c>
      <c r="G531" s="679" t="s">
        <v>47</v>
      </c>
      <c r="H531" s="678" t="s">
        <v>1366</v>
      </c>
      <c r="I531" s="680"/>
      <c r="J531" s="680"/>
      <c r="K531" s="689">
        <v>2730</v>
      </c>
      <c r="L531" s="690" t="s">
        <v>55</v>
      </c>
      <c r="M531" s="679" t="s">
        <v>318</v>
      </c>
      <c r="N531" s="682" t="s">
        <v>55</v>
      </c>
      <c r="O531" s="691"/>
      <c r="P531" s="679"/>
      <c r="Q531" s="679"/>
      <c r="R531" s="679"/>
      <c r="S531" s="679"/>
      <c r="T531" s="679"/>
      <c r="U531" s="679"/>
      <c r="V531" s="679"/>
      <c r="W531" s="679"/>
      <c r="X531" s="681"/>
      <c r="Y531" s="681"/>
      <c r="Z531" s="679" t="s">
        <v>1367</v>
      </c>
      <c r="AA531" s="682" t="s">
        <v>304</v>
      </c>
    </row>
    <row r="532" spans="1:27" s="64" customFormat="1" x14ac:dyDescent="0.25">
      <c r="A532" s="677" t="s">
        <v>1344</v>
      </c>
      <c r="B532" s="678"/>
      <c r="C532" s="678" t="s">
        <v>1347</v>
      </c>
      <c r="D532" s="678" t="s">
        <v>1114</v>
      </c>
      <c r="E532" s="678" t="s">
        <v>1374</v>
      </c>
      <c r="F532" s="678" t="s">
        <v>53</v>
      </c>
      <c r="G532" s="679" t="s">
        <v>47</v>
      </c>
      <c r="H532" s="678" t="s">
        <v>1366</v>
      </c>
      <c r="I532" s="680"/>
      <c r="J532" s="680"/>
      <c r="K532" s="689">
        <v>3210</v>
      </c>
      <c r="L532" s="690" t="s">
        <v>55</v>
      </c>
      <c r="M532" s="679" t="s">
        <v>318</v>
      </c>
      <c r="N532" s="682" t="s">
        <v>55</v>
      </c>
      <c r="O532" s="691"/>
      <c r="P532" s="679"/>
      <c r="Q532" s="679"/>
      <c r="R532" s="679"/>
      <c r="S532" s="679"/>
      <c r="T532" s="679"/>
      <c r="U532" s="679"/>
      <c r="V532" s="679"/>
      <c r="W532" s="679"/>
      <c r="X532" s="681"/>
      <c r="Y532" s="681"/>
      <c r="Z532" s="679" t="s">
        <v>1367</v>
      </c>
      <c r="AA532" s="682" t="s">
        <v>304</v>
      </c>
    </row>
    <row r="533" spans="1:27" s="64" customFormat="1" x14ac:dyDescent="0.25">
      <c r="A533" s="677" t="s">
        <v>1344</v>
      </c>
      <c r="B533" s="678"/>
      <c r="C533" s="678" t="s">
        <v>1347</v>
      </c>
      <c r="D533" s="678" t="s">
        <v>1114</v>
      </c>
      <c r="E533" s="678" t="s">
        <v>1379</v>
      </c>
      <c r="F533" s="678" t="s">
        <v>53</v>
      </c>
      <c r="G533" s="679" t="s">
        <v>47</v>
      </c>
      <c r="H533" s="678" t="s">
        <v>1366</v>
      </c>
      <c r="I533" s="680"/>
      <c r="J533" s="680"/>
      <c r="K533" s="689">
        <v>2730</v>
      </c>
      <c r="L533" s="690" t="s">
        <v>55</v>
      </c>
      <c r="M533" s="679" t="s">
        <v>318</v>
      </c>
      <c r="N533" s="682" t="s">
        <v>55</v>
      </c>
      <c r="O533" s="691"/>
      <c r="P533" s="679"/>
      <c r="Q533" s="679"/>
      <c r="R533" s="679"/>
      <c r="S533" s="679"/>
      <c r="T533" s="679"/>
      <c r="U533" s="679"/>
      <c r="V533" s="679"/>
      <c r="W533" s="679"/>
      <c r="X533" s="681"/>
      <c r="Y533" s="681"/>
      <c r="Z533" s="679" t="s">
        <v>1367</v>
      </c>
      <c r="AA533" s="682" t="s">
        <v>304</v>
      </c>
    </row>
    <row r="534" spans="1:27" s="64" customFormat="1" x14ac:dyDescent="0.25">
      <c r="A534" s="677" t="s">
        <v>1344</v>
      </c>
      <c r="B534" s="678"/>
      <c r="C534" s="678" t="s">
        <v>1347</v>
      </c>
      <c r="D534" s="678" t="s">
        <v>1368</v>
      </c>
      <c r="E534" s="678" t="s">
        <v>1379</v>
      </c>
      <c r="F534" s="678" t="s">
        <v>53</v>
      </c>
      <c r="G534" s="679" t="s">
        <v>47</v>
      </c>
      <c r="H534" s="678" t="s">
        <v>1366</v>
      </c>
      <c r="I534" s="680"/>
      <c r="J534" s="680"/>
      <c r="K534" s="689">
        <v>2730</v>
      </c>
      <c r="L534" s="690" t="s">
        <v>55</v>
      </c>
      <c r="M534" s="679" t="s">
        <v>318</v>
      </c>
      <c r="N534" s="682" t="s">
        <v>55</v>
      </c>
      <c r="O534" s="691"/>
      <c r="P534" s="679"/>
      <c r="Q534" s="679"/>
      <c r="R534" s="679"/>
      <c r="S534" s="679"/>
      <c r="T534" s="679"/>
      <c r="U534" s="679"/>
      <c r="V534" s="679"/>
      <c r="W534" s="679"/>
      <c r="X534" s="681"/>
      <c r="Y534" s="681"/>
      <c r="Z534" s="679" t="s">
        <v>1367</v>
      </c>
      <c r="AA534" s="682" t="s">
        <v>304</v>
      </c>
    </row>
    <row r="535" spans="1:27" s="64" customFormat="1" x14ac:dyDescent="0.25">
      <c r="A535" s="677" t="s">
        <v>1344</v>
      </c>
      <c r="B535" s="678"/>
      <c r="C535" s="678" t="s">
        <v>1392</v>
      </c>
      <c r="D535" s="678" t="s">
        <v>1114</v>
      </c>
      <c r="E535" s="678"/>
      <c r="F535" s="678" t="s">
        <v>51</v>
      </c>
      <c r="G535" s="679" t="s">
        <v>47</v>
      </c>
      <c r="H535" s="678" t="s">
        <v>1366</v>
      </c>
      <c r="I535" s="680"/>
      <c r="J535" s="680"/>
      <c r="K535" s="689">
        <v>1260</v>
      </c>
      <c r="L535" s="690" t="s">
        <v>55</v>
      </c>
      <c r="M535" s="679" t="s">
        <v>318</v>
      </c>
      <c r="N535" s="682" t="s">
        <v>55</v>
      </c>
      <c r="O535" s="691"/>
      <c r="P535" s="679"/>
      <c r="Q535" s="679"/>
      <c r="R535" s="679"/>
      <c r="S535" s="679"/>
      <c r="T535" s="679"/>
      <c r="U535" s="679"/>
      <c r="V535" s="679"/>
      <c r="W535" s="679"/>
      <c r="X535" s="681"/>
      <c r="Y535" s="681"/>
      <c r="Z535" s="679" t="s">
        <v>1367</v>
      </c>
      <c r="AA535" s="682" t="s">
        <v>304</v>
      </c>
    </row>
    <row r="536" spans="1:27" s="64" customFormat="1" x14ac:dyDescent="0.25">
      <c r="A536" s="677" t="s">
        <v>1344</v>
      </c>
      <c r="B536" s="678"/>
      <c r="C536" s="678" t="s">
        <v>1392</v>
      </c>
      <c r="D536" s="678" t="s">
        <v>1368</v>
      </c>
      <c r="E536" s="678"/>
      <c r="F536" s="678" t="s">
        <v>51</v>
      </c>
      <c r="G536" s="679" t="s">
        <v>47</v>
      </c>
      <c r="H536" s="678" t="s">
        <v>1366</v>
      </c>
      <c r="I536" s="680"/>
      <c r="J536" s="680"/>
      <c r="K536" s="689">
        <v>1260</v>
      </c>
      <c r="L536" s="690" t="s">
        <v>55</v>
      </c>
      <c r="M536" s="679" t="s">
        <v>318</v>
      </c>
      <c r="N536" s="682" t="s">
        <v>55</v>
      </c>
      <c r="O536" s="691"/>
      <c r="P536" s="679"/>
      <c r="Q536" s="679"/>
      <c r="R536" s="679"/>
      <c r="S536" s="679"/>
      <c r="T536" s="679"/>
      <c r="U536" s="679"/>
      <c r="V536" s="679"/>
      <c r="W536" s="679"/>
      <c r="X536" s="681"/>
      <c r="Y536" s="681"/>
      <c r="Z536" s="679" t="s">
        <v>1367</v>
      </c>
      <c r="AA536" s="682" t="s">
        <v>304</v>
      </c>
    </row>
    <row r="537" spans="1:27" s="64" customFormat="1" x14ac:dyDescent="0.25">
      <c r="A537" s="677" t="s">
        <v>1344</v>
      </c>
      <c r="B537" s="678"/>
      <c r="C537" s="678" t="s">
        <v>1392</v>
      </c>
      <c r="D537" s="678" t="s">
        <v>1114</v>
      </c>
      <c r="E537" s="678" t="s">
        <v>1369</v>
      </c>
      <c r="F537" s="678" t="s">
        <v>53</v>
      </c>
      <c r="G537" s="679" t="s">
        <v>47</v>
      </c>
      <c r="H537" s="678" t="s">
        <v>1366</v>
      </c>
      <c r="I537" s="680"/>
      <c r="J537" s="680"/>
      <c r="K537" s="689">
        <v>2960</v>
      </c>
      <c r="L537" s="690" t="s">
        <v>55</v>
      </c>
      <c r="M537" s="679" t="s">
        <v>318</v>
      </c>
      <c r="N537" s="682" t="s">
        <v>55</v>
      </c>
      <c r="O537" s="691"/>
      <c r="P537" s="679"/>
      <c r="Q537" s="679"/>
      <c r="R537" s="679"/>
      <c r="S537" s="679"/>
      <c r="T537" s="679"/>
      <c r="U537" s="679"/>
      <c r="V537" s="679"/>
      <c r="W537" s="679"/>
      <c r="X537" s="681"/>
      <c r="Y537" s="681"/>
      <c r="Z537" s="679" t="s">
        <v>1367</v>
      </c>
      <c r="AA537" s="682" t="s">
        <v>304</v>
      </c>
    </row>
    <row r="538" spans="1:27" s="64" customFormat="1" x14ac:dyDescent="0.25">
      <c r="A538" s="677" t="s">
        <v>1344</v>
      </c>
      <c r="B538" s="678"/>
      <c r="C538" s="678" t="s">
        <v>1392</v>
      </c>
      <c r="D538" s="678" t="s">
        <v>1114</v>
      </c>
      <c r="E538" s="678" t="s">
        <v>1373</v>
      </c>
      <c r="F538" s="678" t="s">
        <v>53</v>
      </c>
      <c r="G538" s="679" t="s">
        <v>47</v>
      </c>
      <c r="H538" s="678" t="s">
        <v>1366</v>
      </c>
      <c r="I538" s="680"/>
      <c r="J538" s="680"/>
      <c r="K538" s="689">
        <v>2730</v>
      </c>
      <c r="L538" s="690" t="s">
        <v>55</v>
      </c>
      <c r="M538" s="679" t="s">
        <v>318</v>
      </c>
      <c r="N538" s="682" t="s">
        <v>55</v>
      </c>
      <c r="O538" s="691"/>
      <c r="P538" s="679"/>
      <c r="Q538" s="679"/>
      <c r="R538" s="679"/>
      <c r="S538" s="679"/>
      <c r="T538" s="679"/>
      <c r="U538" s="679"/>
      <c r="V538" s="679"/>
      <c r="W538" s="679"/>
      <c r="X538" s="681"/>
      <c r="Y538" s="681"/>
      <c r="Z538" s="679" t="s">
        <v>1367</v>
      </c>
      <c r="AA538" s="682" t="s">
        <v>304</v>
      </c>
    </row>
    <row r="539" spans="1:27" s="64" customFormat="1" x14ac:dyDescent="0.25">
      <c r="A539" s="677" t="s">
        <v>1344</v>
      </c>
      <c r="B539" s="678"/>
      <c r="C539" s="678" t="s">
        <v>1392</v>
      </c>
      <c r="D539" s="678" t="s">
        <v>1114</v>
      </c>
      <c r="E539" s="678" t="s">
        <v>1374</v>
      </c>
      <c r="F539" s="678" t="s">
        <v>53</v>
      </c>
      <c r="G539" s="679" t="s">
        <v>47</v>
      </c>
      <c r="H539" s="678" t="s">
        <v>1366</v>
      </c>
      <c r="I539" s="680"/>
      <c r="J539" s="680"/>
      <c r="K539" s="689">
        <v>3210</v>
      </c>
      <c r="L539" s="690" t="s">
        <v>55</v>
      </c>
      <c r="M539" s="679" t="s">
        <v>318</v>
      </c>
      <c r="N539" s="682" t="s">
        <v>55</v>
      </c>
      <c r="O539" s="691"/>
      <c r="P539" s="679"/>
      <c r="Q539" s="679"/>
      <c r="R539" s="679"/>
      <c r="S539" s="679"/>
      <c r="T539" s="679"/>
      <c r="U539" s="679"/>
      <c r="V539" s="679"/>
      <c r="W539" s="679"/>
      <c r="X539" s="681"/>
      <c r="Y539" s="681"/>
      <c r="Z539" s="679" t="s">
        <v>1367</v>
      </c>
      <c r="AA539" s="682" t="s">
        <v>304</v>
      </c>
    </row>
    <row r="540" spans="1:27" s="64" customFormat="1" x14ac:dyDescent="0.25">
      <c r="A540" s="677" t="s">
        <v>1344</v>
      </c>
      <c r="B540" s="678"/>
      <c r="C540" s="678" t="s">
        <v>1392</v>
      </c>
      <c r="D540" s="678" t="s">
        <v>1114</v>
      </c>
      <c r="E540" s="678" t="s">
        <v>1379</v>
      </c>
      <c r="F540" s="678" t="s">
        <v>53</v>
      </c>
      <c r="G540" s="679" t="s">
        <v>47</v>
      </c>
      <c r="H540" s="678" t="s">
        <v>1366</v>
      </c>
      <c r="I540" s="680"/>
      <c r="J540" s="680"/>
      <c r="K540" s="689">
        <v>2730</v>
      </c>
      <c r="L540" s="690" t="s">
        <v>55</v>
      </c>
      <c r="M540" s="679" t="s">
        <v>318</v>
      </c>
      <c r="N540" s="682" t="s">
        <v>55</v>
      </c>
      <c r="O540" s="691"/>
      <c r="P540" s="679"/>
      <c r="Q540" s="679"/>
      <c r="R540" s="679"/>
      <c r="S540" s="679"/>
      <c r="T540" s="679"/>
      <c r="U540" s="679"/>
      <c r="V540" s="679"/>
      <c r="W540" s="679"/>
      <c r="X540" s="681"/>
      <c r="Y540" s="681"/>
      <c r="Z540" s="679" t="s">
        <v>1367</v>
      </c>
      <c r="AA540" s="682" t="s">
        <v>304</v>
      </c>
    </row>
    <row r="541" spans="1:27" s="64" customFormat="1" x14ac:dyDescent="0.25">
      <c r="A541" s="677" t="s">
        <v>1344</v>
      </c>
      <c r="B541" s="678"/>
      <c r="C541" s="678" t="s">
        <v>1362</v>
      </c>
      <c r="D541" s="678" t="s">
        <v>1114</v>
      </c>
      <c r="E541" s="678"/>
      <c r="F541" s="678" t="s">
        <v>51</v>
      </c>
      <c r="G541" s="679" t="s">
        <v>47</v>
      </c>
      <c r="H541" s="678" t="s">
        <v>1366</v>
      </c>
      <c r="I541" s="680"/>
      <c r="J541" s="680"/>
      <c r="K541" s="689">
        <v>1260</v>
      </c>
      <c r="L541" s="690" t="s">
        <v>55</v>
      </c>
      <c r="M541" s="679" t="s">
        <v>318</v>
      </c>
      <c r="N541" s="682" t="s">
        <v>55</v>
      </c>
      <c r="O541" s="691"/>
      <c r="P541" s="679"/>
      <c r="Q541" s="679"/>
      <c r="R541" s="679"/>
      <c r="S541" s="679"/>
      <c r="T541" s="679"/>
      <c r="U541" s="679"/>
      <c r="V541" s="679"/>
      <c r="W541" s="679"/>
      <c r="X541" s="681"/>
      <c r="Y541" s="681"/>
      <c r="Z541" s="679" t="s">
        <v>1367</v>
      </c>
      <c r="AA541" s="682" t="s">
        <v>304</v>
      </c>
    </row>
    <row r="542" spans="1:27" s="64" customFormat="1" x14ac:dyDescent="0.25">
      <c r="A542" s="677" t="s">
        <v>1344</v>
      </c>
      <c r="B542" s="678"/>
      <c r="C542" s="678" t="s">
        <v>1362</v>
      </c>
      <c r="D542" s="678" t="s">
        <v>1368</v>
      </c>
      <c r="E542" s="678"/>
      <c r="F542" s="678" t="s">
        <v>51</v>
      </c>
      <c r="G542" s="679" t="s">
        <v>47</v>
      </c>
      <c r="H542" s="678" t="s">
        <v>1366</v>
      </c>
      <c r="I542" s="680"/>
      <c r="J542" s="680"/>
      <c r="K542" s="689">
        <v>1260</v>
      </c>
      <c r="L542" s="690" t="s">
        <v>55</v>
      </c>
      <c r="M542" s="679" t="s">
        <v>318</v>
      </c>
      <c r="N542" s="682" t="s">
        <v>55</v>
      </c>
      <c r="O542" s="691"/>
      <c r="P542" s="679"/>
      <c r="Q542" s="679"/>
      <c r="R542" s="679"/>
      <c r="S542" s="679"/>
      <c r="T542" s="679"/>
      <c r="U542" s="679"/>
      <c r="V542" s="679"/>
      <c r="W542" s="679"/>
      <c r="X542" s="681"/>
      <c r="Y542" s="681"/>
      <c r="Z542" s="679" t="s">
        <v>1367</v>
      </c>
      <c r="AA542" s="682" t="s">
        <v>304</v>
      </c>
    </row>
    <row r="543" spans="1:27" s="64" customFormat="1" x14ac:dyDescent="0.25">
      <c r="A543" s="677" t="s">
        <v>1344</v>
      </c>
      <c r="B543" s="678"/>
      <c r="C543" s="678" t="s">
        <v>1362</v>
      </c>
      <c r="D543" s="678" t="s">
        <v>1114</v>
      </c>
      <c r="E543" s="678" t="s">
        <v>1369</v>
      </c>
      <c r="F543" s="678" t="s">
        <v>53</v>
      </c>
      <c r="G543" s="679" t="s">
        <v>47</v>
      </c>
      <c r="H543" s="678" t="s">
        <v>1366</v>
      </c>
      <c r="I543" s="680"/>
      <c r="J543" s="680"/>
      <c r="K543" s="689">
        <v>2960</v>
      </c>
      <c r="L543" s="690" t="s">
        <v>55</v>
      </c>
      <c r="M543" s="679" t="s">
        <v>318</v>
      </c>
      <c r="N543" s="682" t="s">
        <v>55</v>
      </c>
      <c r="O543" s="691"/>
      <c r="P543" s="679"/>
      <c r="Q543" s="679"/>
      <c r="R543" s="679"/>
      <c r="S543" s="679"/>
      <c r="T543" s="679"/>
      <c r="U543" s="679"/>
      <c r="V543" s="679"/>
      <c r="W543" s="679"/>
      <c r="X543" s="681"/>
      <c r="Y543" s="681"/>
      <c r="Z543" s="679" t="s">
        <v>1367</v>
      </c>
      <c r="AA543" s="682" t="s">
        <v>304</v>
      </c>
    </row>
    <row r="544" spans="1:27" s="64" customFormat="1" x14ac:dyDescent="0.25">
      <c r="A544" s="677" t="s">
        <v>1344</v>
      </c>
      <c r="B544" s="678"/>
      <c r="C544" s="678" t="s">
        <v>1362</v>
      </c>
      <c r="D544" s="678" t="s">
        <v>1114</v>
      </c>
      <c r="E544" s="678" t="s">
        <v>1373</v>
      </c>
      <c r="F544" s="678" t="s">
        <v>53</v>
      </c>
      <c r="G544" s="679" t="s">
        <v>47</v>
      </c>
      <c r="H544" s="678" t="s">
        <v>1366</v>
      </c>
      <c r="I544" s="680"/>
      <c r="J544" s="680"/>
      <c r="K544" s="689">
        <v>2730</v>
      </c>
      <c r="L544" s="690" t="s">
        <v>55</v>
      </c>
      <c r="M544" s="679" t="s">
        <v>318</v>
      </c>
      <c r="N544" s="682" t="s">
        <v>55</v>
      </c>
      <c r="O544" s="691"/>
      <c r="P544" s="679"/>
      <c r="Q544" s="679"/>
      <c r="R544" s="679"/>
      <c r="S544" s="679"/>
      <c r="T544" s="679"/>
      <c r="U544" s="679"/>
      <c r="V544" s="679"/>
      <c r="W544" s="679"/>
      <c r="X544" s="681"/>
      <c r="Y544" s="681"/>
      <c r="Z544" s="679" t="s">
        <v>1367</v>
      </c>
      <c r="AA544" s="682" t="s">
        <v>304</v>
      </c>
    </row>
    <row r="545" spans="1:27" s="64" customFormat="1" x14ac:dyDescent="0.25">
      <c r="A545" s="677" t="s">
        <v>1344</v>
      </c>
      <c r="B545" s="678"/>
      <c r="C545" s="678" t="s">
        <v>1362</v>
      </c>
      <c r="D545" s="678" t="s">
        <v>1114</v>
      </c>
      <c r="E545" s="678" t="s">
        <v>1374</v>
      </c>
      <c r="F545" s="678" t="s">
        <v>53</v>
      </c>
      <c r="G545" s="679" t="s">
        <v>47</v>
      </c>
      <c r="H545" s="678" t="s">
        <v>1366</v>
      </c>
      <c r="I545" s="680"/>
      <c r="J545" s="680"/>
      <c r="K545" s="689">
        <v>3210</v>
      </c>
      <c r="L545" s="690" t="s">
        <v>55</v>
      </c>
      <c r="M545" s="679" t="s">
        <v>318</v>
      </c>
      <c r="N545" s="682" t="s">
        <v>55</v>
      </c>
      <c r="O545" s="691"/>
      <c r="P545" s="679"/>
      <c r="Q545" s="679"/>
      <c r="R545" s="679"/>
      <c r="S545" s="679"/>
      <c r="T545" s="679"/>
      <c r="U545" s="679"/>
      <c r="V545" s="679"/>
      <c r="W545" s="679"/>
      <c r="X545" s="681"/>
      <c r="Y545" s="681"/>
      <c r="Z545" s="679" t="s">
        <v>1367</v>
      </c>
      <c r="AA545" s="682" t="s">
        <v>304</v>
      </c>
    </row>
    <row r="546" spans="1:27" s="64" customFormat="1" x14ac:dyDescent="0.25">
      <c r="A546" s="677" t="s">
        <v>1344</v>
      </c>
      <c r="B546" s="678"/>
      <c r="C546" s="678" t="s">
        <v>1362</v>
      </c>
      <c r="D546" s="678" t="s">
        <v>1114</v>
      </c>
      <c r="E546" s="678" t="s">
        <v>1379</v>
      </c>
      <c r="F546" s="678" t="s">
        <v>53</v>
      </c>
      <c r="G546" s="679" t="s">
        <v>47</v>
      </c>
      <c r="H546" s="678" t="s">
        <v>1366</v>
      </c>
      <c r="I546" s="680"/>
      <c r="J546" s="680"/>
      <c r="K546" s="689">
        <v>2730</v>
      </c>
      <c r="L546" s="690" t="s">
        <v>55</v>
      </c>
      <c r="M546" s="679" t="s">
        <v>318</v>
      </c>
      <c r="N546" s="682" t="s">
        <v>55</v>
      </c>
      <c r="O546" s="691"/>
      <c r="P546" s="679"/>
      <c r="Q546" s="679"/>
      <c r="R546" s="679"/>
      <c r="S546" s="679"/>
      <c r="T546" s="679"/>
      <c r="U546" s="679"/>
      <c r="V546" s="679"/>
      <c r="W546" s="679"/>
      <c r="X546" s="681"/>
      <c r="Y546" s="681"/>
      <c r="Z546" s="679" t="s">
        <v>1367</v>
      </c>
      <c r="AA546" s="682" t="s">
        <v>304</v>
      </c>
    </row>
    <row r="547" spans="1:27" s="64" customFormat="1" x14ac:dyDescent="0.25">
      <c r="A547" s="677" t="s">
        <v>1345</v>
      </c>
      <c r="B547" s="678"/>
      <c r="C547" s="678" t="s">
        <v>1352</v>
      </c>
      <c r="D547" s="678" t="s">
        <v>1393</v>
      </c>
      <c r="E547" s="678"/>
      <c r="F547" s="678" t="s">
        <v>51</v>
      </c>
      <c r="G547" s="679" t="s">
        <v>47</v>
      </c>
      <c r="H547" s="678" t="s">
        <v>1366</v>
      </c>
      <c r="I547" s="680"/>
      <c r="J547" s="680"/>
      <c r="K547" s="689">
        <v>1260</v>
      </c>
      <c r="L547" s="690" t="s">
        <v>55</v>
      </c>
      <c r="M547" s="679" t="s">
        <v>318</v>
      </c>
      <c r="N547" s="682" t="s">
        <v>55</v>
      </c>
      <c r="O547" s="691"/>
      <c r="P547" s="679"/>
      <c r="Q547" s="679"/>
      <c r="R547" s="679"/>
      <c r="S547" s="679"/>
      <c r="T547" s="679"/>
      <c r="U547" s="679"/>
      <c r="V547" s="679"/>
      <c r="W547" s="679"/>
      <c r="X547" s="681"/>
      <c r="Y547" s="681"/>
      <c r="Z547" s="679" t="s">
        <v>1367</v>
      </c>
      <c r="AA547" s="682" t="s">
        <v>304</v>
      </c>
    </row>
    <row r="548" spans="1:27" s="64" customFormat="1" x14ac:dyDescent="0.25">
      <c r="A548" s="677" t="s">
        <v>1345</v>
      </c>
      <c r="B548" s="678"/>
      <c r="C548" s="678" t="s">
        <v>1354</v>
      </c>
      <c r="D548" s="678" t="s">
        <v>1394</v>
      </c>
      <c r="E548" s="678"/>
      <c r="F548" s="678" t="s">
        <v>51</v>
      </c>
      <c r="G548" s="679" t="s">
        <v>47</v>
      </c>
      <c r="H548" s="678" t="s">
        <v>1366</v>
      </c>
      <c r="I548" s="680"/>
      <c r="J548" s="680"/>
      <c r="K548" s="689">
        <v>1260</v>
      </c>
      <c r="L548" s="690" t="s">
        <v>55</v>
      </c>
      <c r="M548" s="679" t="s">
        <v>318</v>
      </c>
      <c r="N548" s="682" t="s">
        <v>55</v>
      </c>
      <c r="O548" s="691"/>
      <c r="P548" s="679"/>
      <c r="Q548" s="679"/>
      <c r="R548" s="679"/>
      <c r="S548" s="679"/>
      <c r="T548" s="679"/>
      <c r="U548" s="679"/>
      <c r="V548" s="679"/>
      <c r="W548" s="679"/>
      <c r="X548" s="681"/>
      <c r="Y548" s="681"/>
      <c r="Z548" s="679" t="s">
        <v>1367</v>
      </c>
      <c r="AA548" s="682" t="s">
        <v>304</v>
      </c>
    </row>
    <row r="549" spans="1:27" s="64" customFormat="1" x14ac:dyDescent="0.25">
      <c r="A549" s="677" t="s">
        <v>1345</v>
      </c>
      <c r="B549" s="678"/>
      <c r="C549" s="678" t="s">
        <v>1352</v>
      </c>
      <c r="D549" s="678" t="s">
        <v>1393</v>
      </c>
      <c r="E549" s="678" t="s">
        <v>1369</v>
      </c>
      <c r="F549" s="678" t="s">
        <v>53</v>
      </c>
      <c r="G549" s="679" t="s">
        <v>47</v>
      </c>
      <c r="H549" s="678" t="s">
        <v>1366</v>
      </c>
      <c r="I549" s="680"/>
      <c r="J549" s="680"/>
      <c r="K549" s="689">
        <v>2830</v>
      </c>
      <c r="L549" s="690" t="s">
        <v>55</v>
      </c>
      <c r="M549" s="679" t="s">
        <v>318</v>
      </c>
      <c r="N549" s="682" t="s">
        <v>55</v>
      </c>
      <c r="O549" s="691"/>
      <c r="P549" s="679"/>
      <c r="Q549" s="679"/>
      <c r="R549" s="679"/>
      <c r="S549" s="679"/>
      <c r="T549" s="679"/>
      <c r="U549" s="679"/>
      <c r="V549" s="679"/>
      <c r="W549" s="679"/>
      <c r="X549" s="681"/>
      <c r="Y549" s="681"/>
      <c r="Z549" s="679" t="s">
        <v>1367</v>
      </c>
      <c r="AA549" s="682" t="s">
        <v>304</v>
      </c>
    </row>
    <row r="550" spans="1:27" s="64" customFormat="1" x14ac:dyDescent="0.25">
      <c r="A550" s="677" t="s">
        <v>1345</v>
      </c>
      <c r="B550" s="678"/>
      <c r="C550" s="678" t="s">
        <v>1398</v>
      </c>
      <c r="D550" s="678" t="s">
        <v>1393</v>
      </c>
      <c r="E550" s="678"/>
      <c r="F550" s="678" t="s">
        <v>51</v>
      </c>
      <c r="G550" s="679" t="s">
        <v>47</v>
      </c>
      <c r="H550" s="678" t="s">
        <v>1366</v>
      </c>
      <c r="I550" s="680"/>
      <c r="J550" s="680"/>
      <c r="K550" s="689">
        <v>1260</v>
      </c>
      <c r="L550" s="690" t="s">
        <v>55</v>
      </c>
      <c r="M550" s="679" t="s">
        <v>318</v>
      </c>
      <c r="N550" s="682" t="s">
        <v>55</v>
      </c>
      <c r="O550" s="691"/>
      <c r="P550" s="679"/>
      <c r="Q550" s="679"/>
      <c r="R550" s="679"/>
      <c r="S550" s="679"/>
      <c r="T550" s="679"/>
      <c r="U550" s="679"/>
      <c r="V550" s="679"/>
      <c r="W550" s="679"/>
      <c r="X550" s="681"/>
      <c r="Y550" s="681"/>
      <c r="Z550" s="679" t="s">
        <v>1367</v>
      </c>
      <c r="AA550" s="682" t="s">
        <v>304</v>
      </c>
    </row>
    <row r="551" spans="1:27" s="64" customFormat="1" x14ac:dyDescent="0.25">
      <c r="A551" s="677" t="s">
        <v>1345</v>
      </c>
      <c r="B551" s="678"/>
      <c r="C551" s="678" t="s">
        <v>1398</v>
      </c>
      <c r="D551" s="678" t="s">
        <v>1393</v>
      </c>
      <c r="E551" s="678" t="s">
        <v>1369</v>
      </c>
      <c r="F551" s="678" t="s">
        <v>53</v>
      </c>
      <c r="G551" s="679" t="s">
        <v>47</v>
      </c>
      <c r="H551" s="678" t="s">
        <v>1366</v>
      </c>
      <c r="I551" s="680"/>
      <c r="J551" s="680"/>
      <c r="K551" s="689">
        <v>2830</v>
      </c>
      <c r="L551" s="690" t="s">
        <v>55</v>
      </c>
      <c r="M551" s="679" t="s">
        <v>318</v>
      </c>
      <c r="N551" s="682" t="s">
        <v>55</v>
      </c>
      <c r="O551" s="691"/>
      <c r="P551" s="679"/>
      <c r="Q551" s="679"/>
      <c r="R551" s="679"/>
      <c r="S551" s="679"/>
      <c r="T551" s="679"/>
      <c r="U551" s="679"/>
      <c r="V551" s="679"/>
      <c r="W551" s="679"/>
      <c r="X551" s="681"/>
      <c r="Y551" s="681"/>
      <c r="Z551" s="679" t="s">
        <v>1367</v>
      </c>
      <c r="AA551" s="682" t="s">
        <v>304</v>
      </c>
    </row>
    <row r="552" spans="1:27" s="64" customFormat="1" x14ac:dyDescent="0.25">
      <c r="A552" s="677" t="s">
        <v>1345</v>
      </c>
      <c r="B552" s="678"/>
      <c r="C552" s="678" t="s">
        <v>1347</v>
      </c>
      <c r="D552" s="678" t="s">
        <v>1394</v>
      </c>
      <c r="E552" s="678"/>
      <c r="F552" s="678" t="s">
        <v>51</v>
      </c>
      <c r="G552" s="679" t="s">
        <v>47</v>
      </c>
      <c r="H552" s="678" t="s">
        <v>1366</v>
      </c>
      <c r="I552" s="680"/>
      <c r="J552" s="680"/>
      <c r="K552" s="689">
        <v>1260</v>
      </c>
      <c r="L552" s="690" t="s">
        <v>55</v>
      </c>
      <c r="M552" s="679" t="s">
        <v>318</v>
      </c>
      <c r="N552" s="682" t="s">
        <v>55</v>
      </c>
      <c r="O552" s="691"/>
      <c r="P552" s="679"/>
      <c r="Q552" s="679"/>
      <c r="R552" s="679"/>
      <c r="S552" s="679"/>
      <c r="T552" s="679"/>
      <c r="U552" s="679"/>
      <c r="V552" s="679"/>
      <c r="W552" s="679"/>
      <c r="X552" s="681"/>
      <c r="Y552" s="681"/>
      <c r="Z552" s="679" t="s">
        <v>1367</v>
      </c>
      <c r="AA552" s="682" t="s">
        <v>304</v>
      </c>
    </row>
    <row r="553" spans="1:27" s="64" customFormat="1" x14ac:dyDescent="0.25">
      <c r="A553" s="677" t="s">
        <v>1345</v>
      </c>
      <c r="B553" s="678"/>
      <c r="C553" s="678" t="s">
        <v>1392</v>
      </c>
      <c r="D553" s="678" t="s">
        <v>1393</v>
      </c>
      <c r="E553" s="678"/>
      <c r="F553" s="678" t="s">
        <v>51</v>
      </c>
      <c r="G553" s="679" t="s">
        <v>47</v>
      </c>
      <c r="H553" s="678" t="s">
        <v>1366</v>
      </c>
      <c r="I553" s="680"/>
      <c r="J553" s="680"/>
      <c r="K553" s="689">
        <v>1260</v>
      </c>
      <c r="L553" s="690" t="s">
        <v>55</v>
      </c>
      <c r="M553" s="679" t="s">
        <v>318</v>
      </c>
      <c r="N553" s="682" t="s">
        <v>55</v>
      </c>
      <c r="O553" s="691"/>
      <c r="P553" s="679"/>
      <c r="Q553" s="679"/>
      <c r="R553" s="679"/>
      <c r="S553" s="679"/>
      <c r="T553" s="679"/>
      <c r="U553" s="679"/>
      <c r="V553" s="679"/>
      <c r="W553" s="679"/>
      <c r="X553" s="681"/>
      <c r="Y553" s="681"/>
      <c r="Z553" s="679" t="s">
        <v>1367</v>
      </c>
      <c r="AA553" s="682" t="s">
        <v>304</v>
      </c>
    </row>
    <row r="554" spans="1:27" s="64" customFormat="1" x14ac:dyDescent="0.25">
      <c r="A554" s="677" t="s">
        <v>1345</v>
      </c>
      <c r="B554" s="678"/>
      <c r="C554" s="678" t="s">
        <v>1392</v>
      </c>
      <c r="D554" s="678" t="s">
        <v>1393</v>
      </c>
      <c r="E554" s="678" t="s">
        <v>1369</v>
      </c>
      <c r="F554" s="678" t="s">
        <v>53</v>
      </c>
      <c r="G554" s="679" t="s">
        <v>47</v>
      </c>
      <c r="H554" s="678" t="s">
        <v>1366</v>
      </c>
      <c r="I554" s="680"/>
      <c r="J554" s="680"/>
      <c r="K554" s="689">
        <v>2830</v>
      </c>
      <c r="L554" s="690" t="s">
        <v>55</v>
      </c>
      <c r="M554" s="679" t="s">
        <v>318</v>
      </c>
      <c r="N554" s="682" t="s">
        <v>55</v>
      </c>
      <c r="O554" s="691"/>
      <c r="P554" s="679"/>
      <c r="Q554" s="679"/>
      <c r="R554" s="679"/>
      <c r="S554" s="679"/>
      <c r="T554" s="679"/>
      <c r="U554" s="679"/>
      <c r="V554" s="679"/>
      <c r="W554" s="679"/>
      <c r="X554" s="681"/>
      <c r="Y554" s="681"/>
      <c r="Z554" s="679" t="s">
        <v>1367</v>
      </c>
      <c r="AA554" s="682" t="s">
        <v>304</v>
      </c>
    </row>
    <row r="555" spans="1:27" s="64" customFormat="1" x14ac:dyDescent="0.25">
      <c r="A555" s="677" t="s">
        <v>1345</v>
      </c>
      <c r="B555" s="678"/>
      <c r="C555" s="678" t="s">
        <v>1399</v>
      </c>
      <c r="D555" s="678" t="s">
        <v>1393</v>
      </c>
      <c r="E555" s="678"/>
      <c r="F555" s="678" t="s">
        <v>51</v>
      </c>
      <c r="G555" s="679" t="s">
        <v>47</v>
      </c>
      <c r="H555" s="678" t="s">
        <v>1366</v>
      </c>
      <c r="I555" s="680"/>
      <c r="J555" s="680"/>
      <c r="K555" s="689">
        <v>1260</v>
      </c>
      <c r="L555" s="690" t="s">
        <v>55</v>
      </c>
      <c r="M555" s="679" t="s">
        <v>318</v>
      </c>
      <c r="N555" s="682" t="s">
        <v>55</v>
      </c>
      <c r="O555" s="691"/>
      <c r="P555" s="679"/>
      <c r="Q555" s="679"/>
      <c r="R555" s="679"/>
      <c r="S555" s="679"/>
      <c r="T555" s="679"/>
      <c r="U555" s="679"/>
      <c r="V555" s="679"/>
      <c r="W555" s="679"/>
      <c r="X555" s="681"/>
      <c r="Y555" s="681"/>
      <c r="Z555" s="679" t="s">
        <v>1367</v>
      </c>
      <c r="AA555" s="682" t="s">
        <v>304</v>
      </c>
    </row>
    <row r="556" spans="1:27" s="64" customFormat="1" x14ac:dyDescent="0.25">
      <c r="A556" s="677" t="s">
        <v>1345</v>
      </c>
      <c r="B556" s="678"/>
      <c r="C556" s="678" t="s">
        <v>1399</v>
      </c>
      <c r="D556" s="678" t="s">
        <v>1394</v>
      </c>
      <c r="E556" s="678"/>
      <c r="F556" s="678" t="s">
        <v>51</v>
      </c>
      <c r="G556" s="679" t="s">
        <v>47</v>
      </c>
      <c r="H556" s="678" t="s">
        <v>1366</v>
      </c>
      <c r="I556" s="680"/>
      <c r="J556" s="680"/>
      <c r="K556" s="689">
        <v>1260</v>
      </c>
      <c r="L556" s="690" t="s">
        <v>55</v>
      </c>
      <c r="M556" s="679" t="s">
        <v>318</v>
      </c>
      <c r="N556" s="682" t="s">
        <v>55</v>
      </c>
      <c r="O556" s="691"/>
      <c r="P556" s="679"/>
      <c r="Q556" s="679"/>
      <c r="R556" s="679"/>
      <c r="S556" s="679"/>
      <c r="T556" s="679"/>
      <c r="U556" s="679"/>
      <c r="V556" s="679"/>
      <c r="W556" s="679"/>
      <c r="X556" s="681"/>
      <c r="Y556" s="681"/>
      <c r="Z556" s="679" t="s">
        <v>1367</v>
      </c>
      <c r="AA556" s="682" t="s">
        <v>304</v>
      </c>
    </row>
    <row r="557" spans="1:27" s="64" customFormat="1" x14ac:dyDescent="0.25">
      <c r="A557" s="677" t="s">
        <v>1345</v>
      </c>
      <c r="B557" s="678"/>
      <c r="C557" s="678" t="s">
        <v>1399</v>
      </c>
      <c r="D557" s="678" t="s">
        <v>1393</v>
      </c>
      <c r="E557" s="678" t="s">
        <v>1369</v>
      </c>
      <c r="F557" s="678" t="s">
        <v>53</v>
      </c>
      <c r="G557" s="679" t="s">
        <v>47</v>
      </c>
      <c r="H557" s="678" t="s">
        <v>1366</v>
      </c>
      <c r="I557" s="680"/>
      <c r="J557" s="680"/>
      <c r="K557" s="689">
        <v>2830</v>
      </c>
      <c r="L557" s="690" t="s">
        <v>55</v>
      </c>
      <c r="M557" s="679" t="s">
        <v>318</v>
      </c>
      <c r="N557" s="682" t="s">
        <v>55</v>
      </c>
      <c r="O557" s="691"/>
      <c r="P557" s="679"/>
      <c r="Q557" s="679"/>
      <c r="R557" s="679"/>
      <c r="S557" s="679"/>
      <c r="T557" s="679"/>
      <c r="U557" s="679"/>
      <c r="V557" s="679"/>
      <c r="W557" s="679"/>
      <c r="X557" s="681"/>
      <c r="Y557" s="681"/>
      <c r="Z557" s="679" t="s">
        <v>1367</v>
      </c>
      <c r="AA557" s="682" t="s">
        <v>304</v>
      </c>
    </row>
    <row r="558" spans="1:27" s="64" customFormat="1" x14ac:dyDescent="0.25">
      <c r="A558" s="677" t="s">
        <v>1345</v>
      </c>
      <c r="B558" s="678"/>
      <c r="C558" s="678" t="s">
        <v>1400</v>
      </c>
      <c r="D558" s="678" t="s">
        <v>1393</v>
      </c>
      <c r="E558" s="678"/>
      <c r="F558" s="678" t="s">
        <v>51</v>
      </c>
      <c r="G558" s="679" t="s">
        <v>47</v>
      </c>
      <c r="H558" s="678" t="s">
        <v>1366</v>
      </c>
      <c r="I558" s="680"/>
      <c r="J558" s="680"/>
      <c r="K558" s="689">
        <v>1360</v>
      </c>
      <c r="L558" s="690" t="s">
        <v>55</v>
      </c>
      <c r="M558" s="679" t="s">
        <v>318</v>
      </c>
      <c r="N558" s="682" t="s">
        <v>55</v>
      </c>
      <c r="O558" s="691"/>
      <c r="P558" s="679"/>
      <c r="Q558" s="679"/>
      <c r="R558" s="679"/>
      <c r="S558" s="679"/>
      <c r="T558" s="679"/>
      <c r="U558" s="679"/>
      <c r="V558" s="679"/>
      <c r="W558" s="679"/>
      <c r="X558" s="681"/>
      <c r="Y558" s="681"/>
      <c r="Z558" s="679" t="s">
        <v>1367</v>
      </c>
      <c r="AA558" s="682" t="s">
        <v>304</v>
      </c>
    </row>
    <row r="559" spans="1:27" s="64" customFormat="1" x14ac:dyDescent="0.25">
      <c r="A559" s="677" t="s">
        <v>1345</v>
      </c>
      <c r="B559" s="678"/>
      <c r="C559" s="678" t="s">
        <v>1400</v>
      </c>
      <c r="D559" s="678" t="s">
        <v>1394</v>
      </c>
      <c r="E559" s="678"/>
      <c r="F559" s="678" t="s">
        <v>51</v>
      </c>
      <c r="G559" s="679" t="s">
        <v>47</v>
      </c>
      <c r="H559" s="678" t="s">
        <v>1366</v>
      </c>
      <c r="I559" s="680"/>
      <c r="J559" s="680"/>
      <c r="K559" s="689">
        <v>1360</v>
      </c>
      <c r="L559" s="690" t="s">
        <v>55</v>
      </c>
      <c r="M559" s="679" t="s">
        <v>318</v>
      </c>
      <c r="N559" s="682" t="s">
        <v>55</v>
      </c>
      <c r="O559" s="691"/>
      <c r="P559" s="679"/>
      <c r="Q559" s="679"/>
      <c r="R559" s="679"/>
      <c r="S559" s="679"/>
      <c r="T559" s="679"/>
      <c r="U559" s="679"/>
      <c r="V559" s="679"/>
      <c r="W559" s="679"/>
      <c r="X559" s="681"/>
      <c r="Y559" s="681"/>
      <c r="Z559" s="679" t="s">
        <v>1367</v>
      </c>
      <c r="AA559" s="682" t="s">
        <v>304</v>
      </c>
    </row>
    <row r="560" spans="1:27" s="64" customFormat="1" x14ac:dyDescent="0.25">
      <c r="A560" s="677" t="s">
        <v>1345</v>
      </c>
      <c r="B560" s="678"/>
      <c r="C560" s="678" t="s">
        <v>1400</v>
      </c>
      <c r="D560" s="678" t="s">
        <v>1393</v>
      </c>
      <c r="E560" s="678" t="s">
        <v>1369</v>
      </c>
      <c r="F560" s="678" t="s">
        <v>53</v>
      </c>
      <c r="G560" s="679" t="s">
        <v>47</v>
      </c>
      <c r="H560" s="678" t="s">
        <v>1366</v>
      </c>
      <c r="I560" s="680"/>
      <c r="J560" s="680"/>
      <c r="K560" s="689">
        <v>2895</v>
      </c>
      <c r="L560" s="690" t="s">
        <v>55</v>
      </c>
      <c r="M560" s="679" t="s">
        <v>318</v>
      </c>
      <c r="N560" s="682" t="s">
        <v>55</v>
      </c>
      <c r="O560" s="691"/>
      <c r="P560" s="679"/>
      <c r="Q560" s="679"/>
      <c r="R560" s="679"/>
      <c r="S560" s="679"/>
      <c r="T560" s="679"/>
      <c r="U560" s="679"/>
      <c r="V560" s="679"/>
      <c r="W560" s="679"/>
      <c r="X560" s="681"/>
      <c r="Y560" s="681"/>
      <c r="Z560" s="679" t="s">
        <v>1367</v>
      </c>
      <c r="AA560" s="682" t="s">
        <v>304</v>
      </c>
    </row>
    <row r="561" spans="1:27" s="64" customFormat="1" x14ac:dyDescent="0.25">
      <c r="A561" s="677" t="s">
        <v>1345</v>
      </c>
      <c r="B561" s="678"/>
      <c r="C561" s="678" t="s">
        <v>1401</v>
      </c>
      <c r="D561" s="678" t="s">
        <v>1393</v>
      </c>
      <c r="E561" s="678"/>
      <c r="F561" s="678" t="s">
        <v>51</v>
      </c>
      <c r="G561" s="679" t="s">
        <v>47</v>
      </c>
      <c r="H561" s="678" t="s">
        <v>1366</v>
      </c>
      <c r="I561" s="680"/>
      <c r="J561" s="680"/>
      <c r="K561" s="689">
        <v>1260</v>
      </c>
      <c r="L561" s="690" t="s">
        <v>55</v>
      </c>
      <c r="M561" s="679" t="s">
        <v>318</v>
      </c>
      <c r="N561" s="682" t="s">
        <v>55</v>
      </c>
      <c r="O561" s="691"/>
      <c r="P561" s="679"/>
      <c r="Q561" s="679"/>
      <c r="R561" s="679"/>
      <c r="S561" s="679"/>
      <c r="T561" s="679"/>
      <c r="U561" s="679"/>
      <c r="V561" s="679"/>
      <c r="W561" s="679"/>
      <c r="X561" s="681"/>
      <c r="Y561" s="681"/>
      <c r="Z561" s="679" t="s">
        <v>1367</v>
      </c>
      <c r="AA561" s="682" t="s">
        <v>304</v>
      </c>
    </row>
    <row r="562" spans="1:27" s="64" customFormat="1" x14ac:dyDescent="0.25">
      <c r="A562" s="677" t="s">
        <v>1345</v>
      </c>
      <c r="B562" s="678"/>
      <c r="C562" s="678" t="s">
        <v>1401</v>
      </c>
      <c r="D562" s="678" t="s">
        <v>1393</v>
      </c>
      <c r="E562" s="678" t="s">
        <v>1369</v>
      </c>
      <c r="F562" s="678" t="s">
        <v>53</v>
      </c>
      <c r="G562" s="679" t="s">
        <v>47</v>
      </c>
      <c r="H562" s="678" t="s">
        <v>1366</v>
      </c>
      <c r="I562" s="680"/>
      <c r="J562" s="680"/>
      <c r="K562" s="689">
        <v>2830</v>
      </c>
      <c r="L562" s="690" t="s">
        <v>55</v>
      </c>
      <c r="M562" s="679" t="s">
        <v>318</v>
      </c>
      <c r="N562" s="682" t="s">
        <v>55</v>
      </c>
      <c r="O562" s="691"/>
      <c r="P562" s="679"/>
      <c r="Q562" s="679"/>
      <c r="R562" s="679"/>
      <c r="S562" s="679"/>
      <c r="T562" s="679"/>
      <c r="U562" s="679"/>
      <c r="V562" s="679"/>
      <c r="W562" s="679"/>
      <c r="X562" s="681"/>
      <c r="Y562" s="681"/>
      <c r="Z562" s="679" t="s">
        <v>1367</v>
      </c>
      <c r="AA562" s="682" t="s">
        <v>304</v>
      </c>
    </row>
    <row r="563" spans="1:27" s="64" customFormat="1" ht="12.6" customHeight="1" x14ac:dyDescent="0.25">
      <c r="A563" s="683" t="s">
        <v>1344</v>
      </c>
      <c r="B563" s="684"/>
      <c r="C563" s="684" t="s">
        <v>1675</v>
      </c>
      <c r="D563" s="684" t="s">
        <v>1114</v>
      </c>
      <c r="E563" s="684"/>
      <c r="F563" s="684" t="s">
        <v>51</v>
      </c>
      <c r="G563" s="685" t="s">
        <v>47</v>
      </c>
      <c r="H563" s="684" t="s">
        <v>1366</v>
      </c>
      <c r="I563" s="686"/>
      <c r="J563" s="686"/>
      <c r="K563" s="692">
        <v>1080</v>
      </c>
      <c r="L563" s="693" t="s">
        <v>55</v>
      </c>
      <c r="M563" s="685" t="s">
        <v>318</v>
      </c>
      <c r="N563" s="688" t="s">
        <v>55</v>
      </c>
      <c r="O563" s="693"/>
      <c r="P563" s="685"/>
      <c r="Q563" s="685"/>
      <c r="R563" s="685"/>
      <c r="S563" s="685"/>
      <c r="T563" s="685"/>
      <c r="U563" s="685"/>
      <c r="V563" s="685"/>
      <c r="W563" s="685"/>
      <c r="X563" s="687"/>
      <c r="Y563" s="687"/>
      <c r="Z563" s="685" t="s">
        <v>1367</v>
      </c>
      <c r="AA563" s="688" t="s">
        <v>304</v>
      </c>
    </row>
    <row r="564" spans="1:27" s="64" customFormat="1" ht="12" customHeight="1" x14ac:dyDescent="0.25">
      <c r="A564" s="683" t="s">
        <v>1344</v>
      </c>
      <c r="B564" s="684"/>
      <c r="C564" s="684" t="s">
        <v>1676</v>
      </c>
      <c r="D564" s="684" t="s">
        <v>1368</v>
      </c>
      <c r="E564" s="684"/>
      <c r="F564" s="684" t="s">
        <v>51</v>
      </c>
      <c r="G564" s="685" t="s">
        <v>47</v>
      </c>
      <c r="H564" s="684" t="s">
        <v>1366</v>
      </c>
      <c r="I564" s="686"/>
      <c r="J564" s="686"/>
      <c r="K564" s="692">
        <v>1080</v>
      </c>
      <c r="L564" s="693" t="s">
        <v>55</v>
      </c>
      <c r="M564" s="685" t="s">
        <v>318</v>
      </c>
      <c r="N564" s="688" t="s">
        <v>55</v>
      </c>
      <c r="O564" s="693"/>
      <c r="P564" s="685"/>
      <c r="Q564" s="685"/>
      <c r="R564" s="685"/>
      <c r="S564" s="685"/>
      <c r="T564" s="685"/>
      <c r="U564" s="685"/>
      <c r="V564" s="685"/>
      <c r="W564" s="685"/>
      <c r="X564" s="687"/>
      <c r="Y564" s="687"/>
      <c r="Z564" s="685" t="s">
        <v>1367</v>
      </c>
      <c r="AA564" s="688" t="s">
        <v>304</v>
      </c>
    </row>
    <row r="565" spans="1:27" s="64" customFormat="1" ht="12" customHeight="1" x14ac:dyDescent="0.25">
      <c r="A565" s="683" t="s">
        <v>1344</v>
      </c>
      <c r="B565" s="684"/>
      <c r="C565" s="684" t="s">
        <v>1675</v>
      </c>
      <c r="D565" s="684" t="s">
        <v>1114</v>
      </c>
      <c r="E565" s="684" t="s">
        <v>1369</v>
      </c>
      <c r="F565" s="684" t="s">
        <v>53</v>
      </c>
      <c r="G565" s="685" t="s">
        <v>47</v>
      </c>
      <c r="H565" s="684" t="s">
        <v>1366</v>
      </c>
      <c r="I565" s="686"/>
      <c r="J565" s="686"/>
      <c r="K565" s="692">
        <v>2700</v>
      </c>
      <c r="L565" s="693" t="s">
        <v>55</v>
      </c>
      <c r="M565" s="685" t="s">
        <v>318</v>
      </c>
      <c r="N565" s="688" t="s">
        <v>55</v>
      </c>
      <c r="O565" s="693"/>
      <c r="P565" s="685"/>
      <c r="Q565" s="685"/>
      <c r="R565" s="685"/>
      <c r="S565" s="685"/>
      <c r="T565" s="685"/>
      <c r="U565" s="685"/>
      <c r="V565" s="685"/>
      <c r="W565" s="685"/>
      <c r="X565" s="687"/>
      <c r="Y565" s="687"/>
      <c r="Z565" s="685" t="s">
        <v>1367</v>
      </c>
      <c r="AA565" s="688" t="s">
        <v>304</v>
      </c>
    </row>
    <row r="566" spans="1:27" s="64" customFormat="1" ht="12" customHeight="1" x14ac:dyDescent="0.25">
      <c r="A566" s="683" t="s">
        <v>1344</v>
      </c>
      <c r="B566" s="684"/>
      <c r="C566" s="684" t="s">
        <v>1675</v>
      </c>
      <c r="D566" s="684" t="s">
        <v>1114</v>
      </c>
      <c r="E566" s="684" t="s">
        <v>1373</v>
      </c>
      <c r="F566" s="684" t="s">
        <v>53</v>
      </c>
      <c r="G566" s="685" t="s">
        <v>47</v>
      </c>
      <c r="H566" s="684" t="s">
        <v>1366</v>
      </c>
      <c r="I566" s="686"/>
      <c r="J566" s="686"/>
      <c r="K566" s="692">
        <v>2490</v>
      </c>
      <c r="L566" s="693" t="s">
        <v>55</v>
      </c>
      <c r="M566" s="685" t="s">
        <v>318</v>
      </c>
      <c r="N566" s="688" t="s">
        <v>55</v>
      </c>
      <c r="O566" s="693"/>
      <c r="P566" s="685"/>
      <c r="Q566" s="685"/>
      <c r="R566" s="685"/>
      <c r="S566" s="685"/>
      <c r="T566" s="685"/>
      <c r="U566" s="685"/>
      <c r="V566" s="685"/>
      <c r="W566" s="685"/>
      <c r="X566" s="687"/>
      <c r="Y566" s="687"/>
      <c r="Z566" s="685" t="s">
        <v>1367</v>
      </c>
      <c r="AA566" s="688" t="s">
        <v>304</v>
      </c>
    </row>
    <row r="567" spans="1:27" s="64" customFormat="1" ht="12" customHeight="1" x14ac:dyDescent="0.25">
      <c r="A567" s="683" t="s">
        <v>1344</v>
      </c>
      <c r="B567" s="684"/>
      <c r="C567" s="684" t="s">
        <v>1675</v>
      </c>
      <c r="D567" s="684" t="s">
        <v>1114</v>
      </c>
      <c r="E567" s="684" t="s">
        <v>1374</v>
      </c>
      <c r="F567" s="684" t="s">
        <v>53</v>
      </c>
      <c r="G567" s="685" t="s">
        <v>47</v>
      </c>
      <c r="H567" s="684" t="s">
        <v>1366</v>
      </c>
      <c r="I567" s="686"/>
      <c r="J567" s="686"/>
      <c r="K567" s="692">
        <v>2970</v>
      </c>
      <c r="L567" s="693" t="s">
        <v>55</v>
      </c>
      <c r="M567" s="685" t="s">
        <v>318</v>
      </c>
      <c r="N567" s="688" t="s">
        <v>55</v>
      </c>
      <c r="O567" s="693"/>
      <c r="P567" s="685"/>
      <c r="Q567" s="685"/>
      <c r="R567" s="685"/>
      <c r="S567" s="685"/>
      <c r="T567" s="685"/>
      <c r="U567" s="685"/>
      <c r="V567" s="685"/>
      <c r="W567" s="685"/>
      <c r="X567" s="687"/>
      <c r="Y567" s="687"/>
      <c r="Z567" s="685" t="s">
        <v>1367</v>
      </c>
      <c r="AA567" s="688" t="s">
        <v>304</v>
      </c>
    </row>
    <row r="568" spans="1:27" s="64" customFormat="1" ht="12" customHeight="1" x14ac:dyDescent="0.25">
      <c r="A568" s="683" t="s">
        <v>1344</v>
      </c>
      <c r="B568" s="684"/>
      <c r="C568" s="684" t="s">
        <v>1675</v>
      </c>
      <c r="D568" s="684" t="s">
        <v>1114</v>
      </c>
      <c r="E568" s="684" t="s">
        <v>1379</v>
      </c>
      <c r="F568" s="684" t="s">
        <v>53</v>
      </c>
      <c r="G568" s="685" t="s">
        <v>47</v>
      </c>
      <c r="H568" s="684" t="s">
        <v>1366</v>
      </c>
      <c r="I568" s="686"/>
      <c r="J568" s="686"/>
      <c r="K568" s="692">
        <v>2490</v>
      </c>
      <c r="L568" s="693" t="s">
        <v>55</v>
      </c>
      <c r="M568" s="685" t="s">
        <v>318</v>
      </c>
      <c r="N568" s="688" t="s">
        <v>55</v>
      </c>
      <c r="O568" s="693"/>
      <c r="P568" s="685"/>
      <c r="Q568" s="685"/>
      <c r="R568" s="685"/>
      <c r="S568" s="685"/>
      <c r="T568" s="685"/>
      <c r="U568" s="685"/>
      <c r="V568" s="685"/>
      <c r="W568" s="685"/>
      <c r="X568" s="687"/>
      <c r="Y568" s="687"/>
      <c r="Z568" s="685" t="s">
        <v>1367</v>
      </c>
      <c r="AA568" s="688" t="s">
        <v>304</v>
      </c>
    </row>
    <row r="569" spans="1:27" s="64" customFormat="1" ht="12" customHeight="1" x14ac:dyDescent="0.25">
      <c r="A569" s="683" t="s">
        <v>1344</v>
      </c>
      <c r="B569" s="684"/>
      <c r="C569" s="684" t="s">
        <v>1677</v>
      </c>
      <c r="D569" s="684" t="s">
        <v>1114</v>
      </c>
      <c r="E569" s="684"/>
      <c r="F569" s="684" t="s">
        <v>51</v>
      </c>
      <c r="G569" s="685" t="s">
        <v>47</v>
      </c>
      <c r="H569" s="684" t="s">
        <v>1366</v>
      </c>
      <c r="I569" s="686"/>
      <c r="J569" s="686"/>
      <c r="K569" s="692">
        <v>1080</v>
      </c>
      <c r="L569" s="693" t="s">
        <v>55</v>
      </c>
      <c r="M569" s="685" t="s">
        <v>318</v>
      </c>
      <c r="N569" s="688" t="s">
        <v>55</v>
      </c>
      <c r="O569" s="693"/>
      <c r="P569" s="685"/>
      <c r="Q569" s="685"/>
      <c r="R569" s="685"/>
      <c r="S569" s="685"/>
      <c r="T569" s="685"/>
      <c r="U569" s="685"/>
      <c r="V569" s="685"/>
      <c r="W569" s="685"/>
      <c r="X569" s="687"/>
      <c r="Y569" s="687"/>
      <c r="Z569" s="685" t="s">
        <v>1367</v>
      </c>
      <c r="AA569" s="688" t="s">
        <v>304</v>
      </c>
    </row>
    <row r="570" spans="1:27" s="64" customFormat="1" ht="12" customHeight="1" x14ac:dyDescent="0.25">
      <c r="A570" s="683" t="s">
        <v>1344</v>
      </c>
      <c r="B570" s="684"/>
      <c r="C570" s="684" t="s">
        <v>1678</v>
      </c>
      <c r="D570" s="684" t="s">
        <v>1368</v>
      </c>
      <c r="E570" s="684"/>
      <c r="F570" s="684" t="s">
        <v>51</v>
      </c>
      <c r="G570" s="685" t="s">
        <v>47</v>
      </c>
      <c r="H570" s="684" t="s">
        <v>1366</v>
      </c>
      <c r="I570" s="686"/>
      <c r="J570" s="686"/>
      <c r="K570" s="692">
        <v>1080</v>
      </c>
      <c r="L570" s="693" t="s">
        <v>55</v>
      </c>
      <c r="M570" s="685" t="s">
        <v>318</v>
      </c>
      <c r="N570" s="688" t="s">
        <v>55</v>
      </c>
      <c r="O570" s="693"/>
      <c r="P570" s="685"/>
      <c r="Q570" s="685"/>
      <c r="R570" s="685"/>
      <c r="S570" s="685"/>
      <c r="T570" s="685"/>
      <c r="U570" s="685"/>
      <c r="V570" s="685"/>
      <c r="W570" s="685"/>
      <c r="X570" s="687"/>
      <c r="Y570" s="687"/>
      <c r="Z570" s="685" t="s">
        <v>1367</v>
      </c>
      <c r="AA570" s="688" t="s">
        <v>304</v>
      </c>
    </row>
    <row r="571" spans="1:27" s="64" customFormat="1" ht="12" customHeight="1" x14ac:dyDescent="0.25">
      <c r="A571" s="683" t="s">
        <v>1344</v>
      </c>
      <c r="B571" s="684"/>
      <c r="C571" s="684" t="s">
        <v>1677</v>
      </c>
      <c r="D571" s="684" t="s">
        <v>1114</v>
      </c>
      <c r="E571" s="684" t="s">
        <v>1369</v>
      </c>
      <c r="F571" s="684" t="s">
        <v>53</v>
      </c>
      <c r="G571" s="685" t="s">
        <v>47</v>
      </c>
      <c r="H571" s="684" t="s">
        <v>1366</v>
      </c>
      <c r="I571" s="686"/>
      <c r="J571" s="686"/>
      <c r="K571" s="692">
        <v>2700</v>
      </c>
      <c r="L571" s="693" t="s">
        <v>55</v>
      </c>
      <c r="M571" s="685" t="s">
        <v>318</v>
      </c>
      <c r="N571" s="688" t="s">
        <v>55</v>
      </c>
      <c r="O571" s="693"/>
      <c r="P571" s="685"/>
      <c r="Q571" s="685"/>
      <c r="R571" s="685"/>
      <c r="S571" s="685"/>
      <c r="T571" s="685"/>
      <c r="U571" s="685"/>
      <c r="V571" s="685"/>
      <c r="W571" s="685"/>
      <c r="X571" s="687"/>
      <c r="Y571" s="687"/>
      <c r="Z571" s="685" t="s">
        <v>1367</v>
      </c>
      <c r="AA571" s="688" t="s">
        <v>304</v>
      </c>
    </row>
    <row r="572" spans="1:27" s="64" customFormat="1" ht="12" customHeight="1" x14ac:dyDescent="0.25">
      <c r="A572" s="683" t="s">
        <v>1344</v>
      </c>
      <c r="B572" s="684"/>
      <c r="C572" s="684" t="s">
        <v>1677</v>
      </c>
      <c r="D572" s="684" t="s">
        <v>1114</v>
      </c>
      <c r="E572" s="684" t="s">
        <v>1373</v>
      </c>
      <c r="F572" s="684" t="s">
        <v>53</v>
      </c>
      <c r="G572" s="685" t="s">
        <v>47</v>
      </c>
      <c r="H572" s="684" t="s">
        <v>1366</v>
      </c>
      <c r="I572" s="686"/>
      <c r="J572" s="686"/>
      <c r="K572" s="692">
        <v>2490</v>
      </c>
      <c r="L572" s="693" t="s">
        <v>55</v>
      </c>
      <c r="M572" s="685" t="s">
        <v>318</v>
      </c>
      <c r="N572" s="688" t="s">
        <v>55</v>
      </c>
      <c r="O572" s="693"/>
      <c r="P572" s="685"/>
      <c r="Q572" s="685"/>
      <c r="R572" s="685"/>
      <c r="S572" s="685"/>
      <c r="T572" s="685"/>
      <c r="U572" s="685"/>
      <c r="V572" s="685"/>
      <c r="W572" s="685"/>
      <c r="X572" s="687"/>
      <c r="Y572" s="687"/>
      <c r="Z572" s="685" t="s">
        <v>1367</v>
      </c>
      <c r="AA572" s="688" t="s">
        <v>304</v>
      </c>
    </row>
    <row r="573" spans="1:27" s="64" customFormat="1" ht="12" customHeight="1" x14ac:dyDescent="0.25">
      <c r="A573" s="683" t="s">
        <v>1344</v>
      </c>
      <c r="B573" s="684"/>
      <c r="C573" s="684" t="s">
        <v>1677</v>
      </c>
      <c r="D573" s="684" t="s">
        <v>1114</v>
      </c>
      <c r="E573" s="684" t="s">
        <v>1374</v>
      </c>
      <c r="F573" s="684" t="s">
        <v>53</v>
      </c>
      <c r="G573" s="685" t="s">
        <v>47</v>
      </c>
      <c r="H573" s="684" t="s">
        <v>1366</v>
      </c>
      <c r="I573" s="686"/>
      <c r="J573" s="686"/>
      <c r="K573" s="692">
        <v>2970</v>
      </c>
      <c r="L573" s="693" t="s">
        <v>55</v>
      </c>
      <c r="M573" s="685" t="s">
        <v>318</v>
      </c>
      <c r="N573" s="688" t="s">
        <v>55</v>
      </c>
      <c r="O573" s="693"/>
      <c r="P573" s="685"/>
      <c r="Q573" s="685"/>
      <c r="R573" s="685"/>
      <c r="S573" s="685"/>
      <c r="T573" s="685"/>
      <c r="U573" s="685"/>
      <c r="V573" s="685"/>
      <c r="W573" s="685"/>
      <c r="X573" s="687"/>
      <c r="Y573" s="687"/>
      <c r="Z573" s="685" t="s">
        <v>1367</v>
      </c>
      <c r="AA573" s="688" t="s">
        <v>304</v>
      </c>
    </row>
    <row r="574" spans="1:27" s="64" customFormat="1" ht="12" customHeight="1" x14ac:dyDescent="0.25">
      <c r="A574" s="683" t="s">
        <v>1344</v>
      </c>
      <c r="B574" s="684"/>
      <c r="C574" s="684" t="s">
        <v>1677</v>
      </c>
      <c r="D574" s="684" t="s">
        <v>1114</v>
      </c>
      <c r="E574" s="684" t="s">
        <v>1379</v>
      </c>
      <c r="F574" s="684" t="s">
        <v>53</v>
      </c>
      <c r="G574" s="685" t="s">
        <v>47</v>
      </c>
      <c r="H574" s="684" t="s">
        <v>1366</v>
      </c>
      <c r="I574" s="686"/>
      <c r="J574" s="686"/>
      <c r="K574" s="692">
        <v>2490</v>
      </c>
      <c r="L574" s="693" t="s">
        <v>55</v>
      </c>
      <c r="M574" s="685" t="s">
        <v>318</v>
      </c>
      <c r="N574" s="688" t="s">
        <v>55</v>
      </c>
      <c r="O574" s="693"/>
      <c r="P574" s="685"/>
      <c r="Q574" s="685"/>
      <c r="R574" s="685"/>
      <c r="S574" s="685"/>
      <c r="T574" s="685"/>
      <c r="U574" s="685"/>
      <c r="V574" s="685"/>
      <c r="W574" s="685"/>
      <c r="X574" s="687"/>
      <c r="Y574" s="687"/>
      <c r="Z574" s="685" t="s">
        <v>1367</v>
      </c>
      <c r="AA574" s="688" t="s">
        <v>304</v>
      </c>
    </row>
    <row r="575" spans="1:27" s="64" customFormat="1" ht="12" customHeight="1" x14ac:dyDescent="0.25">
      <c r="A575" s="683" t="s">
        <v>1344</v>
      </c>
      <c r="B575" s="684"/>
      <c r="C575" s="684" t="s">
        <v>1347</v>
      </c>
      <c r="D575" s="684" t="s">
        <v>1114</v>
      </c>
      <c r="E575" s="684"/>
      <c r="F575" s="684" t="s">
        <v>51</v>
      </c>
      <c r="G575" s="685" t="s">
        <v>47</v>
      </c>
      <c r="H575" s="684" t="s">
        <v>1366</v>
      </c>
      <c r="I575" s="686"/>
      <c r="J575" s="686"/>
      <c r="K575" s="692">
        <v>1080</v>
      </c>
      <c r="L575" s="693" t="s">
        <v>55</v>
      </c>
      <c r="M575" s="685" t="s">
        <v>318</v>
      </c>
      <c r="N575" s="688" t="s">
        <v>55</v>
      </c>
      <c r="O575" s="693"/>
      <c r="P575" s="685"/>
      <c r="Q575" s="685"/>
      <c r="R575" s="685"/>
      <c r="S575" s="685"/>
      <c r="T575" s="685"/>
      <c r="U575" s="685"/>
      <c r="V575" s="685"/>
      <c r="W575" s="685"/>
      <c r="X575" s="687"/>
      <c r="Y575" s="687"/>
      <c r="Z575" s="685" t="s">
        <v>1367</v>
      </c>
      <c r="AA575" s="688" t="s">
        <v>304</v>
      </c>
    </row>
    <row r="576" spans="1:27" s="64" customFormat="1" ht="12" customHeight="1" x14ac:dyDescent="0.25">
      <c r="A576" s="683" t="s">
        <v>1344</v>
      </c>
      <c r="B576" s="684"/>
      <c r="C576" s="684" t="s">
        <v>1347</v>
      </c>
      <c r="D576" s="684" t="s">
        <v>1368</v>
      </c>
      <c r="E576" s="684"/>
      <c r="F576" s="684" t="s">
        <v>51</v>
      </c>
      <c r="G576" s="685" t="s">
        <v>47</v>
      </c>
      <c r="H576" s="684" t="s">
        <v>1366</v>
      </c>
      <c r="I576" s="686"/>
      <c r="J576" s="686"/>
      <c r="K576" s="692">
        <v>1080</v>
      </c>
      <c r="L576" s="693" t="s">
        <v>55</v>
      </c>
      <c r="M576" s="685" t="s">
        <v>318</v>
      </c>
      <c r="N576" s="688" t="s">
        <v>55</v>
      </c>
      <c r="O576" s="693"/>
      <c r="P576" s="685"/>
      <c r="Q576" s="685"/>
      <c r="R576" s="685"/>
      <c r="S576" s="685"/>
      <c r="T576" s="685"/>
      <c r="U576" s="685"/>
      <c r="V576" s="685"/>
      <c r="W576" s="685"/>
      <c r="X576" s="687"/>
      <c r="Y576" s="687"/>
      <c r="Z576" s="685" t="s">
        <v>1367</v>
      </c>
      <c r="AA576" s="688" t="s">
        <v>304</v>
      </c>
    </row>
    <row r="577" spans="1:27" s="64" customFormat="1" ht="12" customHeight="1" x14ac:dyDescent="0.25">
      <c r="A577" s="683" t="s">
        <v>1344</v>
      </c>
      <c r="B577" s="684"/>
      <c r="C577" s="684" t="s">
        <v>1347</v>
      </c>
      <c r="D577" s="684" t="s">
        <v>1114</v>
      </c>
      <c r="E577" s="684" t="s">
        <v>1369</v>
      </c>
      <c r="F577" s="684" t="s">
        <v>53</v>
      </c>
      <c r="G577" s="685" t="s">
        <v>47</v>
      </c>
      <c r="H577" s="684" t="s">
        <v>1366</v>
      </c>
      <c r="I577" s="686"/>
      <c r="J577" s="686"/>
      <c r="K577" s="692">
        <v>2700</v>
      </c>
      <c r="L577" s="693" t="s">
        <v>55</v>
      </c>
      <c r="M577" s="685" t="s">
        <v>318</v>
      </c>
      <c r="N577" s="688" t="s">
        <v>55</v>
      </c>
      <c r="O577" s="693"/>
      <c r="P577" s="685"/>
      <c r="Q577" s="685"/>
      <c r="R577" s="685"/>
      <c r="S577" s="685"/>
      <c r="T577" s="685"/>
      <c r="U577" s="685"/>
      <c r="V577" s="685"/>
      <c r="W577" s="685"/>
      <c r="X577" s="687"/>
      <c r="Y577" s="687"/>
      <c r="Z577" s="685" t="s">
        <v>1367</v>
      </c>
      <c r="AA577" s="688" t="s">
        <v>304</v>
      </c>
    </row>
    <row r="578" spans="1:27" s="64" customFormat="1" ht="12" customHeight="1" x14ac:dyDescent="0.25">
      <c r="A578" s="683" t="s">
        <v>1344</v>
      </c>
      <c r="B578" s="684"/>
      <c r="C578" s="684" t="s">
        <v>1347</v>
      </c>
      <c r="D578" s="684" t="s">
        <v>1114</v>
      </c>
      <c r="E578" s="684" t="s">
        <v>1373</v>
      </c>
      <c r="F578" s="684" t="s">
        <v>53</v>
      </c>
      <c r="G578" s="685" t="s">
        <v>47</v>
      </c>
      <c r="H578" s="684" t="s">
        <v>1366</v>
      </c>
      <c r="I578" s="686"/>
      <c r="J578" s="686"/>
      <c r="K578" s="692">
        <v>2490</v>
      </c>
      <c r="L578" s="693" t="s">
        <v>55</v>
      </c>
      <c r="M578" s="685" t="s">
        <v>318</v>
      </c>
      <c r="N578" s="688" t="s">
        <v>55</v>
      </c>
      <c r="O578" s="693"/>
      <c r="P578" s="685"/>
      <c r="Q578" s="685"/>
      <c r="R578" s="685"/>
      <c r="S578" s="685"/>
      <c r="T578" s="685"/>
      <c r="U578" s="685"/>
      <c r="V578" s="685"/>
      <c r="W578" s="685"/>
      <c r="X578" s="687"/>
      <c r="Y578" s="687"/>
      <c r="Z578" s="685" t="s">
        <v>1367</v>
      </c>
      <c r="AA578" s="688" t="s">
        <v>304</v>
      </c>
    </row>
    <row r="579" spans="1:27" s="64" customFormat="1" ht="12" customHeight="1" x14ac:dyDescent="0.25">
      <c r="A579" s="683" t="s">
        <v>1344</v>
      </c>
      <c r="B579" s="684"/>
      <c r="C579" s="684" t="s">
        <v>1347</v>
      </c>
      <c r="D579" s="684" t="s">
        <v>1114</v>
      </c>
      <c r="E579" s="684" t="s">
        <v>1374</v>
      </c>
      <c r="F579" s="684" t="s">
        <v>53</v>
      </c>
      <c r="G579" s="685" t="s">
        <v>47</v>
      </c>
      <c r="H579" s="684" t="s">
        <v>1366</v>
      </c>
      <c r="I579" s="686"/>
      <c r="J579" s="686"/>
      <c r="K579" s="692">
        <v>2970</v>
      </c>
      <c r="L579" s="693" t="s">
        <v>55</v>
      </c>
      <c r="M579" s="685" t="s">
        <v>318</v>
      </c>
      <c r="N579" s="688" t="s">
        <v>55</v>
      </c>
      <c r="O579" s="693"/>
      <c r="P579" s="685"/>
      <c r="Q579" s="685"/>
      <c r="R579" s="685"/>
      <c r="S579" s="685"/>
      <c r="T579" s="685"/>
      <c r="U579" s="685"/>
      <c r="V579" s="685"/>
      <c r="W579" s="685"/>
      <c r="X579" s="687"/>
      <c r="Y579" s="687"/>
      <c r="Z579" s="685" t="s">
        <v>1367</v>
      </c>
      <c r="AA579" s="688" t="s">
        <v>304</v>
      </c>
    </row>
    <row r="580" spans="1:27" s="64" customFormat="1" ht="12" customHeight="1" x14ac:dyDescent="0.25">
      <c r="A580" s="683" t="s">
        <v>1344</v>
      </c>
      <c r="B580" s="684"/>
      <c r="C580" s="684" t="s">
        <v>1347</v>
      </c>
      <c r="D580" s="684" t="s">
        <v>1114</v>
      </c>
      <c r="E580" s="684" t="s">
        <v>1379</v>
      </c>
      <c r="F580" s="684" t="s">
        <v>53</v>
      </c>
      <c r="G580" s="685" t="s">
        <v>47</v>
      </c>
      <c r="H580" s="684" t="s">
        <v>1366</v>
      </c>
      <c r="I580" s="686"/>
      <c r="J580" s="686"/>
      <c r="K580" s="692">
        <v>2490</v>
      </c>
      <c r="L580" s="693" t="s">
        <v>55</v>
      </c>
      <c r="M580" s="685" t="s">
        <v>318</v>
      </c>
      <c r="N580" s="688" t="s">
        <v>55</v>
      </c>
      <c r="O580" s="693"/>
      <c r="P580" s="685"/>
      <c r="Q580" s="685"/>
      <c r="R580" s="685"/>
      <c r="S580" s="685"/>
      <c r="T580" s="685"/>
      <c r="U580" s="685"/>
      <c r="V580" s="685"/>
      <c r="W580" s="685"/>
      <c r="X580" s="687"/>
      <c r="Y580" s="687"/>
      <c r="Z580" s="685" t="s">
        <v>1367</v>
      </c>
      <c r="AA580" s="688" t="s">
        <v>304</v>
      </c>
    </row>
    <row r="581" spans="1:27" s="64" customFormat="1" ht="12" customHeight="1" x14ac:dyDescent="0.25">
      <c r="A581" s="683" t="s">
        <v>1344</v>
      </c>
      <c r="B581" s="684"/>
      <c r="C581" s="684" t="s">
        <v>1347</v>
      </c>
      <c r="D581" s="684" t="s">
        <v>1368</v>
      </c>
      <c r="E581" s="684" t="s">
        <v>1379</v>
      </c>
      <c r="F581" s="684" t="s">
        <v>53</v>
      </c>
      <c r="G581" s="685" t="s">
        <v>47</v>
      </c>
      <c r="H581" s="684" t="s">
        <v>1366</v>
      </c>
      <c r="I581" s="686"/>
      <c r="J581" s="686"/>
      <c r="K581" s="692">
        <v>2490</v>
      </c>
      <c r="L581" s="693" t="s">
        <v>55</v>
      </c>
      <c r="M581" s="685" t="s">
        <v>318</v>
      </c>
      <c r="N581" s="688" t="s">
        <v>55</v>
      </c>
      <c r="O581" s="693"/>
      <c r="P581" s="685"/>
      <c r="Q581" s="685"/>
      <c r="R581" s="685"/>
      <c r="S581" s="685"/>
      <c r="T581" s="685"/>
      <c r="U581" s="685"/>
      <c r="V581" s="685"/>
      <c r="W581" s="685"/>
      <c r="X581" s="687"/>
      <c r="Y581" s="687"/>
      <c r="Z581" s="685" t="s">
        <v>1367</v>
      </c>
      <c r="AA581" s="688" t="s">
        <v>304</v>
      </c>
    </row>
    <row r="582" spans="1:27" s="64" customFormat="1" ht="12" customHeight="1" x14ac:dyDescent="0.25">
      <c r="A582" s="683" t="s">
        <v>1344</v>
      </c>
      <c r="B582" s="684"/>
      <c r="C582" s="684" t="s">
        <v>1392</v>
      </c>
      <c r="D582" s="684" t="s">
        <v>1114</v>
      </c>
      <c r="E582" s="684"/>
      <c r="F582" s="684" t="s">
        <v>51</v>
      </c>
      <c r="G582" s="685" t="s">
        <v>47</v>
      </c>
      <c r="H582" s="684" t="s">
        <v>1366</v>
      </c>
      <c r="I582" s="686"/>
      <c r="J582" s="686"/>
      <c r="K582" s="692">
        <v>1080</v>
      </c>
      <c r="L582" s="693" t="s">
        <v>55</v>
      </c>
      <c r="M582" s="685" t="s">
        <v>318</v>
      </c>
      <c r="N582" s="688" t="s">
        <v>55</v>
      </c>
      <c r="O582" s="693"/>
      <c r="P582" s="685"/>
      <c r="Q582" s="685"/>
      <c r="R582" s="685"/>
      <c r="S582" s="685"/>
      <c r="T582" s="685"/>
      <c r="U582" s="685"/>
      <c r="V582" s="685"/>
      <c r="W582" s="685"/>
      <c r="X582" s="687"/>
      <c r="Y582" s="687"/>
      <c r="Z582" s="685" t="s">
        <v>1367</v>
      </c>
      <c r="AA582" s="688" t="s">
        <v>304</v>
      </c>
    </row>
    <row r="583" spans="1:27" s="64" customFormat="1" ht="12" customHeight="1" x14ac:dyDescent="0.25">
      <c r="A583" s="683" t="s">
        <v>1344</v>
      </c>
      <c r="B583" s="684"/>
      <c r="C583" s="684" t="s">
        <v>1392</v>
      </c>
      <c r="D583" s="684" t="s">
        <v>1368</v>
      </c>
      <c r="E583" s="684"/>
      <c r="F583" s="684" t="s">
        <v>51</v>
      </c>
      <c r="G583" s="685" t="s">
        <v>47</v>
      </c>
      <c r="H583" s="684" t="s">
        <v>1366</v>
      </c>
      <c r="I583" s="686"/>
      <c r="J583" s="686"/>
      <c r="K583" s="692">
        <v>1080</v>
      </c>
      <c r="L583" s="693" t="s">
        <v>55</v>
      </c>
      <c r="M583" s="685" t="s">
        <v>318</v>
      </c>
      <c r="N583" s="688" t="s">
        <v>55</v>
      </c>
      <c r="O583" s="693"/>
      <c r="P583" s="685"/>
      <c r="Q583" s="685"/>
      <c r="R583" s="685"/>
      <c r="S583" s="685"/>
      <c r="T583" s="685"/>
      <c r="U583" s="685"/>
      <c r="V583" s="685"/>
      <c r="W583" s="685"/>
      <c r="X583" s="687"/>
      <c r="Y583" s="687"/>
      <c r="Z583" s="685" t="s">
        <v>1367</v>
      </c>
      <c r="AA583" s="688" t="s">
        <v>304</v>
      </c>
    </row>
    <row r="584" spans="1:27" s="64" customFormat="1" ht="12" customHeight="1" x14ac:dyDescent="0.25">
      <c r="A584" s="683" t="s">
        <v>1344</v>
      </c>
      <c r="B584" s="684"/>
      <c r="C584" s="684" t="s">
        <v>1392</v>
      </c>
      <c r="D584" s="684" t="s">
        <v>1114</v>
      </c>
      <c r="E584" s="684" t="s">
        <v>1369</v>
      </c>
      <c r="F584" s="684" t="s">
        <v>53</v>
      </c>
      <c r="G584" s="685" t="s">
        <v>47</v>
      </c>
      <c r="H584" s="684" t="s">
        <v>1366</v>
      </c>
      <c r="I584" s="686"/>
      <c r="J584" s="686"/>
      <c r="K584" s="692">
        <v>2700</v>
      </c>
      <c r="L584" s="693" t="s">
        <v>55</v>
      </c>
      <c r="M584" s="685" t="s">
        <v>318</v>
      </c>
      <c r="N584" s="688" t="s">
        <v>55</v>
      </c>
      <c r="O584" s="693"/>
      <c r="P584" s="685"/>
      <c r="Q584" s="685"/>
      <c r="R584" s="685"/>
      <c r="S584" s="685"/>
      <c r="T584" s="685"/>
      <c r="U584" s="685"/>
      <c r="V584" s="685"/>
      <c r="W584" s="685"/>
      <c r="X584" s="687"/>
      <c r="Y584" s="687"/>
      <c r="Z584" s="685" t="s">
        <v>1367</v>
      </c>
      <c r="AA584" s="688" t="s">
        <v>304</v>
      </c>
    </row>
    <row r="585" spans="1:27" s="64" customFormat="1" ht="12" customHeight="1" x14ac:dyDescent="0.25">
      <c r="A585" s="683" t="s">
        <v>1344</v>
      </c>
      <c r="B585" s="684"/>
      <c r="C585" s="684" t="s">
        <v>1392</v>
      </c>
      <c r="D585" s="684" t="s">
        <v>1114</v>
      </c>
      <c r="E585" s="684" t="s">
        <v>1373</v>
      </c>
      <c r="F585" s="684" t="s">
        <v>53</v>
      </c>
      <c r="G585" s="685" t="s">
        <v>47</v>
      </c>
      <c r="H585" s="684" t="s">
        <v>1366</v>
      </c>
      <c r="I585" s="686"/>
      <c r="J585" s="686"/>
      <c r="K585" s="692">
        <v>2490</v>
      </c>
      <c r="L585" s="693" t="s">
        <v>55</v>
      </c>
      <c r="M585" s="685" t="s">
        <v>318</v>
      </c>
      <c r="N585" s="688" t="s">
        <v>55</v>
      </c>
      <c r="O585" s="693"/>
      <c r="P585" s="685"/>
      <c r="Q585" s="685"/>
      <c r="R585" s="685"/>
      <c r="S585" s="685"/>
      <c r="T585" s="685"/>
      <c r="U585" s="685"/>
      <c r="V585" s="685"/>
      <c r="W585" s="685"/>
      <c r="X585" s="687"/>
      <c r="Y585" s="687"/>
      <c r="Z585" s="685" t="s">
        <v>1367</v>
      </c>
      <c r="AA585" s="688" t="s">
        <v>304</v>
      </c>
    </row>
    <row r="586" spans="1:27" s="64" customFormat="1" ht="12" customHeight="1" x14ac:dyDescent="0.25">
      <c r="A586" s="683" t="s">
        <v>1344</v>
      </c>
      <c r="B586" s="684"/>
      <c r="C586" s="684" t="s">
        <v>1392</v>
      </c>
      <c r="D586" s="684" t="s">
        <v>1114</v>
      </c>
      <c r="E586" s="684" t="s">
        <v>1374</v>
      </c>
      <c r="F586" s="684" t="s">
        <v>53</v>
      </c>
      <c r="G586" s="685" t="s">
        <v>47</v>
      </c>
      <c r="H586" s="684" t="s">
        <v>1366</v>
      </c>
      <c r="I586" s="686"/>
      <c r="J586" s="686"/>
      <c r="K586" s="692">
        <v>2970</v>
      </c>
      <c r="L586" s="693" t="s">
        <v>55</v>
      </c>
      <c r="M586" s="685" t="s">
        <v>318</v>
      </c>
      <c r="N586" s="688" t="s">
        <v>55</v>
      </c>
      <c r="O586" s="693"/>
      <c r="P586" s="685"/>
      <c r="Q586" s="685"/>
      <c r="R586" s="685"/>
      <c r="S586" s="685"/>
      <c r="T586" s="685"/>
      <c r="U586" s="685"/>
      <c r="V586" s="685"/>
      <c r="W586" s="685"/>
      <c r="X586" s="687"/>
      <c r="Y586" s="687"/>
      <c r="Z586" s="685" t="s">
        <v>1367</v>
      </c>
      <c r="AA586" s="688" t="s">
        <v>304</v>
      </c>
    </row>
    <row r="587" spans="1:27" s="64" customFormat="1" ht="12" customHeight="1" x14ac:dyDescent="0.25">
      <c r="A587" s="683" t="s">
        <v>1344</v>
      </c>
      <c r="B587" s="684"/>
      <c r="C587" s="684" t="s">
        <v>1392</v>
      </c>
      <c r="D587" s="684" t="s">
        <v>1114</v>
      </c>
      <c r="E587" s="684" t="s">
        <v>1379</v>
      </c>
      <c r="F587" s="684" t="s">
        <v>53</v>
      </c>
      <c r="G587" s="685" t="s">
        <v>47</v>
      </c>
      <c r="H587" s="684" t="s">
        <v>1366</v>
      </c>
      <c r="I587" s="686"/>
      <c r="J587" s="686"/>
      <c r="K587" s="692">
        <v>2490</v>
      </c>
      <c r="L587" s="693" t="s">
        <v>55</v>
      </c>
      <c r="M587" s="685" t="s">
        <v>318</v>
      </c>
      <c r="N587" s="688" t="s">
        <v>55</v>
      </c>
      <c r="O587" s="693"/>
      <c r="P587" s="685"/>
      <c r="Q587" s="685"/>
      <c r="R587" s="685"/>
      <c r="S587" s="685"/>
      <c r="T587" s="685"/>
      <c r="U587" s="685"/>
      <c r="V587" s="685"/>
      <c r="W587" s="685"/>
      <c r="X587" s="687"/>
      <c r="Y587" s="687"/>
      <c r="Z587" s="685" t="s">
        <v>1367</v>
      </c>
      <c r="AA587" s="688" t="s">
        <v>304</v>
      </c>
    </row>
    <row r="588" spans="1:27" s="64" customFormat="1" ht="12" customHeight="1" x14ac:dyDescent="0.25">
      <c r="A588" s="683" t="s">
        <v>1344</v>
      </c>
      <c r="B588" s="684"/>
      <c r="C588" s="684" t="s">
        <v>1362</v>
      </c>
      <c r="D588" s="684" t="s">
        <v>1114</v>
      </c>
      <c r="E588" s="684"/>
      <c r="F588" s="684" t="s">
        <v>51</v>
      </c>
      <c r="G588" s="685" t="s">
        <v>47</v>
      </c>
      <c r="H588" s="684" t="s">
        <v>1366</v>
      </c>
      <c r="I588" s="686"/>
      <c r="J588" s="686"/>
      <c r="K588" s="692">
        <v>1080</v>
      </c>
      <c r="L588" s="693" t="s">
        <v>55</v>
      </c>
      <c r="M588" s="685" t="s">
        <v>318</v>
      </c>
      <c r="N588" s="688" t="s">
        <v>55</v>
      </c>
      <c r="O588" s="693"/>
      <c r="P588" s="685"/>
      <c r="Q588" s="685"/>
      <c r="R588" s="685"/>
      <c r="S588" s="685"/>
      <c r="T588" s="685"/>
      <c r="U588" s="685"/>
      <c r="V588" s="685"/>
      <c r="W588" s="685"/>
      <c r="X588" s="687"/>
      <c r="Y588" s="687"/>
      <c r="Z588" s="685" t="s">
        <v>1367</v>
      </c>
      <c r="AA588" s="688" t="s">
        <v>304</v>
      </c>
    </row>
    <row r="589" spans="1:27" s="64" customFormat="1" ht="12" customHeight="1" x14ac:dyDescent="0.25">
      <c r="A589" s="683" t="s">
        <v>1344</v>
      </c>
      <c r="B589" s="684"/>
      <c r="C589" s="684" t="s">
        <v>1362</v>
      </c>
      <c r="D589" s="684" t="s">
        <v>1368</v>
      </c>
      <c r="E589" s="684"/>
      <c r="F589" s="684" t="s">
        <v>51</v>
      </c>
      <c r="G589" s="685" t="s">
        <v>47</v>
      </c>
      <c r="H589" s="684" t="s">
        <v>1366</v>
      </c>
      <c r="I589" s="686"/>
      <c r="J589" s="686"/>
      <c r="K589" s="692">
        <v>1080</v>
      </c>
      <c r="L589" s="693" t="s">
        <v>55</v>
      </c>
      <c r="M589" s="685" t="s">
        <v>318</v>
      </c>
      <c r="N589" s="688" t="s">
        <v>55</v>
      </c>
      <c r="O589" s="693"/>
      <c r="P589" s="685"/>
      <c r="Q589" s="685"/>
      <c r="R589" s="685"/>
      <c r="S589" s="685"/>
      <c r="T589" s="685"/>
      <c r="U589" s="685"/>
      <c r="V589" s="685"/>
      <c r="W589" s="685"/>
      <c r="X589" s="687"/>
      <c r="Y589" s="687"/>
      <c r="Z589" s="685" t="s">
        <v>1367</v>
      </c>
      <c r="AA589" s="688" t="s">
        <v>304</v>
      </c>
    </row>
    <row r="590" spans="1:27" s="64" customFormat="1" ht="12" customHeight="1" x14ac:dyDescent="0.25">
      <c r="A590" s="683" t="s">
        <v>1344</v>
      </c>
      <c r="B590" s="684"/>
      <c r="C590" s="684" t="s">
        <v>1362</v>
      </c>
      <c r="D590" s="684" t="s">
        <v>1114</v>
      </c>
      <c r="E590" s="684" t="s">
        <v>1369</v>
      </c>
      <c r="F590" s="684" t="s">
        <v>53</v>
      </c>
      <c r="G590" s="685" t="s">
        <v>47</v>
      </c>
      <c r="H590" s="684" t="s">
        <v>1366</v>
      </c>
      <c r="I590" s="686"/>
      <c r="J590" s="686"/>
      <c r="K590" s="692">
        <v>2700</v>
      </c>
      <c r="L590" s="693" t="s">
        <v>55</v>
      </c>
      <c r="M590" s="685" t="s">
        <v>318</v>
      </c>
      <c r="N590" s="688" t="s">
        <v>55</v>
      </c>
      <c r="O590" s="693"/>
      <c r="P590" s="685"/>
      <c r="Q590" s="685"/>
      <c r="R590" s="685"/>
      <c r="S590" s="685"/>
      <c r="T590" s="685"/>
      <c r="U590" s="685"/>
      <c r="V590" s="685"/>
      <c r="W590" s="685"/>
      <c r="X590" s="687"/>
      <c r="Y590" s="687"/>
      <c r="Z590" s="685" t="s">
        <v>1367</v>
      </c>
      <c r="AA590" s="688" t="s">
        <v>304</v>
      </c>
    </row>
    <row r="591" spans="1:27" s="64" customFormat="1" ht="12" customHeight="1" x14ac:dyDescent="0.25">
      <c r="A591" s="683" t="s">
        <v>1344</v>
      </c>
      <c r="B591" s="684"/>
      <c r="C591" s="684" t="s">
        <v>1362</v>
      </c>
      <c r="D591" s="684" t="s">
        <v>1114</v>
      </c>
      <c r="E591" s="684" t="s">
        <v>1373</v>
      </c>
      <c r="F591" s="684" t="s">
        <v>53</v>
      </c>
      <c r="G591" s="685" t="s">
        <v>47</v>
      </c>
      <c r="H591" s="684" t="s">
        <v>1366</v>
      </c>
      <c r="I591" s="686"/>
      <c r="J591" s="686"/>
      <c r="K591" s="692">
        <v>2490</v>
      </c>
      <c r="L591" s="693" t="s">
        <v>55</v>
      </c>
      <c r="M591" s="685" t="s">
        <v>318</v>
      </c>
      <c r="N591" s="688" t="s">
        <v>55</v>
      </c>
      <c r="O591" s="693"/>
      <c r="P591" s="685"/>
      <c r="Q591" s="685"/>
      <c r="R591" s="685"/>
      <c r="S591" s="685"/>
      <c r="T591" s="685"/>
      <c r="U591" s="685"/>
      <c r="V591" s="685"/>
      <c r="W591" s="685"/>
      <c r="X591" s="687"/>
      <c r="Y591" s="687"/>
      <c r="Z591" s="685" t="s">
        <v>1367</v>
      </c>
      <c r="AA591" s="688" t="s">
        <v>304</v>
      </c>
    </row>
    <row r="592" spans="1:27" s="64" customFormat="1" ht="12" customHeight="1" x14ac:dyDescent="0.25">
      <c r="A592" s="683" t="s">
        <v>1344</v>
      </c>
      <c r="B592" s="684"/>
      <c r="C592" s="684" t="s">
        <v>1362</v>
      </c>
      <c r="D592" s="684" t="s">
        <v>1114</v>
      </c>
      <c r="E592" s="684" t="s">
        <v>1374</v>
      </c>
      <c r="F592" s="684" t="s">
        <v>53</v>
      </c>
      <c r="G592" s="685" t="s">
        <v>47</v>
      </c>
      <c r="H592" s="684" t="s">
        <v>1366</v>
      </c>
      <c r="I592" s="686"/>
      <c r="J592" s="686"/>
      <c r="K592" s="692">
        <v>2970</v>
      </c>
      <c r="L592" s="693" t="s">
        <v>55</v>
      </c>
      <c r="M592" s="685" t="s">
        <v>318</v>
      </c>
      <c r="N592" s="688" t="s">
        <v>55</v>
      </c>
      <c r="O592" s="693"/>
      <c r="P592" s="685"/>
      <c r="Q592" s="685"/>
      <c r="R592" s="685"/>
      <c r="S592" s="685"/>
      <c r="T592" s="685"/>
      <c r="U592" s="685"/>
      <c r="V592" s="685"/>
      <c r="W592" s="685"/>
      <c r="X592" s="687"/>
      <c r="Y592" s="687"/>
      <c r="Z592" s="685" t="s">
        <v>1367</v>
      </c>
      <c r="AA592" s="688" t="s">
        <v>304</v>
      </c>
    </row>
    <row r="593" spans="1:27" s="64" customFormat="1" ht="12" customHeight="1" x14ac:dyDescent="0.25">
      <c r="A593" s="683" t="s">
        <v>1344</v>
      </c>
      <c r="B593" s="684"/>
      <c r="C593" s="684" t="s">
        <v>1362</v>
      </c>
      <c r="D593" s="684" t="s">
        <v>1114</v>
      </c>
      <c r="E593" s="684" t="s">
        <v>1379</v>
      </c>
      <c r="F593" s="684" t="s">
        <v>53</v>
      </c>
      <c r="G593" s="685" t="s">
        <v>47</v>
      </c>
      <c r="H593" s="684" t="s">
        <v>1366</v>
      </c>
      <c r="I593" s="686"/>
      <c r="J593" s="686"/>
      <c r="K593" s="692">
        <v>2490</v>
      </c>
      <c r="L593" s="693" t="s">
        <v>55</v>
      </c>
      <c r="M593" s="685" t="s">
        <v>318</v>
      </c>
      <c r="N593" s="688" t="s">
        <v>55</v>
      </c>
      <c r="O593" s="693"/>
      <c r="P593" s="685"/>
      <c r="Q593" s="685"/>
      <c r="R593" s="685"/>
      <c r="S593" s="685"/>
      <c r="T593" s="685"/>
      <c r="U593" s="685"/>
      <c r="V593" s="685"/>
      <c r="W593" s="685"/>
      <c r="X593" s="687"/>
      <c r="Y593" s="687"/>
      <c r="Z593" s="685" t="s">
        <v>1367</v>
      </c>
      <c r="AA593" s="688" t="s">
        <v>304</v>
      </c>
    </row>
    <row r="594" spans="1:27" s="64" customFormat="1" ht="12" customHeight="1" x14ac:dyDescent="0.25">
      <c r="A594" s="683" t="s">
        <v>1345</v>
      </c>
      <c r="B594" s="684"/>
      <c r="C594" s="684" t="s">
        <v>1352</v>
      </c>
      <c r="D594" s="684" t="s">
        <v>1393</v>
      </c>
      <c r="E594" s="684"/>
      <c r="F594" s="684" t="s">
        <v>51</v>
      </c>
      <c r="G594" s="685" t="s">
        <v>47</v>
      </c>
      <c r="H594" s="684" t="s">
        <v>1366</v>
      </c>
      <c r="I594" s="686"/>
      <c r="J594" s="686"/>
      <c r="K594" s="692">
        <v>1080</v>
      </c>
      <c r="L594" s="693" t="s">
        <v>55</v>
      </c>
      <c r="M594" s="685" t="s">
        <v>318</v>
      </c>
      <c r="N594" s="688" t="s">
        <v>55</v>
      </c>
      <c r="O594" s="693"/>
      <c r="P594" s="685"/>
      <c r="Q594" s="685"/>
      <c r="R594" s="685"/>
      <c r="S594" s="685"/>
      <c r="T594" s="685"/>
      <c r="U594" s="685"/>
      <c r="V594" s="685"/>
      <c r="W594" s="685"/>
      <c r="X594" s="687"/>
      <c r="Y594" s="687"/>
      <c r="Z594" s="685" t="s">
        <v>1367</v>
      </c>
      <c r="AA594" s="688" t="s">
        <v>304</v>
      </c>
    </row>
    <row r="595" spans="1:27" s="64" customFormat="1" ht="12" customHeight="1" x14ac:dyDescent="0.25">
      <c r="A595" s="683" t="s">
        <v>1345</v>
      </c>
      <c r="B595" s="684"/>
      <c r="C595" s="684" t="s">
        <v>1354</v>
      </c>
      <c r="D595" s="684" t="s">
        <v>1394</v>
      </c>
      <c r="E595" s="684"/>
      <c r="F595" s="684" t="s">
        <v>51</v>
      </c>
      <c r="G595" s="685" t="s">
        <v>47</v>
      </c>
      <c r="H595" s="684" t="s">
        <v>1366</v>
      </c>
      <c r="I595" s="686"/>
      <c r="J595" s="686"/>
      <c r="K595" s="692">
        <v>1080</v>
      </c>
      <c r="L595" s="693" t="s">
        <v>55</v>
      </c>
      <c r="M595" s="685" t="s">
        <v>318</v>
      </c>
      <c r="N595" s="688" t="s">
        <v>55</v>
      </c>
      <c r="O595" s="693"/>
      <c r="P595" s="685"/>
      <c r="Q595" s="685"/>
      <c r="R595" s="685"/>
      <c r="S595" s="685"/>
      <c r="T595" s="685"/>
      <c r="U595" s="685"/>
      <c r="V595" s="685"/>
      <c r="W595" s="685"/>
      <c r="X595" s="687"/>
      <c r="Y595" s="687"/>
      <c r="Z595" s="685" t="s">
        <v>1367</v>
      </c>
      <c r="AA595" s="688" t="s">
        <v>304</v>
      </c>
    </row>
    <row r="596" spans="1:27" s="64" customFormat="1" ht="12" customHeight="1" x14ac:dyDescent="0.25">
      <c r="A596" s="683" t="s">
        <v>1345</v>
      </c>
      <c r="B596" s="684"/>
      <c r="C596" s="684" t="s">
        <v>1352</v>
      </c>
      <c r="D596" s="684" t="s">
        <v>1393</v>
      </c>
      <c r="E596" s="684" t="s">
        <v>1369</v>
      </c>
      <c r="F596" s="684" t="s">
        <v>53</v>
      </c>
      <c r="G596" s="685" t="s">
        <v>47</v>
      </c>
      <c r="H596" s="684" t="s">
        <v>1366</v>
      </c>
      <c r="I596" s="686"/>
      <c r="J596" s="686"/>
      <c r="K596" s="692">
        <v>2570</v>
      </c>
      <c r="L596" s="693" t="s">
        <v>55</v>
      </c>
      <c r="M596" s="685" t="s">
        <v>318</v>
      </c>
      <c r="N596" s="688" t="s">
        <v>55</v>
      </c>
      <c r="O596" s="693"/>
      <c r="P596" s="685"/>
      <c r="Q596" s="685"/>
      <c r="R596" s="685"/>
      <c r="S596" s="685"/>
      <c r="T596" s="685"/>
      <c r="U596" s="685"/>
      <c r="V596" s="685"/>
      <c r="W596" s="685"/>
      <c r="X596" s="687"/>
      <c r="Y596" s="687"/>
      <c r="Z596" s="685" t="s">
        <v>1367</v>
      </c>
      <c r="AA596" s="688" t="s">
        <v>304</v>
      </c>
    </row>
    <row r="597" spans="1:27" s="64" customFormat="1" ht="12" customHeight="1" x14ac:dyDescent="0.25">
      <c r="A597" s="683" t="s">
        <v>1345</v>
      </c>
      <c r="B597" s="684"/>
      <c r="C597" s="684" t="s">
        <v>1398</v>
      </c>
      <c r="D597" s="684" t="s">
        <v>1393</v>
      </c>
      <c r="E597" s="684"/>
      <c r="F597" s="684" t="s">
        <v>51</v>
      </c>
      <c r="G597" s="685" t="s">
        <v>47</v>
      </c>
      <c r="H597" s="684" t="s">
        <v>1366</v>
      </c>
      <c r="I597" s="686"/>
      <c r="J597" s="686"/>
      <c r="K597" s="692">
        <v>1080</v>
      </c>
      <c r="L597" s="693" t="s">
        <v>55</v>
      </c>
      <c r="M597" s="685" t="s">
        <v>318</v>
      </c>
      <c r="N597" s="688" t="s">
        <v>55</v>
      </c>
      <c r="O597" s="693"/>
      <c r="P597" s="685"/>
      <c r="Q597" s="685"/>
      <c r="R597" s="685"/>
      <c r="S597" s="685"/>
      <c r="T597" s="685"/>
      <c r="U597" s="685"/>
      <c r="V597" s="685"/>
      <c r="W597" s="685"/>
      <c r="X597" s="687"/>
      <c r="Y597" s="687"/>
      <c r="Z597" s="685" t="s">
        <v>1367</v>
      </c>
      <c r="AA597" s="688" t="s">
        <v>304</v>
      </c>
    </row>
    <row r="598" spans="1:27" s="64" customFormat="1" ht="12" customHeight="1" x14ac:dyDescent="0.25">
      <c r="A598" s="683" t="s">
        <v>1345</v>
      </c>
      <c r="B598" s="684"/>
      <c r="C598" s="684" t="s">
        <v>1398</v>
      </c>
      <c r="D598" s="684" t="s">
        <v>1393</v>
      </c>
      <c r="E598" s="684" t="s">
        <v>1369</v>
      </c>
      <c r="F598" s="684" t="s">
        <v>53</v>
      </c>
      <c r="G598" s="685" t="s">
        <v>47</v>
      </c>
      <c r="H598" s="684" t="s">
        <v>1366</v>
      </c>
      <c r="I598" s="686"/>
      <c r="J598" s="686"/>
      <c r="K598" s="692">
        <v>2570</v>
      </c>
      <c r="L598" s="693" t="s">
        <v>55</v>
      </c>
      <c r="M598" s="685" t="s">
        <v>318</v>
      </c>
      <c r="N598" s="688" t="s">
        <v>55</v>
      </c>
      <c r="O598" s="693"/>
      <c r="P598" s="685"/>
      <c r="Q598" s="685"/>
      <c r="R598" s="685"/>
      <c r="S598" s="685"/>
      <c r="T598" s="685"/>
      <c r="U598" s="685"/>
      <c r="V598" s="685"/>
      <c r="W598" s="685"/>
      <c r="X598" s="687"/>
      <c r="Y598" s="687"/>
      <c r="Z598" s="685" t="s">
        <v>1367</v>
      </c>
      <c r="AA598" s="688" t="s">
        <v>304</v>
      </c>
    </row>
    <row r="599" spans="1:27" s="64" customFormat="1" ht="12" customHeight="1" x14ac:dyDescent="0.25">
      <c r="A599" s="683" t="s">
        <v>1345</v>
      </c>
      <c r="B599" s="684"/>
      <c r="C599" s="684" t="s">
        <v>1347</v>
      </c>
      <c r="D599" s="684" t="s">
        <v>1394</v>
      </c>
      <c r="E599" s="684"/>
      <c r="F599" s="684" t="s">
        <v>51</v>
      </c>
      <c r="G599" s="685" t="s">
        <v>47</v>
      </c>
      <c r="H599" s="684" t="s">
        <v>1366</v>
      </c>
      <c r="I599" s="686"/>
      <c r="J599" s="686"/>
      <c r="K599" s="692">
        <v>1080</v>
      </c>
      <c r="L599" s="693" t="s">
        <v>55</v>
      </c>
      <c r="M599" s="685" t="s">
        <v>318</v>
      </c>
      <c r="N599" s="688" t="s">
        <v>55</v>
      </c>
      <c r="O599" s="693"/>
      <c r="P599" s="685"/>
      <c r="Q599" s="685"/>
      <c r="R599" s="685"/>
      <c r="S599" s="685"/>
      <c r="T599" s="685"/>
      <c r="U599" s="685"/>
      <c r="V599" s="685"/>
      <c r="W599" s="685"/>
      <c r="X599" s="687"/>
      <c r="Y599" s="687"/>
      <c r="Z599" s="685" t="s">
        <v>1367</v>
      </c>
      <c r="AA599" s="688" t="s">
        <v>304</v>
      </c>
    </row>
    <row r="600" spans="1:27" s="64" customFormat="1" ht="12" customHeight="1" x14ac:dyDescent="0.25">
      <c r="A600" s="683" t="s">
        <v>1345</v>
      </c>
      <c r="B600" s="684"/>
      <c r="C600" s="684" t="s">
        <v>1392</v>
      </c>
      <c r="D600" s="684" t="s">
        <v>1393</v>
      </c>
      <c r="E600" s="684"/>
      <c r="F600" s="684" t="s">
        <v>51</v>
      </c>
      <c r="G600" s="685" t="s">
        <v>47</v>
      </c>
      <c r="H600" s="684" t="s">
        <v>1366</v>
      </c>
      <c r="I600" s="686"/>
      <c r="J600" s="686"/>
      <c r="K600" s="692">
        <v>1080</v>
      </c>
      <c r="L600" s="693" t="s">
        <v>55</v>
      </c>
      <c r="M600" s="685" t="s">
        <v>318</v>
      </c>
      <c r="N600" s="688" t="s">
        <v>55</v>
      </c>
      <c r="O600" s="693"/>
      <c r="P600" s="685"/>
      <c r="Q600" s="685"/>
      <c r="R600" s="685"/>
      <c r="S600" s="685"/>
      <c r="T600" s="685"/>
      <c r="U600" s="685"/>
      <c r="V600" s="685"/>
      <c r="W600" s="685"/>
      <c r="X600" s="687"/>
      <c r="Y600" s="687"/>
      <c r="Z600" s="685" t="s">
        <v>1367</v>
      </c>
      <c r="AA600" s="688" t="s">
        <v>304</v>
      </c>
    </row>
    <row r="601" spans="1:27" s="64" customFormat="1" ht="12" customHeight="1" x14ac:dyDescent="0.25">
      <c r="A601" s="683" t="s">
        <v>1345</v>
      </c>
      <c r="B601" s="684"/>
      <c r="C601" s="684" t="s">
        <v>1392</v>
      </c>
      <c r="D601" s="684" t="s">
        <v>1393</v>
      </c>
      <c r="E601" s="684" t="s">
        <v>1369</v>
      </c>
      <c r="F601" s="684" t="s">
        <v>53</v>
      </c>
      <c r="G601" s="685" t="s">
        <v>47</v>
      </c>
      <c r="H601" s="684" t="s">
        <v>1366</v>
      </c>
      <c r="I601" s="686"/>
      <c r="J601" s="686"/>
      <c r="K601" s="692">
        <v>2570</v>
      </c>
      <c r="L601" s="693" t="s">
        <v>55</v>
      </c>
      <c r="M601" s="685" t="s">
        <v>318</v>
      </c>
      <c r="N601" s="688" t="s">
        <v>55</v>
      </c>
      <c r="O601" s="693"/>
      <c r="P601" s="685"/>
      <c r="Q601" s="685"/>
      <c r="R601" s="685"/>
      <c r="S601" s="685"/>
      <c r="T601" s="685"/>
      <c r="U601" s="685"/>
      <c r="V601" s="685"/>
      <c r="W601" s="685"/>
      <c r="X601" s="687"/>
      <c r="Y601" s="687"/>
      <c r="Z601" s="685" t="s">
        <v>1367</v>
      </c>
      <c r="AA601" s="688" t="s">
        <v>304</v>
      </c>
    </row>
    <row r="602" spans="1:27" s="64" customFormat="1" ht="12" customHeight="1" x14ac:dyDescent="0.25">
      <c r="A602" s="683" t="s">
        <v>1345</v>
      </c>
      <c r="B602" s="684"/>
      <c r="C602" s="684" t="s">
        <v>1399</v>
      </c>
      <c r="D602" s="684" t="s">
        <v>1393</v>
      </c>
      <c r="E602" s="684"/>
      <c r="F602" s="684" t="s">
        <v>51</v>
      </c>
      <c r="G602" s="685" t="s">
        <v>47</v>
      </c>
      <c r="H602" s="684" t="s">
        <v>1366</v>
      </c>
      <c r="I602" s="686"/>
      <c r="J602" s="686"/>
      <c r="K602" s="692">
        <v>1080</v>
      </c>
      <c r="L602" s="693" t="s">
        <v>55</v>
      </c>
      <c r="M602" s="685" t="s">
        <v>318</v>
      </c>
      <c r="N602" s="688" t="s">
        <v>55</v>
      </c>
      <c r="O602" s="693"/>
      <c r="P602" s="685"/>
      <c r="Q602" s="685"/>
      <c r="R602" s="685"/>
      <c r="S602" s="685"/>
      <c r="T602" s="685"/>
      <c r="U602" s="685"/>
      <c r="V602" s="685"/>
      <c r="W602" s="685"/>
      <c r="X602" s="687"/>
      <c r="Y602" s="687"/>
      <c r="Z602" s="685" t="s">
        <v>1367</v>
      </c>
      <c r="AA602" s="688" t="s">
        <v>304</v>
      </c>
    </row>
    <row r="603" spans="1:27" s="64" customFormat="1" ht="12" customHeight="1" x14ac:dyDescent="0.25">
      <c r="A603" s="683" t="s">
        <v>1345</v>
      </c>
      <c r="B603" s="684"/>
      <c r="C603" s="684" t="s">
        <v>1399</v>
      </c>
      <c r="D603" s="684" t="s">
        <v>1394</v>
      </c>
      <c r="E603" s="684"/>
      <c r="F603" s="684" t="s">
        <v>51</v>
      </c>
      <c r="G603" s="685" t="s">
        <v>47</v>
      </c>
      <c r="H603" s="684" t="s">
        <v>1366</v>
      </c>
      <c r="I603" s="686"/>
      <c r="J603" s="686"/>
      <c r="K603" s="692">
        <v>1080</v>
      </c>
      <c r="L603" s="693" t="s">
        <v>55</v>
      </c>
      <c r="M603" s="685" t="s">
        <v>318</v>
      </c>
      <c r="N603" s="688" t="s">
        <v>55</v>
      </c>
      <c r="O603" s="693"/>
      <c r="P603" s="685"/>
      <c r="Q603" s="685"/>
      <c r="R603" s="685"/>
      <c r="S603" s="685"/>
      <c r="T603" s="685"/>
      <c r="U603" s="685"/>
      <c r="V603" s="685"/>
      <c r="W603" s="685"/>
      <c r="X603" s="687"/>
      <c r="Y603" s="687"/>
      <c r="Z603" s="685" t="s">
        <v>1367</v>
      </c>
      <c r="AA603" s="688" t="s">
        <v>304</v>
      </c>
    </row>
    <row r="604" spans="1:27" s="64" customFormat="1" ht="12" customHeight="1" x14ac:dyDescent="0.25">
      <c r="A604" s="683" t="s">
        <v>1345</v>
      </c>
      <c r="B604" s="684"/>
      <c r="C604" s="684" t="s">
        <v>1399</v>
      </c>
      <c r="D604" s="684" t="s">
        <v>1393</v>
      </c>
      <c r="E604" s="684" t="s">
        <v>1369</v>
      </c>
      <c r="F604" s="684" t="s">
        <v>53</v>
      </c>
      <c r="G604" s="685" t="s">
        <v>47</v>
      </c>
      <c r="H604" s="684" t="s">
        <v>1366</v>
      </c>
      <c r="I604" s="686"/>
      <c r="J604" s="686"/>
      <c r="K604" s="692">
        <v>2570</v>
      </c>
      <c r="L604" s="693" t="s">
        <v>55</v>
      </c>
      <c r="M604" s="685" t="s">
        <v>318</v>
      </c>
      <c r="N604" s="688" t="s">
        <v>55</v>
      </c>
      <c r="O604" s="693"/>
      <c r="P604" s="685"/>
      <c r="Q604" s="685"/>
      <c r="R604" s="685"/>
      <c r="S604" s="685"/>
      <c r="T604" s="685"/>
      <c r="U604" s="685"/>
      <c r="V604" s="685"/>
      <c r="W604" s="685"/>
      <c r="X604" s="687"/>
      <c r="Y604" s="687"/>
      <c r="Z604" s="685" t="s">
        <v>1367</v>
      </c>
      <c r="AA604" s="688" t="s">
        <v>304</v>
      </c>
    </row>
    <row r="605" spans="1:27" s="64" customFormat="1" ht="12" customHeight="1" x14ac:dyDescent="0.25">
      <c r="A605" s="683" t="s">
        <v>1345</v>
      </c>
      <c r="B605" s="684"/>
      <c r="C605" s="684" t="s">
        <v>1400</v>
      </c>
      <c r="D605" s="684" t="s">
        <v>1393</v>
      </c>
      <c r="E605" s="684"/>
      <c r="F605" s="684" t="s">
        <v>51</v>
      </c>
      <c r="G605" s="685" t="s">
        <v>47</v>
      </c>
      <c r="H605" s="684" t="s">
        <v>1366</v>
      </c>
      <c r="I605" s="686"/>
      <c r="J605" s="686"/>
      <c r="K605" s="692">
        <v>1180</v>
      </c>
      <c r="L605" s="693" t="s">
        <v>55</v>
      </c>
      <c r="M605" s="685" t="s">
        <v>318</v>
      </c>
      <c r="N605" s="688" t="s">
        <v>55</v>
      </c>
      <c r="O605" s="693"/>
      <c r="P605" s="685"/>
      <c r="Q605" s="685"/>
      <c r="R605" s="685"/>
      <c r="S605" s="685"/>
      <c r="T605" s="685"/>
      <c r="U605" s="685"/>
      <c r="V605" s="685"/>
      <c r="W605" s="685"/>
      <c r="X605" s="687"/>
      <c r="Y605" s="687"/>
      <c r="Z605" s="685" t="s">
        <v>1367</v>
      </c>
      <c r="AA605" s="688" t="s">
        <v>304</v>
      </c>
    </row>
    <row r="606" spans="1:27" s="64" customFormat="1" ht="12" customHeight="1" x14ac:dyDescent="0.25">
      <c r="A606" s="683" t="s">
        <v>1345</v>
      </c>
      <c r="B606" s="684"/>
      <c r="C606" s="684" t="s">
        <v>1400</v>
      </c>
      <c r="D606" s="684" t="s">
        <v>1394</v>
      </c>
      <c r="E606" s="684"/>
      <c r="F606" s="684" t="s">
        <v>51</v>
      </c>
      <c r="G606" s="685" t="s">
        <v>47</v>
      </c>
      <c r="H606" s="684" t="s">
        <v>1366</v>
      </c>
      <c r="I606" s="686"/>
      <c r="J606" s="686"/>
      <c r="K606" s="692">
        <v>1180</v>
      </c>
      <c r="L606" s="693" t="s">
        <v>55</v>
      </c>
      <c r="M606" s="685" t="s">
        <v>318</v>
      </c>
      <c r="N606" s="688" t="s">
        <v>55</v>
      </c>
      <c r="O606" s="693"/>
      <c r="P606" s="685"/>
      <c r="Q606" s="685"/>
      <c r="R606" s="685"/>
      <c r="S606" s="685"/>
      <c r="T606" s="685"/>
      <c r="U606" s="685"/>
      <c r="V606" s="685"/>
      <c r="W606" s="685"/>
      <c r="X606" s="687"/>
      <c r="Y606" s="687"/>
      <c r="Z606" s="685" t="s">
        <v>1367</v>
      </c>
      <c r="AA606" s="688" t="s">
        <v>304</v>
      </c>
    </row>
    <row r="607" spans="1:27" s="64" customFormat="1" ht="12" customHeight="1" x14ac:dyDescent="0.25">
      <c r="A607" s="683" t="s">
        <v>1345</v>
      </c>
      <c r="B607" s="684"/>
      <c r="C607" s="684" t="s">
        <v>1400</v>
      </c>
      <c r="D607" s="684" t="s">
        <v>1393</v>
      </c>
      <c r="E607" s="684" t="s">
        <v>1369</v>
      </c>
      <c r="F607" s="684" t="s">
        <v>53</v>
      </c>
      <c r="G607" s="685" t="s">
        <v>47</v>
      </c>
      <c r="H607" s="684" t="s">
        <v>1366</v>
      </c>
      <c r="I607" s="686"/>
      <c r="J607" s="686"/>
      <c r="K607" s="692">
        <v>2635</v>
      </c>
      <c r="L607" s="693" t="s">
        <v>55</v>
      </c>
      <c r="M607" s="685" t="s">
        <v>318</v>
      </c>
      <c r="N607" s="688" t="s">
        <v>55</v>
      </c>
      <c r="O607" s="693"/>
      <c r="P607" s="685"/>
      <c r="Q607" s="685"/>
      <c r="R607" s="685"/>
      <c r="S607" s="685"/>
      <c r="T607" s="685"/>
      <c r="U607" s="685"/>
      <c r="V607" s="685"/>
      <c r="W607" s="685"/>
      <c r="X607" s="687"/>
      <c r="Y607" s="687"/>
      <c r="Z607" s="685" t="s">
        <v>1367</v>
      </c>
      <c r="AA607" s="688" t="s">
        <v>304</v>
      </c>
    </row>
    <row r="608" spans="1:27" s="64" customFormat="1" ht="12" customHeight="1" x14ac:dyDescent="0.25">
      <c r="A608" s="683" t="s">
        <v>1345</v>
      </c>
      <c r="B608" s="684"/>
      <c r="C608" s="684" t="s">
        <v>1401</v>
      </c>
      <c r="D608" s="684" t="s">
        <v>1393</v>
      </c>
      <c r="E608" s="684"/>
      <c r="F608" s="684" t="s">
        <v>51</v>
      </c>
      <c r="G608" s="685" t="s">
        <v>47</v>
      </c>
      <c r="H608" s="684" t="s">
        <v>1366</v>
      </c>
      <c r="I608" s="686"/>
      <c r="J608" s="686"/>
      <c r="K608" s="692">
        <v>1080</v>
      </c>
      <c r="L608" s="693" t="s">
        <v>55</v>
      </c>
      <c r="M608" s="685" t="s">
        <v>318</v>
      </c>
      <c r="N608" s="688" t="s">
        <v>55</v>
      </c>
      <c r="O608" s="693"/>
      <c r="P608" s="685"/>
      <c r="Q608" s="685"/>
      <c r="R608" s="685"/>
      <c r="S608" s="685"/>
      <c r="T608" s="685"/>
      <c r="U608" s="685"/>
      <c r="V608" s="685"/>
      <c r="W608" s="685"/>
      <c r="X608" s="687"/>
      <c r="Y608" s="687"/>
      <c r="Z608" s="685" t="s">
        <v>1367</v>
      </c>
      <c r="AA608" s="688" t="s">
        <v>304</v>
      </c>
    </row>
    <row r="609" spans="1:29" s="64" customFormat="1" ht="12" customHeight="1" x14ac:dyDescent="0.25">
      <c r="A609" s="683" t="s">
        <v>1345</v>
      </c>
      <c r="B609" s="684"/>
      <c r="C609" s="684" t="s">
        <v>1401</v>
      </c>
      <c r="D609" s="684" t="s">
        <v>1393</v>
      </c>
      <c r="E609" s="684" t="s">
        <v>1369</v>
      </c>
      <c r="F609" s="684" t="s">
        <v>53</v>
      </c>
      <c r="G609" s="685" t="s">
        <v>47</v>
      </c>
      <c r="H609" s="684" t="s">
        <v>1366</v>
      </c>
      <c r="I609" s="686"/>
      <c r="J609" s="686"/>
      <c r="K609" s="692">
        <v>2570</v>
      </c>
      <c r="L609" s="693" t="s">
        <v>55</v>
      </c>
      <c r="M609" s="685" t="s">
        <v>318</v>
      </c>
      <c r="N609" s="688" t="s">
        <v>55</v>
      </c>
      <c r="O609" s="693"/>
      <c r="P609" s="685"/>
      <c r="Q609" s="685"/>
      <c r="R609" s="685"/>
      <c r="S609" s="685"/>
      <c r="T609" s="685"/>
      <c r="U609" s="685"/>
      <c r="V609" s="685"/>
      <c r="W609" s="685"/>
      <c r="X609" s="687"/>
      <c r="Y609" s="687"/>
      <c r="Z609" s="685" t="s">
        <v>1367</v>
      </c>
      <c r="AA609" s="688" t="s">
        <v>304</v>
      </c>
    </row>
    <row r="610" spans="1:29" s="64" customFormat="1" x14ac:dyDescent="0.25">
      <c r="A610" s="59"/>
      <c r="B610" s="60"/>
      <c r="C610" s="60"/>
      <c r="D610" s="60"/>
      <c r="E610" s="60"/>
      <c r="F610" s="60"/>
      <c r="G610" s="61"/>
      <c r="H610" s="60"/>
      <c r="I610" s="62"/>
      <c r="J610" s="62"/>
      <c r="K610" s="348"/>
      <c r="L610" s="65"/>
      <c r="M610" s="61"/>
      <c r="N610" s="63"/>
      <c r="O610" s="349"/>
      <c r="P610" s="61"/>
      <c r="Q610" s="61"/>
      <c r="R610" s="61"/>
      <c r="S610" s="61"/>
      <c r="T610" s="61"/>
      <c r="U610" s="61"/>
      <c r="V610" s="61"/>
      <c r="W610" s="61"/>
      <c r="X610" s="345"/>
      <c r="Y610" s="345"/>
      <c r="Z610" s="61"/>
      <c r="AA610" s="63"/>
    </row>
    <row r="611" spans="1:29" s="64" customFormat="1" ht="13.8" thickBot="1" x14ac:dyDescent="0.3">
      <c r="A611" s="191"/>
      <c r="B611" s="263"/>
      <c r="C611" s="263"/>
      <c r="D611" s="263"/>
      <c r="E611" s="263"/>
      <c r="F611" s="263"/>
      <c r="G611" s="195"/>
      <c r="H611" s="263"/>
      <c r="I611" s="342"/>
      <c r="J611" s="342"/>
      <c r="K611" s="350"/>
      <c r="L611" s="127"/>
      <c r="M611" s="195"/>
      <c r="N611" s="129"/>
      <c r="O611" s="351"/>
      <c r="P611" s="195"/>
      <c r="Q611" s="195"/>
      <c r="R611" s="195"/>
      <c r="S611" s="195"/>
      <c r="T611" s="195"/>
      <c r="U611" s="195"/>
      <c r="V611" s="195"/>
      <c r="W611" s="195"/>
      <c r="X611" s="352"/>
      <c r="Y611" s="352"/>
      <c r="Z611" s="195"/>
      <c r="AA611" s="129"/>
    </row>
    <row r="612" spans="1:29" x14ac:dyDescent="0.25">
      <c r="A612" s="142"/>
      <c r="B612" s="142"/>
      <c r="C612" s="142"/>
      <c r="D612" s="142"/>
      <c r="E612" s="142"/>
      <c r="F612" s="142"/>
      <c r="J612" s="199"/>
      <c r="K612" s="199"/>
      <c r="L612" s="199"/>
      <c r="M612" s="199"/>
      <c r="N612" s="199"/>
      <c r="O612" s="66"/>
      <c r="P612" s="66"/>
      <c r="Q612" s="66"/>
      <c r="R612" s="66"/>
      <c r="S612" s="64"/>
      <c r="T612" s="64"/>
      <c r="U612" s="64"/>
      <c r="V612" s="64"/>
      <c r="W612" s="64"/>
      <c r="X612" s="199"/>
    </row>
    <row r="613" spans="1:29" ht="13.8" thickBot="1" x14ac:dyDescent="0.3">
      <c r="A613" s="142"/>
      <c r="B613" s="142"/>
      <c r="C613" s="142"/>
      <c r="D613" s="142"/>
      <c r="E613" s="142"/>
      <c r="F613" s="142"/>
      <c r="J613" s="199"/>
      <c r="K613" s="199"/>
      <c r="L613" s="199"/>
      <c r="M613" s="199"/>
      <c r="N613" s="199"/>
      <c r="O613" s="66"/>
      <c r="P613" s="66"/>
      <c r="Q613" s="66"/>
      <c r="R613" s="66"/>
      <c r="S613" s="64"/>
      <c r="T613" s="64"/>
      <c r="U613" s="64"/>
      <c r="V613" s="64"/>
      <c r="W613" s="64"/>
      <c r="X613" s="199"/>
    </row>
    <row r="614" spans="1:29" ht="13.8" thickBot="1" x14ac:dyDescent="0.3">
      <c r="A614" s="501" t="s">
        <v>291</v>
      </c>
      <c r="B614" s="570"/>
      <c r="C614" s="570"/>
      <c r="D614" s="571"/>
      <c r="E614" s="198"/>
      <c r="F614" s="198"/>
      <c r="G614" s="177"/>
      <c r="H614" s="177"/>
      <c r="I614" s="177"/>
      <c r="J614" s="177"/>
      <c r="K614" s="177"/>
      <c r="L614" s="177"/>
      <c r="M614" s="177"/>
      <c r="N614" s="177"/>
      <c r="O614" s="64"/>
      <c r="P614" s="200"/>
      <c r="Q614" s="200"/>
      <c r="R614" s="200"/>
      <c r="S614" s="57"/>
      <c r="T614" s="57"/>
      <c r="U614" s="57"/>
      <c r="V614" s="57"/>
      <c r="W614" s="200"/>
      <c r="X614" s="177"/>
      <c r="Y614" s="177"/>
    </row>
    <row r="615" spans="1:29" ht="15.75" customHeight="1" x14ac:dyDescent="0.25">
      <c r="A615" s="509" t="s">
        <v>558</v>
      </c>
      <c r="B615" s="499" t="s">
        <v>559</v>
      </c>
      <c r="C615" s="499" t="s">
        <v>11</v>
      </c>
      <c r="D615" s="499" t="s">
        <v>12</v>
      </c>
      <c r="E615" s="499" t="s">
        <v>13</v>
      </c>
      <c r="F615" s="499" t="s">
        <v>14</v>
      </c>
      <c r="G615" s="499" t="s">
        <v>15</v>
      </c>
      <c r="H615" s="499" t="s">
        <v>16</v>
      </c>
      <c r="I615" s="499">
        <v>20</v>
      </c>
      <c r="J615" s="499">
        <v>40</v>
      </c>
      <c r="K615" s="499" t="s">
        <v>19</v>
      </c>
      <c r="L615" s="497" t="s">
        <v>20</v>
      </c>
      <c r="M615" s="591" t="s">
        <v>28</v>
      </c>
      <c r="N615" s="207" t="s">
        <v>68</v>
      </c>
      <c r="O615" s="53" t="s">
        <v>63</v>
      </c>
      <c r="P615" s="180" t="s">
        <v>64</v>
      </c>
      <c r="Q615" s="179" t="s">
        <v>141</v>
      </c>
      <c r="R615" s="179" t="s">
        <v>70</v>
      </c>
      <c r="S615" s="179"/>
      <c r="T615" s="179"/>
      <c r="U615" s="179"/>
      <c r="V615" s="179"/>
      <c r="W615" s="179"/>
      <c r="X615" s="179"/>
      <c r="Y615" s="179"/>
      <c r="Z615" s="499" t="s">
        <v>22</v>
      </c>
      <c r="AA615" s="499" t="s">
        <v>23</v>
      </c>
      <c r="AB615" s="499" t="s">
        <v>24</v>
      </c>
      <c r="AC615" s="497" t="s">
        <v>330</v>
      </c>
    </row>
    <row r="616" spans="1:29" ht="40.200000000000003" thickBot="1" x14ac:dyDescent="0.3">
      <c r="A616" s="510"/>
      <c r="B616" s="504"/>
      <c r="C616" s="504"/>
      <c r="D616" s="504"/>
      <c r="E616" s="504"/>
      <c r="F616" s="504"/>
      <c r="G616" s="500"/>
      <c r="H616" s="504"/>
      <c r="I616" s="504"/>
      <c r="J616" s="504"/>
      <c r="K616" s="504"/>
      <c r="L616" s="498"/>
      <c r="M616" s="592"/>
      <c r="N616" s="208" t="s">
        <v>69</v>
      </c>
      <c r="O616" s="183" t="s">
        <v>66</v>
      </c>
      <c r="P616" s="185" t="s">
        <v>67</v>
      </c>
      <c r="Q616" s="202" t="s">
        <v>82</v>
      </c>
      <c r="R616" s="184" t="s">
        <v>82</v>
      </c>
      <c r="S616" s="184"/>
      <c r="T616" s="184"/>
      <c r="U616" s="184"/>
      <c r="V616" s="184"/>
      <c r="W616" s="184"/>
      <c r="X616" s="184"/>
      <c r="Y616" s="184"/>
      <c r="Z616" s="500"/>
      <c r="AA616" s="500"/>
      <c r="AB616" s="500"/>
      <c r="AC616" s="498"/>
    </row>
    <row r="617" spans="1:29" s="64" customFormat="1" x14ac:dyDescent="0.25">
      <c r="A617" s="385"/>
      <c r="B617" s="367"/>
      <c r="C617" s="367"/>
      <c r="D617" s="367"/>
      <c r="E617" s="367"/>
      <c r="F617" s="367"/>
      <c r="G617" s="337"/>
      <c r="H617" s="367"/>
      <c r="I617" s="346"/>
      <c r="J617" s="346"/>
      <c r="K617" s="346"/>
      <c r="L617" s="386"/>
      <c r="M617" s="387"/>
      <c r="N617" s="336"/>
      <c r="O617" s="337"/>
      <c r="P617" s="366"/>
      <c r="Q617" s="336"/>
      <c r="R617" s="337"/>
      <c r="S617" s="337"/>
      <c r="T617" s="337"/>
      <c r="U617" s="337"/>
      <c r="V617" s="337"/>
      <c r="W617" s="337"/>
      <c r="X617" s="337"/>
      <c r="Y617" s="337"/>
      <c r="Z617" s="375"/>
      <c r="AA617" s="375"/>
      <c r="AB617" s="337"/>
      <c r="AC617" s="366"/>
    </row>
    <row r="618" spans="1:29" s="64" customFormat="1" ht="15" customHeight="1" x14ac:dyDescent="0.25">
      <c r="A618" s="59"/>
      <c r="B618" s="186"/>
      <c r="C618" s="186"/>
      <c r="D618" s="186"/>
      <c r="E618" s="186"/>
      <c r="F618" s="186"/>
      <c r="G618" s="187"/>
      <c r="H618" s="186"/>
      <c r="I618" s="188"/>
      <c r="J618" s="188"/>
      <c r="K618" s="188"/>
      <c r="L618" s="203"/>
      <c r="M618" s="209"/>
      <c r="N618" s="204"/>
      <c r="O618" s="187"/>
      <c r="P618" s="190"/>
      <c r="Q618" s="65"/>
      <c r="R618" s="61"/>
      <c r="S618" s="61"/>
      <c r="T618" s="61"/>
      <c r="U618" s="61"/>
      <c r="V618" s="61"/>
      <c r="W618" s="187"/>
      <c r="X618" s="187"/>
      <c r="Y618" s="187"/>
      <c r="Z618" s="189"/>
      <c r="AA618" s="189"/>
      <c r="AB618" s="187"/>
      <c r="AC618" s="190"/>
    </row>
    <row r="619" spans="1:29" s="64" customFormat="1" x14ac:dyDescent="0.25">
      <c r="A619" s="59"/>
      <c r="B619" s="186"/>
      <c r="C619" s="186"/>
      <c r="D619" s="186"/>
      <c r="E619" s="186"/>
      <c r="F619" s="186"/>
      <c r="G619" s="187"/>
      <c r="H619" s="186"/>
      <c r="I619" s="188"/>
      <c r="J619" s="188"/>
      <c r="K619" s="188"/>
      <c r="L619" s="203"/>
      <c r="M619" s="209"/>
      <c r="N619" s="204"/>
      <c r="O619" s="187"/>
      <c r="P619" s="190"/>
      <c r="Q619" s="65"/>
      <c r="R619" s="61"/>
      <c r="S619" s="61"/>
      <c r="T619" s="61"/>
      <c r="U619" s="61"/>
      <c r="V619" s="61"/>
      <c r="W619" s="187"/>
      <c r="X619" s="187"/>
      <c r="Y619" s="187"/>
      <c r="Z619" s="189"/>
      <c r="AA619" s="189"/>
      <c r="AB619" s="187"/>
      <c r="AC619" s="190"/>
    </row>
    <row r="620" spans="1:29" s="64" customFormat="1" ht="13.8" thickBot="1" x14ac:dyDescent="0.3">
      <c r="A620" s="191"/>
      <c r="B620" s="192"/>
      <c r="C620" s="192"/>
      <c r="D620" s="192"/>
      <c r="E620" s="192"/>
      <c r="F620" s="192"/>
      <c r="G620" s="193"/>
      <c r="H620" s="192"/>
      <c r="I620" s="194"/>
      <c r="J620" s="194"/>
      <c r="K620" s="194"/>
      <c r="L620" s="205"/>
      <c r="M620" s="210"/>
      <c r="N620" s="206"/>
      <c r="O620" s="193"/>
      <c r="P620" s="197"/>
      <c r="Q620" s="206"/>
      <c r="R620" s="193"/>
      <c r="S620" s="193"/>
      <c r="T620" s="193"/>
      <c r="U620" s="193"/>
      <c r="V620" s="193"/>
      <c r="W620" s="193"/>
      <c r="X620" s="193"/>
      <c r="Y620" s="193"/>
      <c r="Z620" s="196"/>
      <c r="AA620" s="196"/>
      <c r="AB620" s="193"/>
      <c r="AC620" s="197"/>
    </row>
    <row r="621" spans="1:29" x14ac:dyDescent="0.25">
      <c r="A621" s="198"/>
      <c r="B621" s="198"/>
      <c r="C621" s="198"/>
      <c r="D621" s="198"/>
      <c r="E621" s="198"/>
      <c r="F621" s="198"/>
      <c r="G621" s="177"/>
      <c r="H621" s="177"/>
      <c r="I621" s="177"/>
      <c r="J621" s="177"/>
      <c r="K621" s="177"/>
      <c r="M621" s="177"/>
      <c r="V621" s="177"/>
      <c r="W621" s="177"/>
    </row>
    <row r="622" spans="1:29" x14ac:dyDescent="0.25">
      <c r="A622" s="198"/>
      <c r="B622" s="198"/>
      <c r="C622" s="198"/>
      <c r="D622" s="198"/>
      <c r="E622" s="198"/>
      <c r="F622" s="177"/>
      <c r="G622" s="177"/>
      <c r="H622" s="177"/>
      <c r="I622" s="177"/>
      <c r="J622" s="177"/>
      <c r="K622" s="199"/>
      <c r="L622" s="177"/>
      <c r="M622" s="177"/>
      <c r="N622" s="177"/>
      <c r="S622" s="177"/>
      <c r="T622" s="177"/>
      <c r="U622" s="177"/>
    </row>
    <row r="623" spans="1:29" ht="13.8" thickBot="1" x14ac:dyDescent="0.3">
      <c r="A623" s="198"/>
      <c r="B623" s="198"/>
      <c r="C623" s="198"/>
      <c r="D623" s="198"/>
      <c r="E623" s="177"/>
      <c r="F623" s="177"/>
      <c r="G623" s="177"/>
      <c r="H623" s="177"/>
      <c r="I623" s="177"/>
      <c r="J623" s="199"/>
      <c r="K623" s="199"/>
      <c r="L623" s="199"/>
      <c r="M623" s="199"/>
      <c r="R623" s="199"/>
    </row>
    <row r="624" spans="1:29" ht="13.8" thickBot="1" x14ac:dyDescent="0.3">
      <c r="A624" s="501" t="s">
        <v>29</v>
      </c>
      <c r="B624" s="570"/>
      <c r="C624" s="571"/>
      <c r="D624" s="198"/>
      <c r="E624" s="198"/>
      <c r="F624" s="177"/>
      <c r="G624" s="177"/>
      <c r="H624" s="177"/>
      <c r="I624" s="177"/>
      <c r="J624" s="177"/>
      <c r="K624" s="199"/>
      <c r="L624" s="199"/>
      <c r="M624" s="199"/>
      <c r="N624" s="199"/>
      <c r="S624" s="199"/>
      <c r="T624" s="199"/>
      <c r="U624" s="199"/>
    </row>
    <row r="625" spans="1:22" ht="13.8" thickBot="1" x14ac:dyDescent="0.3">
      <c r="A625" s="582" t="s">
        <v>556</v>
      </c>
      <c r="B625" s="583"/>
      <c r="C625" s="584"/>
      <c r="D625" s="198"/>
      <c r="E625" s="198"/>
      <c r="F625" s="198"/>
      <c r="G625" s="177"/>
      <c r="H625" s="177"/>
      <c r="I625" s="177"/>
      <c r="J625" s="177"/>
      <c r="K625" s="177"/>
      <c r="L625" s="199"/>
      <c r="N625" s="199"/>
      <c r="O625" s="199"/>
      <c r="V625" s="199"/>
    </row>
    <row r="626" spans="1:22" x14ac:dyDescent="0.25">
      <c r="A626" s="211" t="s">
        <v>30</v>
      </c>
      <c r="B626" s="212"/>
      <c r="C626" s="213" t="s">
        <v>149</v>
      </c>
      <c r="D626" s="214"/>
      <c r="E626" s="214"/>
      <c r="F626" s="215"/>
      <c r="G626" s="215"/>
      <c r="H626" s="214"/>
      <c r="I626" s="215"/>
      <c r="J626" s="214"/>
      <c r="K626" s="216"/>
      <c r="L626" s="217"/>
      <c r="N626" s="199"/>
      <c r="O626" s="199"/>
      <c r="P626" s="199"/>
    </row>
    <row r="627" spans="1:22" x14ac:dyDescent="0.25">
      <c r="A627" s="163" t="s">
        <v>557</v>
      </c>
      <c r="B627" s="218"/>
      <c r="C627" s="218"/>
      <c r="D627" s="219"/>
      <c r="E627" s="219"/>
      <c r="F627" s="220"/>
      <c r="G627" s="220"/>
      <c r="H627" s="219"/>
      <c r="I627" s="220"/>
      <c r="J627" s="219"/>
      <c r="K627" s="221"/>
      <c r="L627" s="222"/>
      <c r="N627" s="199"/>
      <c r="O627" s="199"/>
      <c r="P627" s="199"/>
    </row>
    <row r="628" spans="1:22" x14ac:dyDescent="0.25">
      <c r="A628" s="163" t="s">
        <v>165</v>
      </c>
      <c r="B628" s="218"/>
      <c r="C628" s="218"/>
      <c r="D628" s="219"/>
      <c r="E628" s="219"/>
      <c r="F628" s="220"/>
      <c r="G628" s="220"/>
      <c r="H628" s="219"/>
      <c r="I628" s="220"/>
      <c r="J628" s="219"/>
      <c r="K628" s="221"/>
      <c r="L628" s="222"/>
      <c r="N628" s="199"/>
      <c r="O628" s="199"/>
      <c r="P628" s="199"/>
    </row>
    <row r="629" spans="1:22" x14ac:dyDescent="0.25">
      <c r="A629" s="163" t="s">
        <v>861</v>
      </c>
      <c r="B629" s="218"/>
      <c r="C629" s="218"/>
      <c r="D629" s="219"/>
      <c r="E629" s="219"/>
      <c r="F629" s="220"/>
      <c r="G629" s="220"/>
      <c r="H629" s="219"/>
      <c r="I629" s="220"/>
      <c r="J629" s="219"/>
      <c r="K629" s="221"/>
      <c r="L629" s="222"/>
      <c r="N629" s="199"/>
      <c r="O629" s="199"/>
      <c r="P629" s="199"/>
    </row>
    <row r="630" spans="1:22" ht="13.8" thickBot="1" x14ac:dyDescent="0.3">
      <c r="A630" s="137" t="s">
        <v>862</v>
      </c>
      <c r="B630" s="223"/>
      <c r="C630" s="223"/>
      <c r="D630" s="224"/>
      <c r="E630" s="224"/>
      <c r="F630" s="225"/>
      <c r="G630" s="225"/>
      <c r="H630" s="224"/>
      <c r="I630" s="225"/>
      <c r="J630" s="224"/>
      <c r="K630" s="226"/>
      <c r="L630" s="227"/>
      <c r="N630" s="199"/>
      <c r="O630" s="199"/>
      <c r="P630" s="199"/>
    </row>
    <row r="631" spans="1:22" ht="13.8" thickBot="1" x14ac:dyDescent="0.3">
      <c r="A631" s="228"/>
      <c r="B631" s="142"/>
      <c r="C631" s="199"/>
      <c r="D631" s="198"/>
      <c r="E631" s="198"/>
      <c r="F631" s="198"/>
      <c r="G631" s="198"/>
      <c r="H631" s="177"/>
      <c r="I631" s="177"/>
      <c r="J631" s="177"/>
      <c r="K631" s="177"/>
      <c r="L631" s="177"/>
      <c r="M631" s="199"/>
      <c r="O631" s="199"/>
      <c r="P631" s="199"/>
      <c r="Q631" s="177"/>
    </row>
    <row r="632" spans="1:22" s="181" customFormat="1" ht="27" thickBot="1" x14ac:dyDescent="0.3">
      <c r="A632" s="229" t="s">
        <v>31</v>
      </c>
      <c r="B632" s="505" t="s">
        <v>559</v>
      </c>
      <c r="C632" s="505"/>
      <c r="D632" s="506"/>
      <c r="E632" s="54" t="s">
        <v>11</v>
      </c>
      <c r="F632" s="54" t="s">
        <v>14</v>
      </c>
      <c r="G632" s="54" t="s">
        <v>273</v>
      </c>
      <c r="H632" s="54" t="s">
        <v>32</v>
      </c>
      <c r="I632" s="54" t="s">
        <v>16</v>
      </c>
      <c r="J632" s="54" t="s">
        <v>17</v>
      </c>
      <c r="K632" s="54" t="s">
        <v>18</v>
      </c>
      <c r="L632" s="54" t="s">
        <v>19</v>
      </c>
      <c r="M632" s="54" t="s">
        <v>20</v>
      </c>
      <c r="N632" s="230" t="s">
        <v>117</v>
      </c>
      <c r="O632" s="54" t="s">
        <v>92</v>
      </c>
    </row>
    <row r="633" spans="1:22" s="64" customFormat="1" x14ac:dyDescent="0.25">
      <c r="A633" s="61" t="s">
        <v>1428</v>
      </c>
      <c r="B633" s="511" t="s">
        <v>1429</v>
      </c>
      <c r="C633" s="511"/>
      <c r="D633" s="511"/>
      <c r="E633" s="61" t="s">
        <v>1430</v>
      </c>
      <c r="F633" s="61" t="s">
        <v>54</v>
      </c>
      <c r="G633" s="61" t="s">
        <v>55</v>
      </c>
      <c r="H633" s="61"/>
      <c r="I633" s="61" t="s">
        <v>1366</v>
      </c>
      <c r="J633" s="62">
        <v>270</v>
      </c>
      <c r="K633" s="62">
        <v>300</v>
      </c>
      <c r="L633" s="62">
        <v>300</v>
      </c>
      <c r="M633" s="62">
        <v>380</v>
      </c>
      <c r="N633" s="55" t="s">
        <v>1344</v>
      </c>
      <c r="O633" s="61" t="s">
        <v>52</v>
      </c>
      <c r="P633" s="66"/>
      <c r="Q633" s="66"/>
      <c r="R633" s="66"/>
      <c r="S633" s="66"/>
      <c r="T633" s="66"/>
      <c r="U633" s="66"/>
      <c r="V633" s="66"/>
    </row>
    <row r="634" spans="1:22" s="64" customFormat="1" x14ac:dyDescent="0.25">
      <c r="A634" s="61" t="s">
        <v>1428</v>
      </c>
      <c r="B634" s="511" t="s">
        <v>1429</v>
      </c>
      <c r="C634" s="511"/>
      <c r="D634" s="511"/>
      <c r="E634" s="61" t="s">
        <v>1431</v>
      </c>
      <c r="F634" s="61" t="s">
        <v>389</v>
      </c>
      <c r="G634" s="61" t="s">
        <v>55</v>
      </c>
      <c r="H634" s="61"/>
      <c r="I634" s="61" t="s">
        <v>1366</v>
      </c>
      <c r="J634" s="62">
        <v>270</v>
      </c>
      <c r="K634" s="62">
        <v>300</v>
      </c>
      <c r="L634" s="62">
        <v>300</v>
      </c>
      <c r="M634" s="62">
        <v>380</v>
      </c>
      <c r="N634" s="55" t="s">
        <v>1344</v>
      </c>
      <c r="O634" s="61" t="s">
        <v>52</v>
      </c>
      <c r="P634" s="66"/>
      <c r="Q634" s="66"/>
      <c r="R634" s="66"/>
      <c r="S634" s="66"/>
      <c r="T634" s="66"/>
      <c r="U634" s="66"/>
      <c r="V634" s="66"/>
    </row>
    <row r="635" spans="1:22" s="64" customFormat="1" x14ac:dyDescent="0.25">
      <c r="A635" s="61" t="s">
        <v>1428</v>
      </c>
      <c r="B635" s="511" t="s">
        <v>1432</v>
      </c>
      <c r="C635" s="511"/>
      <c r="D635" s="511"/>
      <c r="E635" s="61" t="s">
        <v>1430</v>
      </c>
      <c r="F635" s="61" t="s">
        <v>54</v>
      </c>
      <c r="G635" s="61" t="s">
        <v>55</v>
      </c>
      <c r="H635" s="61"/>
      <c r="I635" s="61" t="s">
        <v>1366</v>
      </c>
      <c r="J635" s="62">
        <v>495</v>
      </c>
      <c r="K635" s="62">
        <v>550</v>
      </c>
      <c r="L635" s="62">
        <v>550</v>
      </c>
      <c r="M635" s="62">
        <v>700</v>
      </c>
      <c r="N635" s="55" t="s">
        <v>1344</v>
      </c>
      <c r="O635" s="61" t="s">
        <v>52</v>
      </c>
      <c r="P635" s="66"/>
      <c r="Q635" s="66"/>
      <c r="R635" s="66"/>
      <c r="S635" s="66"/>
      <c r="T635" s="66"/>
      <c r="U635" s="66"/>
      <c r="V635" s="66"/>
    </row>
    <row r="636" spans="1:22" s="64" customFormat="1" x14ac:dyDescent="0.25">
      <c r="A636" s="61" t="s">
        <v>1433</v>
      </c>
      <c r="B636" s="511" t="s">
        <v>1434</v>
      </c>
      <c r="C636" s="511"/>
      <c r="D636" s="511"/>
      <c r="E636" s="61" t="s">
        <v>1435</v>
      </c>
      <c r="F636" s="61" t="s">
        <v>54</v>
      </c>
      <c r="G636" s="61" t="s">
        <v>55</v>
      </c>
      <c r="H636" s="61"/>
      <c r="I636" s="61" t="s">
        <v>1366</v>
      </c>
      <c r="J636" s="62">
        <v>210</v>
      </c>
      <c r="K636" s="62">
        <v>230</v>
      </c>
      <c r="L636" s="62">
        <v>230</v>
      </c>
      <c r="M636" s="62">
        <v>295</v>
      </c>
      <c r="N636" s="55" t="s">
        <v>1344</v>
      </c>
      <c r="O636" s="61" t="s">
        <v>52</v>
      </c>
      <c r="P636" s="66"/>
      <c r="Q636" s="66"/>
      <c r="R636" s="66"/>
      <c r="S636" s="66"/>
      <c r="T636" s="66"/>
      <c r="U636" s="66"/>
      <c r="V636" s="66"/>
    </row>
    <row r="637" spans="1:22" s="64" customFormat="1" x14ac:dyDescent="0.25">
      <c r="A637" s="61" t="s">
        <v>1433</v>
      </c>
      <c r="B637" s="511" t="s">
        <v>1434</v>
      </c>
      <c r="C637" s="511"/>
      <c r="D637" s="511"/>
      <c r="E637" s="61" t="s">
        <v>1435</v>
      </c>
      <c r="F637" s="61" t="s">
        <v>389</v>
      </c>
      <c r="G637" s="61" t="s">
        <v>55</v>
      </c>
      <c r="H637" s="61"/>
      <c r="I637" s="61" t="s">
        <v>1366</v>
      </c>
      <c r="J637" s="62">
        <v>210</v>
      </c>
      <c r="K637" s="62">
        <v>230</v>
      </c>
      <c r="L637" s="62">
        <v>230</v>
      </c>
      <c r="M637" s="62">
        <v>295</v>
      </c>
      <c r="N637" s="55" t="s">
        <v>1344</v>
      </c>
      <c r="O637" s="61" t="s">
        <v>52</v>
      </c>
      <c r="P637" s="66"/>
      <c r="Q637" s="66"/>
      <c r="R637" s="66"/>
      <c r="S637" s="66"/>
      <c r="T637" s="66"/>
      <c r="U637" s="66"/>
      <c r="V637" s="66"/>
    </row>
    <row r="638" spans="1:22" s="64" customFormat="1" x14ac:dyDescent="0.25">
      <c r="A638" s="61" t="s">
        <v>1433</v>
      </c>
      <c r="B638" s="511" t="s">
        <v>1436</v>
      </c>
      <c r="C638" s="511"/>
      <c r="D638" s="511"/>
      <c r="E638" s="61" t="s">
        <v>1437</v>
      </c>
      <c r="F638" s="61" t="s">
        <v>54</v>
      </c>
      <c r="G638" s="61" t="s">
        <v>55</v>
      </c>
      <c r="H638" s="61"/>
      <c r="I638" s="61" t="s">
        <v>1366</v>
      </c>
      <c r="J638" s="62">
        <v>405</v>
      </c>
      <c r="K638" s="62">
        <v>450</v>
      </c>
      <c r="L638" s="62">
        <v>450</v>
      </c>
      <c r="M638" s="62">
        <v>570</v>
      </c>
      <c r="N638" s="55" t="s">
        <v>1344</v>
      </c>
      <c r="O638" s="61" t="s">
        <v>52</v>
      </c>
      <c r="P638" s="66"/>
      <c r="Q638" s="66"/>
      <c r="R638" s="66"/>
      <c r="S638" s="66"/>
      <c r="T638" s="66"/>
      <c r="U638" s="66"/>
      <c r="V638" s="66"/>
    </row>
    <row r="639" spans="1:22" s="64" customFormat="1" x14ac:dyDescent="0.25">
      <c r="A639" s="61" t="s">
        <v>1433</v>
      </c>
      <c r="B639" s="511" t="s">
        <v>1436</v>
      </c>
      <c r="C639" s="511"/>
      <c r="D639" s="511"/>
      <c r="E639" s="61" t="s">
        <v>1440</v>
      </c>
      <c r="F639" s="61" t="s">
        <v>389</v>
      </c>
      <c r="G639" s="61" t="s">
        <v>55</v>
      </c>
      <c r="H639" s="61"/>
      <c r="I639" s="61" t="s">
        <v>1366</v>
      </c>
      <c r="J639" s="62">
        <v>405</v>
      </c>
      <c r="K639" s="62">
        <v>450</v>
      </c>
      <c r="L639" s="62">
        <v>450</v>
      </c>
      <c r="M639" s="62">
        <v>570</v>
      </c>
      <c r="N639" s="55" t="s">
        <v>1344</v>
      </c>
      <c r="O639" s="61" t="s">
        <v>52</v>
      </c>
      <c r="P639" s="66"/>
      <c r="Q639" s="66"/>
      <c r="R639" s="66"/>
      <c r="S639" s="66"/>
      <c r="T639" s="66"/>
      <c r="U639" s="66"/>
      <c r="V639" s="66"/>
    </row>
    <row r="640" spans="1:22" s="64" customFormat="1" x14ac:dyDescent="0.25">
      <c r="A640" s="61" t="s">
        <v>1433</v>
      </c>
      <c r="B640" s="511" t="s">
        <v>1436</v>
      </c>
      <c r="C640" s="511"/>
      <c r="D640" s="511"/>
      <c r="E640" s="61" t="s">
        <v>1439</v>
      </c>
      <c r="F640" s="61" t="s">
        <v>389</v>
      </c>
      <c r="G640" s="61" t="s">
        <v>55</v>
      </c>
      <c r="H640" s="61"/>
      <c r="I640" s="61" t="s">
        <v>1366</v>
      </c>
      <c r="J640" s="62">
        <v>405</v>
      </c>
      <c r="K640" s="62">
        <v>450</v>
      </c>
      <c r="L640" s="62">
        <v>450</v>
      </c>
      <c r="M640" s="62">
        <v>570</v>
      </c>
      <c r="N640" s="55" t="s">
        <v>1344</v>
      </c>
      <c r="O640" s="61" t="s">
        <v>52</v>
      </c>
      <c r="P640" s="66"/>
      <c r="Q640" s="66"/>
      <c r="R640" s="66"/>
      <c r="S640" s="66"/>
      <c r="T640" s="66"/>
      <c r="U640" s="66"/>
      <c r="V640" s="66"/>
    </row>
    <row r="641" spans="1:22" s="64" customFormat="1" x14ac:dyDescent="0.25">
      <c r="A641" s="61" t="s">
        <v>1433</v>
      </c>
      <c r="B641" s="511" t="s">
        <v>1436</v>
      </c>
      <c r="C641" s="511"/>
      <c r="D641" s="511"/>
      <c r="E641" s="61" t="s">
        <v>1437</v>
      </c>
      <c r="F641" s="61" t="s">
        <v>389</v>
      </c>
      <c r="G641" s="61" t="s">
        <v>55</v>
      </c>
      <c r="H641" s="61"/>
      <c r="I641" s="61" t="s">
        <v>1366</v>
      </c>
      <c r="J641" s="62">
        <v>405</v>
      </c>
      <c r="K641" s="62">
        <v>450</v>
      </c>
      <c r="L641" s="62">
        <v>450</v>
      </c>
      <c r="M641" s="62">
        <v>570</v>
      </c>
      <c r="N641" s="55" t="s">
        <v>1344</v>
      </c>
      <c r="O641" s="61" t="s">
        <v>52</v>
      </c>
      <c r="P641" s="66"/>
      <c r="Q641" s="66"/>
      <c r="R641" s="66"/>
      <c r="S641" s="66"/>
      <c r="T641" s="66"/>
      <c r="U641" s="66"/>
      <c r="V641" s="66"/>
    </row>
    <row r="642" spans="1:22" s="64" customFormat="1" x14ac:dyDescent="0.25">
      <c r="A642" s="61" t="s">
        <v>1433</v>
      </c>
      <c r="B642" s="511" t="s">
        <v>1441</v>
      </c>
      <c r="C642" s="511"/>
      <c r="D642" s="511"/>
      <c r="E642" s="61" t="s">
        <v>1435</v>
      </c>
      <c r="F642" s="61" t="s">
        <v>54</v>
      </c>
      <c r="G642" s="61" t="s">
        <v>55</v>
      </c>
      <c r="H642" s="61"/>
      <c r="I642" s="61" t="s">
        <v>1366</v>
      </c>
      <c r="J642" s="62">
        <v>510</v>
      </c>
      <c r="K642" s="62">
        <v>565</v>
      </c>
      <c r="L642" s="62">
        <v>565</v>
      </c>
      <c r="M642" s="62">
        <v>720</v>
      </c>
      <c r="N642" s="55" t="s">
        <v>1344</v>
      </c>
      <c r="O642" s="61" t="s">
        <v>52</v>
      </c>
      <c r="P642" s="66"/>
      <c r="Q642" s="66"/>
      <c r="R642" s="66"/>
      <c r="S642" s="66"/>
      <c r="T642" s="66"/>
      <c r="U642" s="66"/>
      <c r="V642" s="66"/>
    </row>
    <row r="643" spans="1:22" s="64" customFormat="1" x14ac:dyDescent="0.25">
      <c r="A643" s="61" t="s">
        <v>1433</v>
      </c>
      <c r="B643" s="511" t="s">
        <v>1441</v>
      </c>
      <c r="C643" s="511"/>
      <c r="D643" s="511"/>
      <c r="E643" s="61" t="s">
        <v>1435</v>
      </c>
      <c r="F643" s="61" t="s">
        <v>389</v>
      </c>
      <c r="G643" s="61" t="s">
        <v>55</v>
      </c>
      <c r="H643" s="61"/>
      <c r="I643" s="61" t="s">
        <v>1366</v>
      </c>
      <c r="J643" s="62">
        <v>510</v>
      </c>
      <c r="K643" s="62">
        <v>565</v>
      </c>
      <c r="L643" s="62">
        <v>565</v>
      </c>
      <c r="M643" s="62">
        <v>720</v>
      </c>
      <c r="N643" s="55" t="s">
        <v>1344</v>
      </c>
      <c r="O643" s="61" t="s">
        <v>52</v>
      </c>
      <c r="P643" s="66"/>
      <c r="Q643" s="66"/>
      <c r="R643" s="66"/>
      <c r="S643" s="66"/>
      <c r="T643" s="66"/>
      <c r="U643" s="66"/>
      <c r="V643" s="66"/>
    </row>
    <row r="644" spans="1:22" s="64" customFormat="1" x14ac:dyDescent="0.25">
      <c r="A644" s="61" t="s">
        <v>1433</v>
      </c>
      <c r="B644" s="511" t="s">
        <v>1441</v>
      </c>
      <c r="C644" s="511"/>
      <c r="D644" s="511"/>
      <c r="E644" s="61" t="s">
        <v>1440</v>
      </c>
      <c r="F644" s="61" t="s">
        <v>56</v>
      </c>
      <c r="G644" s="61" t="s">
        <v>55</v>
      </c>
      <c r="H644" s="61"/>
      <c r="I644" s="61" t="s">
        <v>1366</v>
      </c>
      <c r="J644" s="62">
        <v>380</v>
      </c>
      <c r="K644" s="62">
        <v>525</v>
      </c>
      <c r="L644" s="62">
        <v>525</v>
      </c>
      <c r="M644" s="62"/>
      <c r="N644" s="55" t="s">
        <v>1344</v>
      </c>
      <c r="O644" s="61" t="s">
        <v>52</v>
      </c>
      <c r="P644" s="66"/>
      <c r="Q644" s="66"/>
      <c r="R644" s="66"/>
      <c r="S644" s="66"/>
      <c r="T644" s="66"/>
      <c r="U644" s="66"/>
      <c r="V644" s="66"/>
    </row>
    <row r="645" spans="1:22" s="64" customFormat="1" x14ac:dyDescent="0.25">
      <c r="A645" s="61" t="s">
        <v>1433</v>
      </c>
      <c r="B645" s="511" t="s">
        <v>1441</v>
      </c>
      <c r="C645" s="511"/>
      <c r="D645" s="511"/>
      <c r="E645" s="61" t="s">
        <v>1439</v>
      </c>
      <c r="F645" s="61" t="s">
        <v>56</v>
      </c>
      <c r="G645" s="61" t="s">
        <v>55</v>
      </c>
      <c r="H645" s="61"/>
      <c r="I645" s="61" t="s">
        <v>1366</v>
      </c>
      <c r="J645" s="62">
        <v>465</v>
      </c>
      <c r="K645" s="62">
        <v>590</v>
      </c>
      <c r="L645" s="62">
        <v>590</v>
      </c>
      <c r="M645" s="62"/>
      <c r="N645" s="55" t="s">
        <v>1344</v>
      </c>
      <c r="O645" s="61" t="s">
        <v>52</v>
      </c>
      <c r="P645" s="66"/>
      <c r="Q645" s="66"/>
      <c r="R645" s="66"/>
      <c r="S645" s="66"/>
      <c r="T645" s="66"/>
      <c r="U645" s="66"/>
      <c r="V645" s="66"/>
    </row>
    <row r="646" spans="1:22" s="64" customFormat="1" x14ac:dyDescent="0.25">
      <c r="A646" s="61" t="s">
        <v>1433</v>
      </c>
      <c r="B646" s="511" t="s">
        <v>1441</v>
      </c>
      <c r="C646" s="511"/>
      <c r="D646" s="511"/>
      <c r="E646" s="61" t="s">
        <v>1437</v>
      </c>
      <c r="F646" s="61" t="s">
        <v>56</v>
      </c>
      <c r="G646" s="61" t="s">
        <v>55</v>
      </c>
      <c r="H646" s="61"/>
      <c r="I646" s="61" t="s">
        <v>1366</v>
      </c>
      <c r="J646" s="62">
        <v>385</v>
      </c>
      <c r="K646" s="62">
        <v>575</v>
      </c>
      <c r="L646" s="62">
        <v>575</v>
      </c>
      <c r="M646" s="62"/>
      <c r="N646" s="55" t="s">
        <v>1344</v>
      </c>
      <c r="O646" s="61" t="s">
        <v>52</v>
      </c>
      <c r="P646" s="66"/>
      <c r="Q646" s="66"/>
      <c r="R646" s="66"/>
      <c r="S646" s="66"/>
      <c r="T646" s="66"/>
      <c r="U646" s="66"/>
      <c r="V646" s="66"/>
    </row>
    <row r="647" spans="1:22" s="64" customFormat="1" x14ac:dyDescent="0.25">
      <c r="A647" s="61" t="s">
        <v>1433</v>
      </c>
      <c r="B647" s="511" t="s">
        <v>1442</v>
      </c>
      <c r="C647" s="511"/>
      <c r="D647" s="511"/>
      <c r="E647" s="61" t="s">
        <v>1435</v>
      </c>
      <c r="F647" s="61" t="s">
        <v>54</v>
      </c>
      <c r="G647" s="61" t="s">
        <v>55</v>
      </c>
      <c r="H647" s="61"/>
      <c r="I647" s="61" t="s">
        <v>1366</v>
      </c>
      <c r="J647" s="62">
        <v>225</v>
      </c>
      <c r="K647" s="62">
        <v>250</v>
      </c>
      <c r="L647" s="62">
        <v>250</v>
      </c>
      <c r="M647" s="62">
        <v>320</v>
      </c>
      <c r="N647" s="55" t="s">
        <v>1344</v>
      </c>
      <c r="O647" s="61" t="s">
        <v>52</v>
      </c>
      <c r="P647" s="66"/>
      <c r="Q647" s="66"/>
      <c r="R647" s="66"/>
      <c r="S647" s="66"/>
      <c r="T647" s="66"/>
      <c r="U647" s="66"/>
      <c r="V647" s="66"/>
    </row>
    <row r="648" spans="1:22" s="64" customFormat="1" x14ac:dyDescent="0.25">
      <c r="A648" s="61" t="s">
        <v>1433</v>
      </c>
      <c r="B648" s="511" t="s">
        <v>1442</v>
      </c>
      <c r="C648" s="511"/>
      <c r="D648" s="511"/>
      <c r="E648" s="61" t="s">
        <v>1435</v>
      </c>
      <c r="F648" s="61" t="s">
        <v>389</v>
      </c>
      <c r="G648" s="61" t="s">
        <v>55</v>
      </c>
      <c r="H648" s="61"/>
      <c r="I648" s="61" t="s">
        <v>1366</v>
      </c>
      <c r="J648" s="62">
        <v>225</v>
      </c>
      <c r="K648" s="62">
        <v>250</v>
      </c>
      <c r="L648" s="62">
        <v>250</v>
      </c>
      <c r="M648" s="62">
        <v>320</v>
      </c>
      <c r="N648" s="55" t="s">
        <v>1344</v>
      </c>
      <c r="O648" s="61" t="s">
        <v>52</v>
      </c>
      <c r="P648" s="66"/>
      <c r="Q648" s="66"/>
      <c r="R648" s="66"/>
      <c r="S648" s="66"/>
      <c r="T648" s="66"/>
      <c r="U648" s="66"/>
      <c r="V648" s="66"/>
    </row>
    <row r="649" spans="1:22" s="64" customFormat="1" x14ac:dyDescent="0.25">
      <c r="A649" s="61" t="s">
        <v>1433</v>
      </c>
      <c r="B649" s="511" t="s">
        <v>1443</v>
      </c>
      <c r="C649" s="511"/>
      <c r="D649" s="511"/>
      <c r="E649" s="61" t="s">
        <v>1435</v>
      </c>
      <c r="F649" s="61" t="s">
        <v>54</v>
      </c>
      <c r="G649" s="61" t="s">
        <v>55</v>
      </c>
      <c r="H649" s="61"/>
      <c r="I649" s="61" t="s">
        <v>1366</v>
      </c>
      <c r="J649" s="62">
        <v>165</v>
      </c>
      <c r="K649" s="62">
        <v>180</v>
      </c>
      <c r="L649" s="62">
        <v>180</v>
      </c>
      <c r="M649" s="62">
        <v>230</v>
      </c>
      <c r="N649" s="55" t="s">
        <v>1344</v>
      </c>
      <c r="O649" s="61" t="s">
        <v>52</v>
      </c>
      <c r="P649" s="66"/>
      <c r="Q649" s="66"/>
      <c r="R649" s="66"/>
      <c r="S649" s="66"/>
      <c r="T649" s="66"/>
      <c r="U649" s="66"/>
      <c r="V649" s="66"/>
    </row>
    <row r="650" spans="1:22" s="64" customFormat="1" x14ac:dyDescent="0.25">
      <c r="A650" s="61" t="s">
        <v>1433</v>
      </c>
      <c r="B650" s="511" t="s">
        <v>1443</v>
      </c>
      <c r="C650" s="511"/>
      <c r="D650" s="511"/>
      <c r="E650" s="61" t="s">
        <v>1435</v>
      </c>
      <c r="F650" s="61" t="s">
        <v>389</v>
      </c>
      <c r="G650" s="61" t="s">
        <v>55</v>
      </c>
      <c r="H650" s="61"/>
      <c r="I650" s="61" t="s">
        <v>1366</v>
      </c>
      <c r="J650" s="62">
        <v>165</v>
      </c>
      <c r="K650" s="62">
        <v>180</v>
      </c>
      <c r="L650" s="62">
        <v>180</v>
      </c>
      <c r="M650" s="62">
        <v>230</v>
      </c>
      <c r="N650" s="55" t="s">
        <v>1344</v>
      </c>
      <c r="O650" s="61" t="s">
        <v>52</v>
      </c>
      <c r="P650" s="66"/>
      <c r="Q650" s="66"/>
      <c r="R650" s="66"/>
      <c r="S650" s="66"/>
      <c r="T650" s="66"/>
      <c r="U650" s="66"/>
      <c r="V650" s="66"/>
    </row>
    <row r="651" spans="1:22" s="64" customFormat="1" x14ac:dyDescent="0.25">
      <c r="A651" s="61" t="s">
        <v>1433</v>
      </c>
      <c r="B651" s="511" t="s">
        <v>1443</v>
      </c>
      <c r="C651" s="511"/>
      <c r="D651" s="511"/>
      <c r="E651" s="61" t="s">
        <v>1435</v>
      </c>
      <c r="F651" s="61" t="s">
        <v>56</v>
      </c>
      <c r="G651" s="61" t="s">
        <v>55</v>
      </c>
      <c r="H651" s="61"/>
      <c r="I651" s="61" t="s">
        <v>1366</v>
      </c>
      <c r="J651" s="62">
        <v>450</v>
      </c>
      <c r="K651" s="62">
        <v>620</v>
      </c>
      <c r="L651" s="62">
        <v>620</v>
      </c>
      <c r="M651" s="62">
        <v>360</v>
      </c>
      <c r="N651" s="55" t="s">
        <v>1344</v>
      </c>
      <c r="O651" s="61" t="s">
        <v>52</v>
      </c>
      <c r="P651" s="66"/>
      <c r="Q651" s="66"/>
      <c r="R651" s="66"/>
      <c r="S651" s="66"/>
      <c r="T651" s="66"/>
      <c r="U651" s="66"/>
      <c r="V651" s="66"/>
    </row>
    <row r="652" spans="1:22" s="64" customFormat="1" x14ac:dyDescent="0.25">
      <c r="A652" s="61" t="s">
        <v>1433</v>
      </c>
      <c r="B652" s="511" t="s">
        <v>1444</v>
      </c>
      <c r="C652" s="511"/>
      <c r="D652" s="511"/>
      <c r="E652" s="61" t="s">
        <v>1435</v>
      </c>
      <c r="F652" s="61" t="s">
        <v>56</v>
      </c>
      <c r="G652" s="61" t="s">
        <v>55</v>
      </c>
      <c r="H652" s="61"/>
      <c r="I652" s="61" t="s">
        <v>1366</v>
      </c>
      <c r="J652" s="62">
        <v>1115</v>
      </c>
      <c r="K652" s="62">
        <v>1970</v>
      </c>
      <c r="L652" s="62">
        <v>1970</v>
      </c>
      <c r="M652" s="62"/>
      <c r="N652" s="55" t="s">
        <v>1344</v>
      </c>
      <c r="O652" s="61" t="s">
        <v>52</v>
      </c>
      <c r="P652" s="66"/>
      <c r="Q652" s="66"/>
      <c r="R652" s="66"/>
      <c r="S652" s="66"/>
      <c r="T652" s="66"/>
      <c r="U652" s="66"/>
      <c r="V652" s="66"/>
    </row>
    <row r="653" spans="1:22" s="64" customFormat="1" x14ac:dyDescent="0.25">
      <c r="A653" s="61" t="s">
        <v>1433</v>
      </c>
      <c r="B653" s="511" t="s">
        <v>1445</v>
      </c>
      <c r="C653" s="511"/>
      <c r="D653" s="511"/>
      <c r="E653" s="61" t="s">
        <v>1435</v>
      </c>
      <c r="F653" s="61" t="s">
        <v>54</v>
      </c>
      <c r="G653" s="61" t="s">
        <v>55</v>
      </c>
      <c r="H653" s="61"/>
      <c r="I653" s="61" t="s">
        <v>1366</v>
      </c>
      <c r="J653" s="62">
        <v>270</v>
      </c>
      <c r="K653" s="62">
        <v>300</v>
      </c>
      <c r="L653" s="62">
        <v>300</v>
      </c>
      <c r="M653" s="62">
        <v>380</v>
      </c>
      <c r="N653" s="55" t="s">
        <v>1344</v>
      </c>
      <c r="O653" s="61" t="s">
        <v>52</v>
      </c>
      <c r="P653" s="66"/>
      <c r="Q653" s="66"/>
      <c r="R653" s="66"/>
      <c r="S653" s="66"/>
      <c r="T653" s="66"/>
      <c r="U653" s="66"/>
      <c r="V653" s="66"/>
    </row>
    <row r="654" spans="1:22" s="64" customFormat="1" x14ac:dyDescent="0.25">
      <c r="A654" s="61" t="s">
        <v>1433</v>
      </c>
      <c r="B654" s="511" t="s">
        <v>1445</v>
      </c>
      <c r="C654" s="511"/>
      <c r="D654" s="511"/>
      <c r="E654" s="61" t="s">
        <v>1435</v>
      </c>
      <c r="F654" s="61" t="s">
        <v>389</v>
      </c>
      <c r="G654" s="61" t="s">
        <v>55</v>
      </c>
      <c r="H654" s="61"/>
      <c r="I654" s="61" t="s">
        <v>1366</v>
      </c>
      <c r="J654" s="62">
        <v>270</v>
      </c>
      <c r="K654" s="62">
        <v>300</v>
      </c>
      <c r="L654" s="62">
        <v>300</v>
      </c>
      <c r="M654" s="62">
        <v>380</v>
      </c>
      <c r="N654" s="55" t="s">
        <v>1344</v>
      </c>
      <c r="O654" s="61" t="s">
        <v>52</v>
      </c>
      <c r="P654" s="66"/>
      <c r="Q654" s="66"/>
      <c r="R654" s="66"/>
      <c r="S654" s="66"/>
      <c r="T654" s="66"/>
      <c r="U654" s="66"/>
      <c r="V654" s="66"/>
    </row>
    <row r="655" spans="1:22" s="64" customFormat="1" x14ac:dyDescent="0.25">
      <c r="A655" s="61" t="s">
        <v>1433</v>
      </c>
      <c r="B655" s="511" t="s">
        <v>1446</v>
      </c>
      <c r="C655" s="511"/>
      <c r="D655" s="511"/>
      <c r="E655" s="61" t="s">
        <v>1435</v>
      </c>
      <c r="F655" s="61" t="s">
        <v>54</v>
      </c>
      <c r="G655" s="61" t="s">
        <v>55</v>
      </c>
      <c r="H655" s="61"/>
      <c r="I655" s="61" t="s">
        <v>1366</v>
      </c>
      <c r="J655" s="62">
        <v>540</v>
      </c>
      <c r="K655" s="62">
        <v>600</v>
      </c>
      <c r="L655" s="62">
        <v>600</v>
      </c>
      <c r="M655" s="62">
        <v>760</v>
      </c>
      <c r="N655" s="55" t="s">
        <v>1344</v>
      </c>
      <c r="O655" s="61" t="s">
        <v>52</v>
      </c>
      <c r="P655" s="66"/>
      <c r="Q655" s="66"/>
      <c r="R655" s="66"/>
      <c r="S655" s="66"/>
      <c r="T655" s="66"/>
      <c r="U655" s="66"/>
      <c r="V655" s="66"/>
    </row>
    <row r="656" spans="1:22" s="64" customFormat="1" x14ac:dyDescent="0.25">
      <c r="A656" s="61" t="s">
        <v>1433</v>
      </c>
      <c r="B656" s="511" t="s">
        <v>1446</v>
      </c>
      <c r="C656" s="511"/>
      <c r="D656" s="511"/>
      <c r="E656" s="61" t="s">
        <v>1435</v>
      </c>
      <c r="F656" s="61" t="s">
        <v>389</v>
      </c>
      <c r="G656" s="61" t="s">
        <v>55</v>
      </c>
      <c r="H656" s="61"/>
      <c r="I656" s="61" t="s">
        <v>1366</v>
      </c>
      <c r="J656" s="62">
        <v>540</v>
      </c>
      <c r="K656" s="62">
        <v>600</v>
      </c>
      <c r="L656" s="62">
        <v>600</v>
      </c>
      <c r="M656" s="62">
        <v>760</v>
      </c>
      <c r="N656" s="55" t="s">
        <v>1344</v>
      </c>
      <c r="O656" s="61" t="s">
        <v>52</v>
      </c>
      <c r="P656" s="66"/>
      <c r="Q656" s="66"/>
      <c r="R656" s="66"/>
      <c r="S656" s="66"/>
      <c r="T656" s="66"/>
      <c r="U656" s="66"/>
      <c r="V656" s="66"/>
    </row>
    <row r="657" spans="1:22" s="64" customFormat="1" x14ac:dyDescent="0.25">
      <c r="A657" s="61" t="s">
        <v>1433</v>
      </c>
      <c r="B657" s="511" t="s">
        <v>1446</v>
      </c>
      <c r="C657" s="511"/>
      <c r="D657" s="511"/>
      <c r="E657" s="61" t="s">
        <v>1440</v>
      </c>
      <c r="F657" s="61" t="s">
        <v>56</v>
      </c>
      <c r="G657" s="61" t="s">
        <v>55</v>
      </c>
      <c r="H657" s="61"/>
      <c r="I657" s="61" t="s">
        <v>1366</v>
      </c>
      <c r="J657" s="62">
        <v>740</v>
      </c>
      <c r="K657" s="62">
        <v>960</v>
      </c>
      <c r="L657" s="62">
        <v>960</v>
      </c>
      <c r="M657" s="62"/>
      <c r="N657" s="55" t="s">
        <v>1344</v>
      </c>
      <c r="O657" s="61" t="s">
        <v>52</v>
      </c>
      <c r="P657" s="66"/>
      <c r="Q657" s="66"/>
      <c r="R657" s="66"/>
      <c r="S657" s="66"/>
      <c r="T657" s="66"/>
      <c r="U657" s="66"/>
      <c r="V657" s="66"/>
    </row>
    <row r="658" spans="1:22" s="64" customFormat="1" x14ac:dyDescent="0.25">
      <c r="A658" s="61" t="s">
        <v>1433</v>
      </c>
      <c r="B658" s="511" t="s">
        <v>1446</v>
      </c>
      <c r="C658" s="511"/>
      <c r="D658" s="511"/>
      <c r="E658" s="61" t="s">
        <v>1447</v>
      </c>
      <c r="F658" s="61" t="s">
        <v>56</v>
      </c>
      <c r="G658" s="61" t="s">
        <v>55</v>
      </c>
      <c r="H658" s="61"/>
      <c r="I658" s="61" t="s">
        <v>1366</v>
      </c>
      <c r="J658" s="62">
        <v>800</v>
      </c>
      <c r="K658" s="62">
        <v>900</v>
      </c>
      <c r="L658" s="62">
        <v>900</v>
      </c>
      <c r="M658" s="62"/>
      <c r="N658" s="55" t="s">
        <v>1344</v>
      </c>
      <c r="O658" s="61" t="s">
        <v>52</v>
      </c>
      <c r="P658" s="66"/>
      <c r="Q658" s="66"/>
      <c r="R658" s="66"/>
      <c r="S658" s="66"/>
      <c r="T658" s="66"/>
      <c r="U658" s="66"/>
      <c r="V658" s="66"/>
    </row>
    <row r="659" spans="1:22" s="64" customFormat="1" x14ac:dyDescent="0.25">
      <c r="A659" s="61" t="s">
        <v>1433</v>
      </c>
      <c r="B659" s="511" t="s">
        <v>1448</v>
      </c>
      <c r="C659" s="511"/>
      <c r="D659" s="511"/>
      <c r="E659" s="61" t="s">
        <v>1435</v>
      </c>
      <c r="F659" s="61" t="s">
        <v>56</v>
      </c>
      <c r="G659" s="61" t="s">
        <v>55</v>
      </c>
      <c r="H659" s="61"/>
      <c r="I659" s="61" t="s">
        <v>1366</v>
      </c>
      <c r="J659" s="62">
        <v>440</v>
      </c>
      <c r="K659" s="62">
        <v>505</v>
      </c>
      <c r="L659" s="62">
        <v>505</v>
      </c>
      <c r="M659" s="62"/>
      <c r="N659" s="55" t="s">
        <v>1344</v>
      </c>
      <c r="O659" s="61" t="s">
        <v>52</v>
      </c>
      <c r="P659" s="66"/>
      <c r="Q659" s="66"/>
      <c r="R659" s="66"/>
      <c r="S659" s="66"/>
      <c r="T659" s="66"/>
      <c r="U659" s="66"/>
      <c r="V659" s="66"/>
    </row>
    <row r="660" spans="1:22" s="64" customFormat="1" x14ac:dyDescent="0.25">
      <c r="A660" s="61" t="s">
        <v>1433</v>
      </c>
      <c r="B660" s="511" t="s">
        <v>1449</v>
      </c>
      <c r="C660" s="511"/>
      <c r="D660" s="511"/>
      <c r="E660" s="61" t="s">
        <v>1435</v>
      </c>
      <c r="F660" s="61" t="s">
        <v>54</v>
      </c>
      <c r="G660" s="61" t="s">
        <v>55</v>
      </c>
      <c r="H660" s="61"/>
      <c r="I660" s="61" t="s">
        <v>1366</v>
      </c>
      <c r="J660" s="62">
        <v>90</v>
      </c>
      <c r="K660" s="62">
        <v>100</v>
      </c>
      <c r="L660" s="62">
        <v>100</v>
      </c>
      <c r="M660" s="62">
        <v>130</v>
      </c>
      <c r="N660" s="55" t="s">
        <v>1344</v>
      </c>
      <c r="O660" s="61" t="s">
        <v>52</v>
      </c>
      <c r="P660" s="66"/>
      <c r="Q660" s="66"/>
      <c r="R660" s="66"/>
      <c r="S660" s="66"/>
      <c r="T660" s="66"/>
      <c r="U660" s="66"/>
      <c r="V660" s="66"/>
    </row>
    <row r="661" spans="1:22" s="64" customFormat="1" x14ac:dyDescent="0.25">
      <c r="A661" s="61" t="s">
        <v>1433</v>
      </c>
      <c r="B661" s="511" t="s">
        <v>1450</v>
      </c>
      <c r="C661" s="511"/>
      <c r="D661" s="511"/>
      <c r="E661" s="61" t="s">
        <v>1437</v>
      </c>
      <c r="F661" s="61" t="s">
        <v>54</v>
      </c>
      <c r="G661" s="61" t="s">
        <v>55</v>
      </c>
      <c r="H661" s="61"/>
      <c r="I661" s="61" t="s">
        <v>1366</v>
      </c>
      <c r="J661" s="62">
        <v>90</v>
      </c>
      <c r="K661" s="62">
        <v>100</v>
      </c>
      <c r="L661" s="62">
        <v>100</v>
      </c>
      <c r="M661" s="62">
        <v>130</v>
      </c>
      <c r="N661" s="55" t="s">
        <v>1344</v>
      </c>
      <c r="O661" s="61" t="s">
        <v>52</v>
      </c>
      <c r="P661" s="66"/>
      <c r="Q661" s="66"/>
      <c r="R661" s="66"/>
      <c r="S661" s="66"/>
      <c r="T661" s="66"/>
      <c r="U661" s="66"/>
      <c r="V661" s="66"/>
    </row>
    <row r="662" spans="1:22" s="64" customFormat="1" x14ac:dyDescent="0.25">
      <c r="A662" s="61" t="s">
        <v>1433</v>
      </c>
      <c r="B662" s="511" t="s">
        <v>1450</v>
      </c>
      <c r="C662" s="511"/>
      <c r="D662" s="511"/>
      <c r="E662" s="61" t="s">
        <v>1440</v>
      </c>
      <c r="F662" s="61" t="s">
        <v>389</v>
      </c>
      <c r="G662" s="61" t="s">
        <v>55</v>
      </c>
      <c r="H662" s="61"/>
      <c r="I662" s="61" t="s">
        <v>1366</v>
      </c>
      <c r="J662" s="62">
        <v>90</v>
      </c>
      <c r="K662" s="62">
        <v>100</v>
      </c>
      <c r="L662" s="62">
        <v>100</v>
      </c>
      <c r="M662" s="62">
        <v>130</v>
      </c>
      <c r="N662" s="55" t="s">
        <v>1344</v>
      </c>
      <c r="O662" s="61" t="s">
        <v>52</v>
      </c>
      <c r="P662" s="66"/>
      <c r="Q662" s="66"/>
      <c r="R662" s="66"/>
      <c r="S662" s="66"/>
      <c r="T662" s="66"/>
      <c r="U662" s="66"/>
      <c r="V662" s="66"/>
    </row>
    <row r="663" spans="1:22" s="64" customFormat="1" x14ac:dyDescent="0.25">
      <c r="A663" s="61" t="s">
        <v>1433</v>
      </c>
      <c r="B663" s="511" t="s">
        <v>1450</v>
      </c>
      <c r="C663" s="511"/>
      <c r="D663" s="511"/>
      <c r="E663" s="61" t="s">
        <v>1439</v>
      </c>
      <c r="F663" s="61" t="s">
        <v>389</v>
      </c>
      <c r="G663" s="61" t="s">
        <v>55</v>
      </c>
      <c r="H663" s="61"/>
      <c r="I663" s="61" t="s">
        <v>1366</v>
      </c>
      <c r="J663" s="62">
        <v>90</v>
      </c>
      <c r="K663" s="62">
        <v>100</v>
      </c>
      <c r="L663" s="62">
        <v>100</v>
      </c>
      <c r="M663" s="62">
        <v>130</v>
      </c>
      <c r="N663" s="55" t="s">
        <v>1344</v>
      </c>
      <c r="O663" s="61" t="s">
        <v>52</v>
      </c>
      <c r="P663" s="66"/>
      <c r="Q663" s="66"/>
      <c r="R663" s="66"/>
      <c r="S663" s="66"/>
      <c r="T663" s="66"/>
      <c r="U663" s="66"/>
      <c r="V663" s="66"/>
    </row>
    <row r="664" spans="1:22" s="64" customFormat="1" x14ac:dyDescent="0.25">
      <c r="A664" s="61" t="s">
        <v>1433</v>
      </c>
      <c r="B664" s="511" t="s">
        <v>1450</v>
      </c>
      <c r="C664" s="511"/>
      <c r="D664" s="511"/>
      <c r="E664" s="61" t="s">
        <v>1437</v>
      </c>
      <c r="F664" s="61" t="s">
        <v>389</v>
      </c>
      <c r="G664" s="61" t="s">
        <v>55</v>
      </c>
      <c r="H664" s="61"/>
      <c r="I664" s="61" t="s">
        <v>1366</v>
      </c>
      <c r="J664" s="62">
        <v>90</v>
      </c>
      <c r="K664" s="62">
        <v>100</v>
      </c>
      <c r="L664" s="62">
        <v>100</v>
      </c>
      <c r="M664" s="62">
        <v>130</v>
      </c>
      <c r="N664" s="55" t="s">
        <v>1344</v>
      </c>
      <c r="O664" s="61" t="s">
        <v>52</v>
      </c>
      <c r="P664" s="66"/>
      <c r="Q664" s="66"/>
      <c r="R664" s="66"/>
      <c r="S664" s="66"/>
      <c r="T664" s="66"/>
      <c r="U664" s="66"/>
      <c r="V664" s="66"/>
    </row>
    <row r="665" spans="1:22" s="64" customFormat="1" x14ac:dyDescent="0.25">
      <c r="A665" s="61" t="s">
        <v>1433</v>
      </c>
      <c r="B665" s="511" t="s">
        <v>1450</v>
      </c>
      <c r="C665" s="511"/>
      <c r="D665" s="511"/>
      <c r="E665" s="61" t="s">
        <v>1437</v>
      </c>
      <c r="F665" s="61" t="s">
        <v>56</v>
      </c>
      <c r="G665" s="61" t="s">
        <v>55</v>
      </c>
      <c r="H665" s="61"/>
      <c r="I665" s="61" t="s">
        <v>1366</v>
      </c>
      <c r="J665" s="62">
        <v>230</v>
      </c>
      <c r="K665" s="62">
        <v>255</v>
      </c>
      <c r="L665" s="62">
        <v>255</v>
      </c>
      <c r="M665" s="62">
        <v>200</v>
      </c>
      <c r="N665" s="55" t="s">
        <v>1344</v>
      </c>
      <c r="O665" s="61" t="s">
        <v>52</v>
      </c>
      <c r="P665" s="66"/>
      <c r="Q665" s="66"/>
      <c r="R665" s="66"/>
      <c r="S665" s="66"/>
      <c r="T665" s="66"/>
      <c r="U665" s="66"/>
      <c r="V665" s="66"/>
    </row>
    <row r="666" spans="1:22" s="64" customFormat="1" x14ac:dyDescent="0.25">
      <c r="A666" s="61" t="s">
        <v>1433</v>
      </c>
      <c r="B666" s="511" t="s">
        <v>1452</v>
      </c>
      <c r="C666" s="511"/>
      <c r="D666" s="511"/>
      <c r="E666" s="61" t="s">
        <v>1435</v>
      </c>
      <c r="F666" s="61" t="s">
        <v>54</v>
      </c>
      <c r="G666" s="61" t="s">
        <v>55</v>
      </c>
      <c r="H666" s="61"/>
      <c r="I666" s="61" t="s">
        <v>1366</v>
      </c>
      <c r="J666" s="62">
        <v>495</v>
      </c>
      <c r="K666" s="62">
        <v>550</v>
      </c>
      <c r="L666" s="62">
        <v>550</v>
      </c>
      <c r="M666" s="62">
        <v>700</v>
      </c>
      <c r="N666" s="55" t="s">
        <v>1344</v>
      </c>
      <c r="O666" s="61" t="s">
        <v>52</v>
      </c>
      <c r="P666" s="66"/>
      <c r="Q666" s="66"/>
      <c r="R666" s="66"/>
      <c r="S666" s="66"/>
      <c r="T666" s="66"/>
      <c r="U666" s="66"/>
      <c r="V666" s="66"/>
    </row>
    <row r="667" spans="1:22" s="64" customFormat="1" x14ac:dyDescent="0.25">
      <c r="A667" s="61" t="s">
        <v>1433</v>
      </c>
      <c r="B667" s="511" t="s">
        <v>1452</v>
      </c>
      <c r="C667" s="511"/>
      <c r="D667" s="511"/>
      <c r="E667" s="61" t="s">
        <v>1435</v>
      </c>
      <c r="F667" s="61" t="s">
        <v>389</v>
      </c>
      <c r="G667" s="61" t="s">
        <v>55</v>
      </c>
      <c r="H667" s="61"/>
      <c r="I667" s="61" t="s">
        <v>1366</v>
      </c>
      <c r="J667" s="62">
        <v>495</v>
      </c>
      <c r="K667" s="62">
        <v>550</v>
      </c>
      <c r="L667" s="62">
        <v>550</v>
      </c>
      <c r="M667" s="62">
        <v>700</v>
      </c>
      <c r="N667" s="55" t="s">
        <v>1344</v>
      </c>
      <c r="O667" s="61" t="s">
        <v>52</v>
      </c>
      <c r="P667" s="66"/>
      <c r="Q667" s="66"/>
      <c r="R667" s="66"/>
      <c r="S667" s="66"/>
      <c r="T667" s="66"/>
      <c r="U667" s="66"/>
      <c r="V667" s="66"/>
    </row>
    <row r="668" spans="1:22" s="64" customFormat="1" x14ac:dyDescent="0.25">
      <c r="A668" s="61" t="s">
        <v>1433</v>
      </c>
      <c r="B668" s="511" t="s">
        <v>1453</v>
      </c>
      <c r="C668" s="511"/>
      <c r="D668" s="511"/>
      <c r="E668" s="61" t="s">
        <v>1437</v>
      </c>
      <c r="F668" s="61" t="s">
        <v>54</v>
      </c>
      <c r="G668" s="61" t="s">
        <v>55</v>
      </c>
      <c r="H668" s="61"/>
      <c r="I668" s="61" t="s">
        <v>1366</v>
      </c>
      <c r="J668" s="62">
        <v>90</v>
      </c>
      <c r="K668" s="62">
        <v>100</v>
      </c>
      <c r="L668" s="62">
        <v>100</v>
      </c>
      <c r="M668" s="62">
        <v>130</v>
      </c>
      <c r="N668" s="55" t="s">
        <v>1344</v>
      </c>
      <c r="O668" s="61" t="s">
        <v>52</v>
      </c>
      <c r="P668" s="66"/>
      <c r="Q668" s="66"/>
      <c r="R668" s="66"/>
      <c r="S668" s="66"/>
      <c r="T668" s="66"/>
      <c r="U668" s="66"/>
      <c r="V668" s="66"/>
    </row>
    <row r="669" spans="1:22" s="64" customFormat="1" x14ac:dyDescent="0.25">
      <c r="A669" s="61" t="s">
        <v>1433</v>
      </c>
      <c r="B669" s="511" t="s">
        <v>1454</v>
      </c>
      <c r="C669" s="511"/>
      <c r="D669" s="511"/>
      <c r="E669" s="61" t="s">
        <v>1439</v>
      </c>
      <c r="F669" s="61" t="s">
        <v>56</v>
      </c>
      <c r="G669" s="61" t="s">
        <v>55</v>
      </c>
      <c r="H669" s="61"/>
      <c r="I669" s="61" t="s">
        <v>1366</v>
      </c>
      <c r="J669" s="62">
        <v>535</v>
      </c>
      <c r="K669" s="62">
        <v>685</v>
      </c>
      <c r="L669" s="62">
        <v>685</v>
      </c>
      <c r="M669" s="62"/>
      <c r="N669" s="55" t="s">
        <v>1344</v>
      </c>
      <c r="O669" s="61" t="s">
        <v>52</v>
      </c>
      <c r="P669" s="66"/>
      <c r="Q669" s="66"/>
      <c r="R669" s="66"/>
      <c r="S669" s="66"/>
      <c r="T669" s="66"/>
      <c r="U669" s="66"/>
      <c r="V669" s="66"/>
    </row>
    <row r="670" spans="1:22" s="64" customFormat="1" x14ac:dyDescent="0.25">
      <c r="A670" s="61" t="s">
        <v>1433</v>
      </c>
      <c r="B670" s="511" t="s">
        <v>1454</v>
      </c>
      <c r="C670" s="511"/>
      <c r="D670" s="511"/>
      <c r="E670" s="61" t="s">
        <v>1455</v>
      </c>
      <c r="F670" s="61" t="s">
        <v>56</v>
      </c>
      <c r="G670" s="61" t="s">
        <v>55</v>
      </c>
      <c r="H670" s="61"/>
      <c r="I670" s="61" t="s">
        <v>1366</v>
      </c>
      <c r="J670" s="62">
        <v>505</v>
      </c>
      <c r="K670" s="62">
        <v>510</v>
      </c>
      <c r="L670" s="62">
        <v>510</v>
      </c>
      <c r="M670" s="62"/>
      <c r="N670" s="55" t="s">
        <v>1344</v>
      </c>
      <c r="O670" s="61" t="s">
        <v>52</v>
      </c>
      <c r="P670" s="66"/>
      <c r="Q670" s="66"/>
      <c r="R670" s="66"/>
      <c r="S670" s="66"/>
      <c r="T670" s="66"/>
      <c r="U670" s="66"/>
      <c r="V670" s="66"/>
    </row>
    <row r="671" spans="1:22" s="64" customFormat="1" x14ac:dyDescent="0.25">
      <c r="A671" s="61" t="s">
        <v>1433</v>
      </c>
      <c r="B671" s="511" t="s">
        <v>1454</v>
      </c>
      <c r="C671" s="511"/>
      <c r="D671" s="511"/>
      <c r="E671" s="61" t="s">
        <v>1437</v>
      </c>
      <c r="F671" s="61" t="s">
        <v>56</v>
      </c>
      <c r="G671" s="61" t="s">
        <v>55</v>
      </c>
      <c r="H671" s="61"/>
      <c r="I671" s="61" t="s">
        <v>1366</v>
      </c>
      <c r="J671" s="62">
        <v>445</v>
      </c>
      <c r="K671" s="62">
        <v>595</v>
      </c>
      <c r="L671" s="62">
        <v>595</v>
      </c>
      <c r="M671" s="62"/>
      <c r="N671" s="55" t="s">
        <v>1344</v>
      </c>
      <c r="O671" s="61" t="s">
        <v>52</v>
      </c>
      <c r="P671" s="66"/>
      <c r="Q671" s="66"/>
      <c r="R671" s="66"/>
      <c r="S671" s="66"/>
      <c r="T671" s="66"/>
      <c r="U671" s="66"/>
      <c r="V671" s="66"/>
    </row>
    <row r="672" spans="1:22" s="64" customFormat="1" x14ac:dyDescent="0.25">
      <c r="A672" s="61" t="s">
        <v>1433</v>
      </c>
      <c r="B672" s="511" t="s">
        <v>1456</v>
      </c>
      <c r="C672" s="511"/>
      <c r="D672" s="511"/>
      <c r="E672" s="61" t="s">
        <v>1437</v>
      </c>
      <c r="F672" s="61" t="s">
        <v>54</v>
      </c>
      <c r="G672" s="61" t="s">
        <v>55</v>
      </c>
      <c r="H672" s="61"/>
      <c r="I672" s="61" t="s">
        <v>1366</v>
      </c>
      <c r="J672" s="62">
        <v>135</v>
      </c>
      <c r="K672" s="62">
        <v>150</v>
      </c>
      <c r="L672" s="62">
        <v>150</v>
      </c>
      <c r="M672" s="62">
        <v>190</v>
      </c>
      <c r="N672" s="55" t="s">
        <v>1344</v>
      </c>
      <c r="O672" s="61" t="s">
        <v>52</v>
      </c>
      <c r="P672" s="66"/>
      <c r="Q672" s="66"/>
      <c r="R672" s="66"/>
      <c r="S672" s="66"/>
      <c r="T672" s="66"/>
      <c r="U672" s="66"/>
      <c r="V672" s="66"/>
    </row>
    <row r="673" spans="1:22" s="64" customFormat="1" x14ac:dyDescent="0.25">
      <c r="A673" s="61" t="s">
        <v>1433</v>
      </c>
      <c r="B673" s="511" t="s">
        <v>1456</v>
      </c>
      <c r="C673" s="511"/>
      <c r="D673" s="511"/>
      <c r="E673" s="61" t="s">
        <v>1440</v>
      </c>
      <c r="F673" s="61" t="s">
        <v>389</v>
      </c>
      <c r="G673" s="61" t="s">
        <v>55</v>
      </c>
      <c r="H673" s="61"/>
      <c r="I673" s="61" t="s">
        <v>1366</v>
      </c>
      <c r="J673" s="62">
        <v>135</v>
      </c>
      <c r="K673" s="62">
        <v>150</v>
      </c>
      <c r="L673" s="62">
        <v>150</v>
      </c>
      <c r="M673" s="62">
        <v>190</v>
      </c>
      <c r="N673" s="55" t="s">
        <v>1344</v>
      </c>
      <c r="O673" s="61" t="s">
        <v>52</v>
      </c>
      <c r="P673" s="66"/>
      <c r="Q673" s="66"/>
      <c r="R673" s="66"/>
      <c r="S673" s="66"/>
      <c r="T673" s="66"/>
      <c r="U673" s="66"/>
      <c r="V673" s="66"/>
    </row>
    <row r="674" spans="1:22" s="64" customFormat="1" x14ac:dyDescent="0.25">
      <c r="A674" s="61" t="s">
        <v>1433</v>
      </c>
      <c r="B674" s="511" t="s">
        <v>1456</v>
      </c>
      <c r="C674" s="511"/>
      <c r="D674" s="511"/>
      <c r="E674" s="61" t="s">
        <v>1439</v>
      </c>
      <c r="F674" s="61" t="s">
        <v>389</v>
      </c>
      <c r="G674" s="61" t="s">
        <v>55</v>
      </c>
      <c r="H674" s="61"/>
      <c r="I674" s="61" t="s">
        <v>1366</v>
      </c>
      <c r="J674" s="62">
        <v>135</v>
      </c>
      <c r="K674" s="62">
        <v>150</v>
      </c>
      <c r="L674" s="62">
        <v>150</v>
      </c>
      <c r="M674" s="62">
        <v>190</v>
      </c>
      <c r="N674" s="55" t="s">
        <v>1344</v>
      </c>
      <c r="O674" s="61" t="s">
        <v>52</v>
      </c>
      <c r="P674" s="66"/>
      <c r="Q674" s="66"/>
      <c r="R674" s="66"/>
      <c r="S674" s="66"/>
      <c r="T674" s="66"/>
      <c r="U674" s="66"/>
      <c r="V674" s="66"/>
    </row>
    <row r="675" spans="1:22" s="64" customFormat="1" x14ac:dyDescent="0.25">
      <c r="A675" s="61" t="s">
        <v>1433</v>
      </c>
      <c r="B675" s="511" t="s">
        <v>1456</v>
      </c>
      <c r="C675" s="511"/>
      <c r="D675" s="511"/>
      <c r="E675" s="61" t="s">
        <v>1437</v>
      </c>
      <c r="F675" s="61" t="s">
        <v>389</v>
      </c>
      <c r="G675" s="61" t="s">
        <v>55</v>
      </c>
      <c r="H675" s="61"/>
      <c r="I675" s="61" t="s">
        <v>1366</v>
      </c>
      <c r="J675" s="62">
        <v>135</v>
      </c>
      <c r="K675" s="62">
        <v>150</v>
      </c>
      <c r="L675" s="62">
        <v>150</v>
      </c>
      <c r="M675" s="62">
        <v>190</v>
      </c>
      <c r="N675" s="55" t="s">
        <v>1344</v>
      </c>
      <c r="O675" s="61" t="s">
        <v>52</v>
      </c>
      <c r="P675" s="66"/>
      <c r="Q675" s="66"/>
      <c r="R675" s="66"/>
      <c r="S675" s="66"/>
      <c r="T675" s="66"/>
      <c r="U675" s="66"/>
      <c r="V675" s="66"/>
    </row>
    <row r="676" spans="1:22" s="64" customFormat="1" x14ac:dyDescent="0.25">
      <c r="A676" s="61" t="s">
        <v>1433</v>
      </c>
      <c r="B676" s="511" t="s">
        <v>1655</v>
      </c>
      <c r="C676" s="511"/>
      <c r="D676" s="511"/>
      <c r="E676" s="61" t="s">
        <v>1437</v>
      </c>
      <c r="F676" s="61" t="s">
        <v>54</v>
      </c>
      <c r="G676" s="61" t="s">
        <v>55</v>
      </c>
      <c r="H676" s="61"/>
      <c r="I676" s="61" t="s">
        <v>1366</v>
      </c>
      <c r="J676" s="62">
        <v>225</v>
      </c>
      <c r="K676" s="62">
        <v>250</v>
      </c>
      <c r="L676" s="62">
        <v>250</v>
      </c>
      <c r="M676" s="62">
        <v>320</v>
      </c>
      <c r="N676" s="55" t="s">
        <v>1344</v>
      </c>
      <c r="O676" s="61" t="s">
        <v>52</v>
      </c>
      <c r="P676" s="66"/>
      <c r="Q676" s="66"/>
      <c r="R676" s="66"/>
      <c r="S676" s="66"/>
      <c r="T676" s="66"/>
      <c r="U676" s="66"/>
      <c r="V676" s="66"/>
    </row>
    <row r="677" spans="1:22" s="64" customFormat="1" x14ac:dyDescent="0.25">
      <c r="A677" s="61" t="s">
        <v>1433</v>
      </c>
      <c r="B677" s="511" t="s">
        <v>1655</v>
      </c>
      <c r="C677" s="511"/>
      <c r="D677" s="511"/>
      <c r="E677" s="61" t="s">
        <v>1438</v>
      </c>
      <c r="F677" s="61" t="s">
        <v>389</v>
      </c>
      <c r="G677" s="61" t="s">
        <v>55</v>
      </c>
      <c r="H677" s="61"/>
      <c r="I677" s="61" t="s">
        <v>1366</v>
      </c>
      <c r="J677" s="62">
        <v>225</v>
      </c>
      <c r="K677" s="62">
        <v>250</v>
      </c>
      <c r="L677" s="62">
        <v>250</v>
      </c>
      <c r="M677" s="62">
        <v>320</v>
      </c>
      <c r="N677" s="55" t="s">
        <v>1344</v>
      </c>
      <c r="O677" s="61" t="s">
        <v>52</v>
      </c>
      <c r="P677" s="66"/>
      <c r="Q677" s="66"/>
      <c r="R677" s="66"/>
      <c r="S677" s="66"/>
      <c r="T677" s="66"/>
      <c r="U677" s="66"/>
      <c r="V677" s="66"/>
    </row>
    <row r="678" spans="1:22" s="64" customFormat="1" x14ac:dyDescent="0.25">
      <c r="A678" s="61" t="s">
        <v>1433</v>
      </c>
      <c r="B678" s="511" t="s">
        <v>1655</v>
      </c>
      <c r="C678" s="511"/>
      <c r="D678" s="511"/>
      <c r="E678" s="61" t="s">
        <v>1440</v>
      </c>
      <c r="F678" s="61" t="s">
        <v>389</v>
      </c>
      <c r="G678" s="61" t="s">
        <v>55</v>
      </c>
      <c r="H678" s="61"/>
      <c r="I678" s="61" t="s">
        <v>1366</v>
      </c>
      <c r="J678" s="62">
        <v>225</v>
      </c>
      <c r="K678" s="62">
        <v>250</v>
      </c>
      <c r="L678" s="62">
        <v>250</v>
      </c>
      <c r="M678" s="62">
        <v>320</v>
      </c>
      <c r="N678" s="55" t="s">
        <v>1344</v>
      </c>
      <c r="O678" s="61" t="s">
        <v>52</v>
      </c>
      <c r="P678" s="66"/>
      <c r="Q678" s="66"/>
      <c r="R678" s="66"/>
      <c r="S678" s="66"/>
      <c r="T678" s="66"/>
      <c r="U678" s="66"/>
      <c r="V678" s="66"/>
    </row>
    <row r="679" spans="1:22" s="64" customFormat="1" x14ac:dyDescent="0.25">
      <c r="A679" s="61" t="s">
        <v>1433</v>
      </c>
      <c r="B679" s="511" t="s">
        <v>1655</v>
      </c>
      <c r="C679" s="511"/>
      <c r="D679" s="511"/>
      <c r="E679" s="61" t="s">
        <v>1439</v>
      </c>
      <c r="F679" s="61" t="s">
        <v>389</v>
      </c>
      <c r="G679" s="61" t="s">
        <v>55</v>
      </c>
      <c r="H679" s="61"/>
      <c r="I679" s="61" t="s">
        <v>1366</v>
      </c>
      <c r="J679" s="62">
        <v>225</v>
      </c>
      <c r="K679" s="62">
        <v>250</v>
      </c>
      <c r="L679" s="62">
        <v>250</v>
      </c>
      <c r="M679" s="62">
        <v>320</v>
      </c>
      <c r="N679" s="55" t="s">
        <v>1344</v>
      </c>
      <c r="O679" s="61" t="s">
        <v>52</v>
      </c>
      <c r="P679" s="66"/>
      <c r="Q679" s="66"/>
      <c r="R679" s="66"/>
      <c r="S679" s="66"/>
      <c r="T679" s="66"/>
      <c r="U679" s="66"/>
      <c r="V679" s="66"/>
    </row>
    <row r="680" spans="1:22" s="64" customFormat="1" x14ac:dyDescent="0.25">
      <c r="A680" s="61" t="s">
        <v>1433</v>
      </c>
      <c r="B680" s="511" t="s">
        <v>1655</v>
      </c>
      <c r="C680" s="511"/>
      <c r="D680" s="511"/>
      <c r="E680" s="61" t="s">
        <v>1437</v>
      </c>
      <c r="F680" s="61" t="s">
        <v>389</v>
      </c>
      <c r="G680" s="61" t="s">
        <v>55</v>
      </c>
      <c r="H680" s="61"/>
      <c r="I680" s="61" t="s">
        <v>1366</v>
      </c>
      <c r="J680" s="62">
        <v>225</v>
      </c>
      <c r="K680" s="62">
        <v>250</v>
      </c>
      <c r="L680" s="62">
        <v>250</v>
      </c>
      <c r="M680" s="62">
        <v>320</v>
      </c>
      <c r="N680" s="55" t="s">
        <v>1344</v>
      </c>
      <c r="O680" s="61" t="s">
        <v>52</v>
      </c>
      <c r="P680" s="66"/>
      <c r="Q680" s="66"/>
      <c r="R680" s="66"/>
      <c r="S680" s="66"/>
      <c r="T680" s="66"/>
      <c r="U680" s="66"/>
      <c r="V680" s="66"/>
    </row>
    <row r="681" spans="1:22" s="64" customFormat="1" x14ac:dyDescent="0.25">
      <c r="A681" s="61" t="s">
        <v>1433</v>
      </c>
      <c r="B681" s="511" t="s">
        <v>1457</v>
      </c>
      <c r="C681" s="511"/>
      <c r="D681" s="511"/>
      <c r="E681" s="61" t="s">
        <v>1440</v>
      </c>
      <c r="F681" s="61" t="s">
        <v>56</v>
      </c>
      <c r="G681" s="61" t="s">
        <v>55</v>
      </c>
      <c r="H681" s="61"/>
      <c r="I681" s="61" t="s">
        <v>1366</v>
      </c>
      <c r="J681" s="62"/>
      <c r="K681" s="62">
        <v>600</v>
      </c>
      <c r="L681" s="62">
        <v>600</v>
      </c>
      <c r="M681" s="62"/>
      <c r="N681" s="55" t="s">
        <v>1344</v>
      </c>
      <c r="O681" s="61" t="s">
        <v>52</v>
      </c>
      <c r="P681" s="66"/>
      <c r="Q681" s="66"/>
      <c r="R681" s="66"/>
      <c r="S681" s="66"/>
      <c r="T681" s="66"/>
      <c r="U681" s="66"/>
      <c r="V681" s="66"/>
    </row>
    <row r="682" spans="1:22" s="64" customFormat="1" x14ac:dyDescent="0.25">
      <c r="A682" s="61" t="s">
        <v>1433</v>
      </c>
      <c r="B682" s="511" t="s">
        <v>1458</v>
      </c>
      <c r="C682" s="511"/>
      <c r="D682" s="511"/>
      <c r="E682" s="61" t="s">
        <v>1437</v>
      </c>
      <c r="F682" s="61" t="s">
        <v>54</v>
      </c>
      <c r="G682" s="61" t="s">
        <v>55</v>
      </c>
      <c r="H682" s="61"/>
      <c r="I682" s="61" t="s">
        <v>1366</v>
      </c>
      <c r="J682" s="62">
        <v>450</v>
      </c>
      <c r="K682" s="62">
        <v>500</v>
      </c>
      <c r="L682" s="62">
        <v>500</v>
      </c>
      <c r="M682" s="62">
        <v>635</v>
      </c>
      <c r="N682" s="55" t="s">
        <v>1344</v>
      </c>
      <c r="O682" s="61" t="s">
        <v>52</v>
      </c>
      <c r="P682" s="66"/>
      <c r="Q682" s="66"/>
      <c r="R682" s="66"/>
      <c r="S682" s="66"/>
      <c r="T682" s="66"/>
      <c r="U682" s="66"/>
      <c r="V682" s="66"/>
    </row>
    <row r="683" spans="1:22" s="64" customFormat="1" x14ac:dyDescent="0.25">
      <c r="A683" s="61" t="s">
        <v>1433</v>
      </c>
      <c r="B683" s="511" t="s">
        <v>1458</v>
      </c>
      <c r="C683" s="511"/>
      <c r="D683" s="511"/>
      <c r="E683" s="61" t="s">
        <v>1440</v>
      </c>
      <c r="F683" s="61" t="s">
        <v>389</v>
      </c>
      <c r="G683" s="61" t="s">
        <v>55</v>
      </c>
      <c r="H683" s="61"/>
      <c r="I683" s="61" t="s">
        <v>1366</v>
      </c>
      <c r="J683" s="62">
        <v>450</v>
      </c>
      <c r="K683" s="62">
        <v>500</v>
      </c>
      <c r="L683" s="62">
        <v>500</v>
      </c>
      <c r="M683" s="62">
        <v>635</v>
      </c>
      <c r="N683" s="55" t="s">
        <v>1344</v>
      </c>
      <c r="O683" s="61" t="s">
        <v>52</v>
      </c>
      <c r="P683" s="66"/>
      <c r="Q683" s="66"/>
      <c r="R683" s="66"/>
      <c r="S683" s="66"/>
      <c r="T683" s="66"/>
      <c r="U683" s="66"/>
      <c r="V683" s="66"/>
    </row>
    <row r="684" spans="1:22" s="64" customFormat="1" x14ac:dyDescent="0.25">
      <c r="A684" s="61" t="s">
        <v>1433</v>
      </c>
      <c r="B684" s="511" t="s">
        <v>1458</v>
      </c>
      <c r="C684" s="511"/>
      <c r="D684" s="511"/>
      <c r="E684" s="61" t="s">
        <v>1439</v>
      </c>
      <c r="F684" s="61" t="s">
        <v>389</v>
      </c>
      <c r="G684" s="61" t="s">
        <v>55</v>
      </c>
      <c r="H684" s="61"/>
      <c r="I684" s="61" t="s">
        <v>1366</v>
      </c>
      <c r="J684" s="62">
        <v>450</v>
      </c>
      <c r="K684" s="62">
        <v>500</v>
      </c>
      <c r="L684" s="62">
        <v>500</v>
      </c>
      <c r="M684" s="62">
        <v>635</v>
      </c>
      <c r="N684" s="55" t="s">
        <v>1344</v>
      </c>
      <c r="O684" s="61" t="s">
        <v>52</v>
      </c>
      <c r="P684" s="66"/>
      <c r="Q684" s="66"/>
      <c r="R684" s="66"/>
      <c r="S684" s="66"/>
      <c r="T684" s="66"/>
      <c r="U684" s="66"/>
      <c r="V684" s="66"/>
    </row>
    <row r="685" spans="1:22" s="64" customFormat="1" x14ac:dyDescent="0.25">
      <c r="A685" s="61" t="s">
        <v>1433</v>
      </c>
      <c r="B685" s="511" t="s">
        <v>1458</v>
      </c>
      <c r="C685" s="511"/>
      <c r="D685" s="511"/>
      <c r="E685" s="61" t="s">
        <v>1437</v>
      </c>
      <c r="F685" s="61" t="s">
        <v>389</v>
      </c>
      <c r="G685" s="61" t="s">
        <v>55</v>
      </c>
      <c r="H685" s="61"/>
      <c r="I685" s="61" t="s">
        <v>1366</v>
      </c>
      <c r="J685" s="62">
        <v>450</v>
      </c>
      <c r="K685" s="62">
        <v>500</v>
      </c>
      <c r="L685" s="62">
        <v>500</v>
      </c>
      <c r="M685" s="62">
        <v>635</v>
      </c>
      <c r="N685" s="55" t="s">
        <v>1344</v>
      </c>
      <c r="O685" s="61" t="s">
        <v>52</v>
      </c>
      <c r="P685" s="66"/>
      <c r="Q685" s="66"/>
      <c r="R685" s="66"/>
      <c r="S685" s="66"/>
      <c r="T685" s="66"/>
      <c r="U685" s="66"/>
      <c r="V685" s="66"/>
    </row>
    <row r="686" spans="1:22" s="64" customFormat="1" x14ac:dyDescent="0.25">
      <c r="A686" s="61" t="s">
        <v>1433</v>
      </c>
      <c r="B686" s="511" t="s">
        <v>1459</v>
      </c>
      <c r="C686" s="511"/>
      <c r="D686" s="511"/>
      <c r="E686" s="61" t="s">
        <v>1447</v>
      </c>
      <c r="F686" s="61" t="s">
        <v>56</v>
      </c>
      <c r="G686" s="61" t="s">
        <v>55</v>
      </c>
      <c r="H686" s="61"/>
      <c r="I686" s="61" t="s">
        <v>1366</v>
      </c>
      <c r="J686" s="62">
        <v>195</v>
      </c>
      <c r="K686" s="62">
        <v>220</v>
      </c>
      <c r="L686" s="62">
        <v>220</v>
      </c>
      <c r="M686" s="62"/>
      <c r="N686" s="55" t="s">
        <v>1344</v>
      </c>
      <c r="O686" s="61" t="s">
        <v>52</v>
      </c>
      <c r="P686" s="66"/>
      <c r="Q686" s="66"/>
      <c r="R686" s="66"/>
      <c r="S686" s="66"/>
      <c r="T686" s="66"/>
      <c r="U686" s="66"/>
      <c r="V686" s="66"/>
    </row>
    <row r="687" spans="1:22" s="64" customFormat="1" x14ac:dyDescent="0.25">
      <c r="A687" s="61" t="s">
        <v>1433</v>
      </c>
      <c r="B687" s="511" t="s">
        <v>1460</v>
      </c>
      <c r="C687" s="511"/>
      <c r="D687" s="511"/>
      <c r="E687" s="61" t="s">
        <v>1447</v>
      </c>
      <c r="F687" s="61" t="s">
        <v>56</v>
      </c>
      <c r="G687" s="61" t="s">
        <v>55</v>
      </c>
      <c r="H687" s="61"/>
      <c r="I687" s="61" t="s">
        <v>1366</v>
      </c>
      <c r="J687" s="62">
        <v>360</v>
      </c>
      <c r="K687" s="62">
        <v>330</v>
      </c>
      <c r="L687" s="62">
        <v>330</v>
      </c>
      <c r="M687" s="62"/>
      <c r="N687" s="55" t="s">
        <v>1344</v>
      </c>
      <c r="O687" s="61" t="s">
        <v>52</v>
      </c>
      <c r="P687" s="66"/>
      <c r="Q687" s="66"/>
      <c r="R687" s="66"/>
      <c r="S687" s="66"/>
      <c r="T687" s="66"/>
      <c r="U687" s="66"/>
      <c r="V687" s="66"/>
    </row>
    <row r="688" spans="1:22" s="64" customFormat="1" x14ac:dyDescent="0.25">
      <c r="A688" s="61" t="s">
        <v>1433</v>
      </c>
      <c r="B688" s="511" t="s">
        <v>1461</v>
      </c>
      <c r="C688" s="511"/>
      <c r="D688" s="511"/>
      <c r="E688" s="61" t="s">
        <v>1437</v>
      </c>
      <c r="F688" s="61" t="s">
        <v>54</v>
      </c>
      <c r="G688" s="61" t="s">
        <v>55</v>
      </c>
      <c r="H688" s="61"/>
      <c r="I688" s="61" t="s">
        <v>1366</v>
      </c>
      <c r="J688" s="62">
        <v>225</v>
      </c>
      <c r="K688" s="62">
        <v>250</v>
      </c>
      <c r="L688" s="62">
        <v>250</v>
      </c>
      <c r="M688" s="62">
        <v>320</v>
      </c>
      <c r="N688" s="55" t="s">
        <v>1344</v>
      </c>
      <c r="O688" s="61" t="s">
        <v>52</v>
      </c>
      <c r="P688" s="66"/>
      <c r="Q688" s="66"/>
      <c r="R688" s="66"/>
      <c r="S688" s="66"/>
      <c r="T688" s="66"/>
      <c r="U688" s="66"/>
      <c r="V688" s="66"/>
    </row>
    <row r="689" spans="1:22" s="64" customFormat="1" x14ac:dyDescent="0.25">
      <c r="A689" s="61" t="s">
        <v>1433</v>
      </c>
      <c r="B689" s="511" t="s">
        <v>1461</v>
      </c>
      <c r="C689" s="511"/>
      <c r="D689" s="511"/>
      <c r="E689" s="61" t="s">
        <v>1440</v>
      </c>
      <c r="F689" s="61" t="s">
        <v>389</v>
      </c>
      <c r="G689" s="61" t="s">
        <v>55</v>
      </c>
      <c r="H689" s="61"/>
      <c r="I689" s="61" t="s">
        <v>1366</v>
      </c>
      <c r="J689" s="62">
        <v>225</v>
      </c>
      <c r="K689" s="62">
        <v>250</v>
      </c>
      <c r="L689" s="62">
        <v>250</v>
      </c>
      <c r="M689" s="62">
        <v>320</v>
      </c>
      <c r="N689" s="55" t="s">
        <v>1344</v>
      </c>
      <c r="O689" s="61" t="s">
        <v>52</v>
      </c>
      <c r="P689" s="66"/>
      <c r="Q689" s="66"/>
      <c r="R689" s="66"/>
      <c r="S689" s="66"/>
      <c r="T689" s="66"/>
      <c r="U689" s="66"/>
      <c r="V689" s="66"/>
    </row>
    <row r="690" spans="1:22" s="64" customFormat="1" x14ac:dyDescent="0.25">
      <c r="A690" s="61" t="s">
        <v>1433</v>
      </c>
      <c r="B690" s="511" t="s">
        <v>1461</v>
      </c>
      <c r="C690" s="511"/>
      <c r="D690" s="511"/>
      <c r="E690" s="61" t="s">
        <v>1439</v>
      </c>
      <c r="F690" s="61" t="s">
        <v>389</v>
      </c>
      <c r="G690" s="61" t="s">
        <v>55</v>
      </c>
      <c r="H690" s="61"/>
      <c r="I690" s="61" t="s">
        <v>1366</v>
      </c>
      <c r="J690" s="62">
        <v>225</v>
      </c>
      <c r="K690" s="62">
        <v>250</v>
      </c>
      <c r="L690" s="62">
        <v>250</v>
      </c>
      <c r="M690" s="62">
        <v>320</v>
      </c>
      <c r="N690" s="55" t="s">
        <v>1344</v>
      </c>
      <c r="O690" s="61" t="s">
        <v>52</v>
      </c>
      <c r="P690" s="66"/>
      <c r="Q690" s="66"/>
      <c r="R690" s="66"/>
      <c r="S690" s="66"/>
      <c r="T690" s="66"/>
      <c r="U690" s="66"/>
      <c r="V690" s="66"/>
    </row>
    <row r="691" spans="1:22" s="64" customFormat="1" x14ac:dyDescent="0.25">
      <c r="A691" s="61" t="s">
        <v>1433</v>
      </c>
      <c r="B691" s="511" t="s">
        <v>1461</v>
      </c>
      <c r="C691" s="511"/>
      <c r="D691" s="511"/>
      <c r="E691" s="61" t="s">
        <v>1437</v>
      </c>
      <c r="F691" s="61" t="s">
        <v>389</v>
      </c>
      <c r="G691" s="61" t="s">
        <v>55</v>
      </c>
      <c r="H691" s="61"/>
      <c r="I691" s="61" t="s">
        <v>1366</v>
      </c>
      <c r="J691" s="62">
        <v>225</v>
      </c>
      <c r="K691" s="62">
        <v>250</v>
      </c>
      <c r="L691" s="62">
        <v>250</v>
      </c>
      <c r="M691" s="62">
        <v>320</v>
      </c>
      <c r="N691" s="55" t="s">
        <v>1344</v>
      </c>
      <c r="O691" s="61" t="s">
        <v>52</v>
      </c>
      <c r="P691" s="66"/>
      <c r="Q691" s="66"/>
      <c r="R691" s="66"/>
      <c r="S691" s="66"/>
      <c r="T691" s="66"/>
      <c r="U691" s="66"/>
      <c r="V691" s="66"/>
    </row>
    <row r="692" spans="1:22" s="64" customFormat="1" x14ac:dyDescent="0.25">
      <c r="A692" s="61" t="s">
        <v>1433</v>
      </c>
      <c r="B692" s="511" t="s">
        <v>1462</v>
      </c>
      <c r="C692" s="511"/>
      <c r="D692" s="511"/>
      <c r="E692" s="61" t="s">
        <v>1437</v>
      </c>
      <c r="F692" s="61" t="s">
        <v>54</v>
      </c>
      <c r="G692" s="61" t="s">
        <v>55</v>
      </c>
      <c r="H692" s="61"/>
      <c r="I692" s="61" t="s">
        <v>1366</v>
      </c>
      <c r="J692" s="62">
        <v>180</v>
      </c>
      <c r="K692" s="62">
        <v>200</v>
      </c>
      <c r="L692" s="62">
        <v>200</v>
      </c>
      <c r="M692" s="62">
        <v>250</v>
      </c>
      <c r="N692" s="55" t="s">
        <v>1344</v>
      </c>
      <c r="O692" s="61" t="s">
        <v>52</v>
      </c>
      <c r="P692" s="66"/>
      <c r="Q692" s="66"/>
      <c r="R692" s="66"/>
      <c r="S692" s="66"/>
      <c r="T692" s="66"/>
      <c r="U692" s="66"/>
      <c r="V692" s="66"/>
    </row>
    <row r="693" spans="1:22" s="64" customFormat="1" x14ac:dyDescent="0.25">
      <c r="A693" s="61" t="s">
        <v>1433</v>
      </c>
      <c r="B693" s="511" t="s">
        <v>1462</v>
      </c>
      <c r="C693" s="511"/>
      <c r="D693" s="511"/>
      <c r="E693" s="61" t="s">
        <v>1440</v>
      </c>
      <c r="F693" s="61" t="s">
        <v>389</v>
      </c>
      <c r="G693" s="61" t="s">
        <v>55</v>
      </c>
      <c r="H693" s="61"/>
      <c r="I693" s="61" t="s">
        <v>1366</v>
      </c>
      <c r="J693" s="62">
        <v>180</v>
      </c>
      <c r="K693" s="62">
        <v>200</v>
      </c>
      <c r="L693" s="62">
        <v>200</v>
      </c>
      <c r="M693" s="62">
        <v>250</v>
      </c>
      <c r="N693" s="55" t="s">
        <v>1344</v>
      </c>
      <c r="O693" s="61" t="s">
        <v>52</v>
      </c>
      <c r="P693" s="66"/>
      <c r="Q693" s="66"/>
      <c r="R693" s="66"/>
      <c r="S693" s="66"/>
      <c r="T693" s="66"/>
      <c r="U693" s="66"/>
      <c r="V693" s="66"/>
    </row>
    <row r="694" spans="1:22" s="64" customFormat="1" x14ac:dyDescent="0.25">
      <c r="A694" s="61" t="s">
        <v>1433</v>
      </c>
      <c r="B694" s="511" t="s">
        <v>1462</v>
      </c>
      <c r="C694" s="511"/>
      <c r="D694" s="511"/>
      <c r="E694" s="61" t="s">
        <v>1439</v>
      </c>
      <c r="F694" s="61" t="s">
        <v>389</v>
      </c>
      <c r="G694" s="61" t="s">
        <v>55</v>
      </c>
      <c r="H694" s="61"/>
      <c r="I694" s="61" t="s">
        <v>1366</v>
      </c>
      <c r="J694" s="62">
        <v>180</v>
      </c>
      <c r="K694" s="62">
        <v>200</v>
      </c>
      <c r="L694" s="62">
        <v>200</v>
      </c>
      <c r="M694" s="62">
        <v>250</v>
      </c>
      <c r="N694" s="55" t="s">
        <v>1344</v>
      </c>
      <c r="O694" s="61" t="s">
        <v>52</v>
      </c>
      <c r="P694" s="66"/>
      <c r="Q694" s="66"/>
      <c r="R694" s="66"/>
      <c r="S694" s="66"/>
      <c r="T694" s="66"/>
      <c r="U694" s="66"/>
      <c r="V694" s="66"/>
    </row>
    <row r="695" spans="1:22" s="64" customFormat="1" x14ac:dyDescent="0.25">
      <c r="A695" s="61" t="s">
        <v>1433</v>
      </c>
      <c r="B695" s="511" t="s">
        <v>1462</v>
      </c>
      <c r="C695" s="511"/>
      <c r="D695" s="511"/>
      <c r="E695" s="61" t="s">
        <v>1437</v>
      </c>
      <c r="F695" s="61" t="s">
        <v>389</v>
      </c>
      <c r="G695" s="61" t="s">
        <v>55</v>
      </c>
      <c r="H695" s="61"/>
      <c r="I695" s="61" t="s">
        <v>1366</v>
      </c>
      <c r="J695" s="62">
        <v>180</v>
      </c>
      <c r="K695" s="62">
        <v>200</v>
      </c>
      <c r="L695" s="62">
        <v>200</v>
      </c>
      <c r="M695" s="62">
        <v>250</v>
      </c>
      <c r="N695" s="55" t="s">
        <v>1344</v>
      </c>
      <c r="O695" s="61" t="s">
        <v>52</v>
      </c>
      <c r="P695" s="66"/>
      <c r="Q695" s="66"/>
      <c r="R695" s="66"/>
      <c r="S695" s="66"/>
      <c r="T695" s="66"/>
      <c r="U695" s="66"/>
      <c r="V695" s="66"/>
    </row>
    <row r="696" spans="1:22" s="64" customFormat="1" x14ac:dyDescent="0.25">
      <c r="A696" s="61" t="s">
        <v>1433</v>
      </c>
      <c r="B696" s="511" t="s">
        <v>1463</v>
      </c>
      <c r="C696" s="511"/>
      <c r="D696" s="511"/>
      <c r="E696" s="61" t="s">
        <v>1435</v>
      </c>
      <c r="F696" s="61" t="s">
        <v>54</v>
      </c>
      <c r="G696" s="61" t="s">
        <v>55</v>
      </c>
      <c r="H696" s="61"/>
      <c r="I696" s="61" t="s">
        <v>1366</v>
      </c>
      <c r="J696" s="62">
        <v>225</v>
      </c>
      <c r="K696" s="62">
        <v>250</v>
      </c>
      <c r="L696" s="62">
        <v>250</v>
      </c>
      <c r="M696" s="62">
        <v>320</v>
      </c>
      <c r="N696" s="55" t="s">
        <v>1344</v>
      </c>
      <c r="O696" s="61" t="s">
        <v>52</v>
      </c>
      <c r="P696" s="66"/>
      <c r="Q696" s="66"/>
      <c r="R696" s="66"/>
      <c r="S696" s="66"/>
      <c r="T696" s="66"/>
      <c r="U696" s="66"/>
      <c r="V696" s="66"/>
    </row>
    <row r="697" spans="1:22" s="64" customFormat="1" x14ac:dyDescent="0.25">
      <c r="A697" s="61" t="s">
        <v>1433</v>
      </c>
      <c r="B697" s="511" t="s">
        <v>1463</v>
      </c>
      <c r="C697" s="511"/>
      <c r="D697" s="511"/>
      <c r="E697" s="61" t="s">
        <v>1435</v>
      </c>
      <c r="F697" s="61" t="s">
        <v>389</v>
      </c>
      <c r="G697" s="61" t="s">
        <v>55</v>
      </c>
      <c r="H697" s="61"/>
      <c r="I697" s="61" t="s">
        <v>1366</v>
      </c>
      <c r="J697" s="62">
        <v>225</v>
      </c>
      <c r="K697" s="62">
        <v>250</v>
      </c>
      <c r="L697" s="62">
        <v>250</v>
      </c>
      <c r="M697" s="62">
        <v>320</v>
      </c>
      <c r="N697" s="55" t="s">
        <v>1344</v>
      </c>
      <c r="O697" s="61" t="s">
        <v>52</v>
      </c>
      <c r="P697" s="66"/>
      <c r="Q697" s="66"/>
      <c r="R697" s="66"/>
      <c r="S697" s="66"/>
      <c r="T697" s="66"/>
      <c r="U697" s="66"/>
      <c r="V697" s="66"/>
    </row>
    <row r="698" spans="1:22" s="64" customFormat="1" x14ac:dyDescent="0.25">
      <c r="A698" s="61" t="s">
        <v>1433</v>
      </c>
      <c r="B698" s="511" t="s">
        <v>1464</v>
      </c>
      <c r="C698" s="511"/>
      <c r="D698" s="511"/>
      <c r="E698" s="61" t="s">
        <v>1447</v>
      </c>
      <c r="F698" s="61" t="s">
        <v>56</v>
      </c>
      <c r="G698" s="61" t="s">
        <v>55</v>
      </c>
      <c r="H698" s="61"/>
      <c r="I698" s="61" t="s">
        <v>1366</v>
      </c>
      <c r="J698" s="62">
        <v>235</v>
      </c>
      <c r="K698" s="62">
        <v>240</v>
      </c>
      <c r="L698" s="62">
        <v>240</v>
      </c>
      <c r="M698" s="62"/>
      <c r="N698" s="55" t="s">
        <v>1344</v>
      </c>
      <c r="O698" s="61" t="s">
        <v>52</v>
      </c>
      <c r="P698" s="66"/>
      <c r="Q698" s="66"/>
      <c r="R698" s="66"/>
      <c r="S698" s="66"/>
      <c r="T698" s="66"/>
      <c r="U698" s="66"/>
      <c r="V698" s="66"/>
    </row>
    <row r="699" spans="1:22" s="64" customFormat="1" x14ac:dyDescent="0.25">
      <c r="A699" s="61" t="s">
        <v>1433</v>
      </c>
      <c r="B699" s="511" t="s">
        <v>1465</v>
      </c>
      <c r="C699" s="511"/>
      <c r="D699" s="511"/>
      <c r="E699" s="61" t="s">
        <v>1437</v>
      </c>
      <c r="F699" s="61" t="s">
        <v>54</v>
      </c>
      <c r="G699" s="61" t="s">
        <v>55</v>
      </c>
      <c r="H699" s="61"/>
      <c r="I699" s="61" t="s">
        <v>1366</v>
      </c>
      <c r="J699" s="62">
        <v>180</v>
      </c>
      <c r="K699" s="62">
        <v>200</v>
      </c>
      <c r="L699" s="62">
        <v>200</v>
      </c>
      <c r="M699" s="62">
        <v>250</v>
      </c>
      <c r="N699" s="55" t="s">
        <v>1344</v>
      </c>
      <c r="O699" s="61" t="s">
        <v>52</v>
      </c>
      <c r="P699" s="66"/>
      <c r="Q699" s="66"/>
      <c r="R699" s="66"/>
      <c r="S699" s="66"/>
      <c r="T699" s="66"/>
      <c r="U699" s="66"/>
      <c r="V699" s="66"/>
    </row>
    <row r="700" spans="1:22" s="64" customFormat="1" x14ac:dyDescent="0.25">
      <c r="A700" s="61" t="s">
        <v>1433</v>
      </c>
      <c r="B700" s="511" t="s">
        <v>1465</v>
      </c>
      <c r="C700" s="511"/>
      <c r="D700" s="511"/>
      <c r="E700" s="61" t="s">
        <v>1440</v>
      </c>
      <c r="F700" s="61" t="s">
        <v>389</v>
      </c>
      <c r="G700" s="61" t="s">
        <v>55</v>
      </c>
      <c r="H700" s="61"/>
      <c r="I700" s="61" t="s">
        <v>1366</v>
      </c>
      <c r="J700" s="62">
        <v>180</v>
      </c>
      <c r="K700" s="62">
        <v>200</v>
      </c>
      <c r="L700" s="62">
        <v>200</v>
      </c>
      <c r="M700" s="62">
        <v>250</v>
      </c>
      <c r="N700" s="55" t="s">
        <v>1344</v>
      </c>
      <c r="O700" s="61" t="s">
        <v>52</v>
      </c>
      <c r="P700" s="66"/>
      <c r="Q700" s="66"/>
      <c r="R700" s="66"/>
      <c r="S700" s="66"/>
      <c r="T700" s="66"/>
      <c r="U700" s="66"/>
      <c r="V700" s="66"/>
    </row>
    <row r="701" spans="1:22" s="64" customFormat="1" x14ac:dyDescent="0.25">
      <c r="A701" s="61" t="s">
        <v>1433</v>
      </c>
      <c r="B701" s="511" t="s">
        <v>1465</v>
      </c>
      <c r="C701" s="511"/>
      <c r="D701" s="511"/>
      <c r="E701" s="61" t="s">
        <v>1439</v>
      </c>
      <c r="F701" s="61" t="s">
        <v>389</v>
      </c>
      <c r="G701" s="61" t="s">
        <v>55</v>
      </c>
      <c r="H701" s="61"/>
      <c r="I701" s="61" t="s">
        <v>1366</v>
      </c>
      <c r="J701" s="62">
        <v>180</v>
      </c>
      <c r="K701" s="62">
        <v>200</v>
      </c>
      <c r="L701" s="62">
        <v>200</v>
      </c>
      <c r="M701" s="62">
        <v>250</v>
      </c>
      <c r="N701" s="55" t="s">
        <v>1344</v>
      </c>
      <c r="O701" s="61" t="s">
        <v>52</v>
      </c>
      <c r="P701" s="66"/>
      <c r="Q701" s="66"/>
      <c r="R701" s="66"/>
      <c r="S701" s="66"/>
      <c r="T701" s="66"/>
      <c r="U701" s="66"/>
      <c r="V701" s="66"/>
    </row>
    <row r="702" spans="1:22" s="64" customFormat="1" x14ac:dyDescent="0.25">
      <c r="A702" s="61" t="s">
        <v>1433</v>
      </c>
      <c r="B702" s="511" t="s">
        <v>1465</v>
      </c>
      <c r="C702" s="511"/>
      <c r="D702" s="511"/>
      <c r="E702" s="61" t="s">
        <v>1437</v>
      </c>
      <c r="F702" s="61" t="s">
        <v>389</v>
      </c>
      <c r="G702" s="61" t="s">
        <v>55</v>
      </c>
      <c r="H702" s="61"/>
      <c r="I702" s="61" t="s">
        <v>1366</v>
      </c>
      <c r="J702" s="62">
        <v>180</v>
      </c>
      <c r="K702" s="62">
        <v>200</v>
      </c>
      <c r="L702" s="62">
        <v>200</v>
      </c>
      <c r="M702" s="62">
        <v>250</v>
      </c>
      <c r="N702" s="55" t="s">
        <v>1344</v>
      </c>
      <c r="O702" s="61" t="s">
        <v>52</v>
      </c>
      <c r="P702" s="66"/>
      <c r="Q702" s="66"/>
      <c r="R702" s="66"/>
      <c r="S702" s="66"/>
      <c r="T702" s="66"/>
      <c r="U702" s="66"/>
      <c r="V702" s="66"/>
    </row>
    <row r="703" spans="1:22" s="64" customFormat="1" x14ac:dyDescent="0.25">
      <c r="A703" s="61" t="s">
        <v>1433</v>
      </c>
      <c r="B703" s="511" t="s">
        <v>1466</v>
      </c>
      <c r="C703" s="511"/>
      <c r="D703" s="511"/>
      <c r="E703" s="61" t="s">
        <v>1435</v>
      </c>
      <c r="F703" s="61" t="s">
        <v>54</v>
      </c>
      <c r="G703" s="61" t="s">
        <v>55</v>
      </c>
      <c r="H703" s="61"/>
      <c r="I703" s="61" t="s">
        <v>1366</v>
      </c>
      <c r="J703" s="62">
        <v>160</v>
      </c>
      <c r="K703" s="62">
        <v>175</v>
      </c>
      <c r="L703" s="62">
        <v>175</v>
      </c>
      <c r="M703" s="62">
        <v>225</v>
      </c>
      <c r="N703" s="55" t="s">
        <v>1344</v>
      </c>
      <c r="O703" s="61" t="s">
        <v>52</v>
      </c>
      <c r="P703" s="66"/>
      <c r="Q703" s="66"/>
      <c r="R703" s="66"/>
      <c r="S703" s="66"/>
      <c r="T703" s="66"/>
      <c r="U703" s="66"/>
      <c r="V703" s="66"/>
    </row>
    <row r="704" spans="1:22" s="64" customFormat="1" x14ac:dyDescent="0.25">
      <c r="A704" s="61" t="s">
        <v>1433</v>
      </c>
      <c r="B704" s="511" t="s">
        <v>1466</v>
      </c>
      <c r="C704" s="511"/>
      <c r="D704" s="511"/>
      <c r="E704" s="61" t="s">
        <v>1435</v>
      </c>
      <c r="F704" s="61" t="s">
        <v>389</v>
      </c>
      <c r="G704" s="61" t="s">
        <v>55</v>
      </c>
      <c r="H704" s="61"/>
      <c r="I704" s="61" t="s">
        <v>1366</v>
      </c>
      <c r="J704" s="62">
        <v>160</v>
      </c>
      <c r="K704" s="62">
        <v>175</v>
      </c>
      <c r="L704" s="62">
        <v>175</v>
      </c>
      <c r="M704" s="62">
        <v>225</v>
      </c>
      <c r="N704" s="55" t="s">
        <v>1344</v>
      </c>
      <c r="O704" s="61" t="s">
        <v>52</v>
      </c>
      <c r="P704" s="66"/>
      <c r="Q704" s="66"/>
      <c r="R704" s="66"/>
      <c r="S704" s="66"/>
      <c r="T704" s="66"/>
      <c r="U704" s="66"/>
      <c r="V704" s="66"/>
    </row>
    <row r="705" spans="1:22" s="64" customFormat="1" x14ac:dyDescent="0.25">
      <c r="A705" s="61" t="s">
        <v>1433</v>
      </c>
      <c r="B705" s="511" t="s">
        <v>1467</v>
      </c>
      <c r="C705" s="511"/>
      <c r="D705" s="511"/>
      <c r="E705" s="61" t="s">
        <v>1468</v>
      </c>
      <c r="F705" s="61" t="s">
        <v>56</v>
      </c>
      <c r="G705" s="61" t="s">
        <v>55</v>
      </c>
      <c r="H705" s="61"/>
      <c r="I705" s="61" t="s">
        <v>1366</v>
      </c>
      <c r="J705" s="62">
        <v>30</v>
      </c>
      <c r="K705" s="62">
        <v>55</v>
      </c>
      <c r="L705" s="62">
        <v>55</v>
      </c>
      <c r="M705" s="62"/>
      <c r="N705" s="55" t="s">
        <v>1344</v>
      </c>
      <c r="O705" s="61" t="s">
        <v>52</v>
      </c>
      <c r="P705" s="66"/>
      <c r="Q705" s="66"/>
      <c r="R705" s="66"/>
      <c r="S705" s="66"/>
      <c r="T705" s="66"/>
      <c r="U705" s="66"/>
      <c r="V705" s="66"/>
    </row>
    <row r="706" spans="1:22" s="64" customFormat="1" x14ac:dyDescent="0.25">
      <c r="A706" s="61" t="s">
        <v>1433</v>
      </c>
      <c r="B706" s="511" t="s">
        <v>1469</v>
      </c>
      <c r="C706" s="511"/>
      <c r="D706" s="511"/>
      <c r="E706" s="61" t="s">
        <v>1435</v>
      </c>
      <c r="F706" s="61" t="s">
        <v>54</v>
      </c>
      <c r="G706" s="61" t="s">
        <v>55</v>
      </c>
      <c r="H706" s="61"/>
      <c r="I706" s="61" t="s">
        <v>1366</v>
      </c>
      <c r="J706" s="62">
        <v>360</v>
      </c>
      <c r="K706" s="62">
        <v>400</v>
      </c>
      <c r="L706" s="62">
        <v>400</v>
      </c>
      <c r="M706" s="62">
        <v>510</v>
      </c>
      <c r="N706" s="55" t="s">
        <v>1344</v>
      </c>
      <c r="O706" s="61" t="s">
        <v>52</v>
      </c>
      <c r="P706" s="66"/>
      <c r="Q706" s="66"/>
      <c r="R706" s="66"/>
      <c r="S706" s="66"/>
      <c r="T706" s="66"/>
      <c r="U706" s="66"/>
      <c r="V706" s="66"/>
    </row>
    <row r="707" spans="1:22" s="64" customFormat="1" x14ac:dyDescent="0.25">
      <c r="A707" s="61" t="s">
        <v>1433</v>
      </c>
      <c r="B707" s="511" t="s">
        <v>1469</v>
      </c>
      <c r="C707" s="511"/>
      <c r="D707" s="511"/>
      <c r="E707" s="61" t="s">
        <v>1435</v>
      </c>
      <c r="F707" s="61" t="s">
        <v>389</v>
      </c>
      <c r="G707" s="61" t="s">
        <v>55</v>
      </c>
      <c r="H707" s="61"/>
      <c r="I707" s="61" t="s">
        <v>1366</v>
      </c>
      <c r="J707" s="62">
        <v>360</v>
      </c>
      <c r="K707" s="62">
        <v>400</v>
      </c>
      <c r="L707" s="62">
        <v>400</v>
      </c>
      <c r="M707" s="62">
        <v>510</v>
      </c>
      <c r="N707" s="55" t="s">
        <v>1344</v>
      </c>
      <c r="O707" s="61" t="s">
        <v>52</v>
      </c>
      <c r="P707" s="66"/>
      <c r="Q707" s="66"/>
      <c r="R707" s="66"/>
      <c r="S707" s="66"/>
      <c r="T707" s="66"/>
      <c r="U707" s="66"/>
      <c r="V707" s="66"/>
    </row>
    <row r="708" spans="1:22" s="64" customFormat="1" x14ac:dyDescent="0.25">
      <c r="A708" s="61" t="s">
        <v>1433</v>
      </c>
      <c r="B708" s="511" t="s">
        <v>1470</v>
      </c>
      <c r="C708" s="511"/>
      <c r="D708" s="511"/>
      <c r="E708" s="61" t="s">
        <v>1447</v>
      </c>
      <c r="F708" s="61" t="s">
        <v>56</v>
      </c>
      <c r="G708" s="61" t="s">
        <v>55</v>
      </c>
      <c r="H708" s="61"/>
      <c r="I708" s="61" t="s">
        <v>1366</v>
      </c>
      <c r="J708" s="62">
        <v>255</v>
      </c>
      <c r="K708" s="62">
        <v>270</v>
      </c>
      <c r="L708" s="62">
        <v>270</v>
      </c>
      <c r="M708" s="62">
        <v>320</v>
      </c>
      <c r="N708" s="55" t="s">
        <v>1344</v>
      </c>
      <c r="O708" s="61" t="s">
        <v>52</v>
      </c>
      <c r="P708" s="66"/>
      <c r="Q708" s="66"/>
      <c r="R708" s="66"/>
      <c r="S708" s="66"/>
      <c r="T708" s="66"/>
      <c r="U708" s="66"/>
      <c r="V708" s="66"/>
    </row>
    <row r="709" spans="1:22" s="64" customFormat="1" x14ac:dyDescent="0.25">
      <c r="A709" s="61" t="s">
        <v>1433</v>
      </c>
      <c r="B709" s="511" t="s">
        <v>1471</v>
      </c>
      <c r="C709" s="511"/>
      <c r="D709" s="511"/>
      <c r="E709" s="61" t="s">
        <v>1447</v>
      </c>
      <c r="F709" s="61" t="s">
        <v>56</v>
      </c>
      <c r="G709" s="61" t="s">
        <v>55</v>
      </c>
      <c r="H709" s="61"/>
      <c r="I709" s="61" t="s">
        <v>1366</v>
      </c>
      <c r="J709" s="62">
        <v>245</v>
      </c>
      <c r="K709" s="62">
        <v>280</v>
      </c>
      <c r="L709" s="62">
        <v>280</v>
      </c>
      <c r="M709" s="62"/>
      <c r="N709" s="55" t="s">
        <v>1344</v>
      </c>
      <c r="O709" s="61" t="s">
        <v>52</v>
      </c>
      <c r="P709" s="66"/>
      <c r="Q709" s="66"/>
      <c r="R709" s="66"/>
      <c r="S709" s="66"/>
      <c r="T709" s="66"/>
      <c r="U709" s="66"/>
      <c r="V709" s="66"/>
    </row>
    <row r="710" spans="1:22" s="64" customFormat="1" x14ac:dyDescent="0.25">
      <c r="A710" s="61" t="s">
        <v>1433</v>
      </c>
      <c r="B710" s="511" t="s">
        <v>1472</v>
      </c>
      <c r="C710" s="511"/>
      <c r="D710" s="511"/>
      <c r="E710" s="61" t="s">
        <v>1437</v>
      </c>
      <c r="F710" s="61" t="s">
        <v>54</v>
      </c>
      <c r="G710" s="61" t="s">
        <v>55</v>
      </c>
      <c r="H710" s="61"/>
      <c r="I710" s="61" t="s">
        <v>1366</v>
      </c>
      <c r="J710" s="62">
        <v>270</v>
      </c>
      <c r="K710" s="62">
        <v>300</v>
      </c>
      <c r="L710" s="62">
        <v>300</v>
      </c>
      <c r="M710" s="62">
        <v>380</v>
      </c>
      <c r="N710" s="55" t="s">
        <v>1344</v>
      </c>
      <c r="O710" s="61" t="s">
        <v>52</v>
      </c>
      <c r="P710" s="66"/>
      <c r="Q710" s="66"/>
      <c r="R710" s="66"/>
      <c r="S710" s="66"/>
      <c r="T710" s="66"/>
      <c r="U710" s="66"/>
      <c r="V710" s="66"/>
    </row>
    <row r="711" spans="1:22" s="64" customFormat="1" x14ac:dyDescent="0.25">
      <c r="A711" s="61" t="s">
        <v>1433</v>
      </c>
      <c r="B711" s="511" t="s">
        <v>1472</v>
      </c>
      <c r="C711" s="511"/>
      <c r="D711" s="511"/>
      <c r="E711" s="61" t="s">
        <v>1440</v>
      </c>
      <c r="F711" s="61" t="s">
        <v>389</v>
      </c>
      <c r="G711" s="61" t="s">
        <v>55</v>
      </c>
      <c r="H711" s="61"/>
      <c r="I711" s="61" t="s">
        <v>1366</v>
      </c>
      <c r="J711" s="62">
        <v>270</v>
      </c>
      <c r="K711" s="62">
        <v>300</v>
      </c>
      <c r="L711" s="62">
        <v>300</v>
      </c>
      <c r="M711" s="62">
        <v>380</v>
      </c>
      <c r="N711" s="55" t="s">
        <v>1344</v>
      </c>
      <c r="O711" s="61" t="s">
        <v>52</v>
      </c>
      <c r="P711" s="66"/>
      <c r="Q711" s="66"/>
      <c r="R711" s="66"/>
      <c r="S711" s="66"/>
      <c r="T711" s="66"/>
      <c r="U711" s="66"/>
      <c r="V711" s="66"/>
    </row>
    <row r="712" spans="1:22" s="64" customFormat="1" x14ac:dyDescent="0.25">
      <c r="A712" s="61" t="s">
        <v>1433</v>
      </c>
      <c r="B712" s="511" t="s">
        <v>1472</v>
      </c>
      <c r="C712" s="511"/>
      <c r="D712" s="511"/>
      <c r="E712" s="61" t="s">
        <v>1439</v>
      </c>
      <c r="F712" s="61" t="s">
        <v>389</v>
      </c>
      <c r="G712" s="61" t="s">
        <v>55</v>
      </c>
      <c r="H712" s="61"/>
      <c r="I712" s="61" t="s">
        <v>1366</v>
      </c>
      <c r="J712" s="62">
        <v>270</v>
      </c>
      <c r="K712" s="62">
        <v>300</v>
      </c>
      <c r="L712" s="62">
        <v>300</v>
      </c>
      <c r="M712" s="62">
        <v>380</v>
      </c>
      <c r="N712" s="55" t="s">
        <v>1344</v>
      </c>
      <c r="O712" s="61" t="s">
        <v>52</v>
      </c>
      <c r="P712" s="66"/>
      <c r="Q712" s="66"/>
      <c r="R712" s="66"/>
      <c r="S712" s="66"/>
      <c r="T712" s="66"/>
      <c r="U712" s="66"/>
      <c r="V712" s="66"/>
    </row>
    <row r="713" spans="1:22" s="64" customFormat="1" x14ac:dyDescent="0.25">
      <c r="A713" s="61" t="s">
        <v>1433</v>
      </c>
      <c r="B713" s="511" t="s">
        <v>1472</v>
      </c>
      <c r="C713" s="511"/>
      <c r="D713" s="511"/>
      <c r="E713" s="61" t="s">
        <v>1437</v>
      </c>
      <c r="F713" s="61" t="s">
        <v>389</v>
      </c>
      <c r="G713" s="61" t="s">
        <v>55</v>
      </c>
      <c r="H713" s="61"/>
      <c r="I713" s="61" t="s">
        <v>1366</v>
      </c>
      <c r="J713" s="62">
        <v>270</v>
      </c>
      <c r="K713" s="62">
        <v>300</v>
      </c>
      <c r="L713" s="62">
        <v>300</v>
      </c>
      <c r="M713" s="62">
        <v>380</v>
      </c>
      <c r="N713" s="55" t="s">
        <v>1344</v>
      </c>
      <c r="O713" s="61" t="s">
        <v>52</v>
      </c>
      <c r="P713" s="66"/>
      <c r="Q713" s="66"/>
      <c r="R713" s="66"/>
      <c r="S713" s="66"/>
      <c r="T713" s="66"/>
      <c r="U713" s="66"/>
      <c r="V713" s="66"/>
    </row>
    <row r="714" spans="1:22" s="64" customFormat="1" x14ac:dyDescent="0.25">
      <c r="A714" s="61" t="s">
        <v>1433</v>
      </c>
      <c r="B714" s="511" t="s">
        <v>1473</v>
      </c>
      <c r="C714" s="511"/>
      <c r="D714" s="511"/>
      <c r="E714" s="61" t="s">
        <v>1435</v>
      </c>
      <c r="F714" s="61" t="s">
        <v>54</v>
      </c>
      <c r="G714" s="61" t="s">
        <v>55</v>
      </c>
      <c r="H714" s="61"/>
      <c r="I714" s="61" t="s">
        <v>1366</v>
      </c>
      <c r="J714" s="62">
        <v>270</v>
      </c>
      <c r="K714" s="62">
        <v>300</v>
      </c>
      <c r="L714" s="62">
        <v>300</v>
      </c>
      <c r="M714" s="62">
        <v>380</v>
      </c>
      <c r="N714" s="55" t="s">
        <v>1344</v>
      </c>
      <c r="O714" s="61" t="s">
        <v>52</v>
      </c>
      <c r="P714" s="66"/>
      <c r="Q714" s="66"/>
      <c r="R714" s="66"/>
      <c r="S714" s="66"/>
      <c r="T714" s="66"/>
      <c r="U714" s="66"/>
      <c r="V714" s="66"/>
    </row>
    <row r="715" spans="1:22" s="64" customFormat="1" x14ac:dyDescent="0.25">
      <c r="A715" s="61" t="s">
        <v>1433</v>
      </c>
      <c r="B715" s="511" t="s">
        <v>1473</v>
      </c>
      <c r="C715" s="511"/>
      <c r="D715" s="511"/>
      <c r="E715" s="61" t="s">
        <v>1435</v>
      </c>
      <c r="F715" s="61" t="s">
        <v>389</v>
      </c>
      <c r="G715" s="61" t="s">
        <v>55</v>
      </c>
      <c r="H715" s="61"/>
      <c r="I715" s="61" t="s">
        <v>1366</v>
      </c>
      <c r="J715" s="62">
        <v>270</v>
      </c>
      <c r="K715" s="62">
        <v>300</v>
      </c>
      <c r="L715" s="62">
        <v>300</v>
      </c>
      <c r="M715" s="62">
        <v>380</v>
      </c>
      <c r="N715" s="55" t="s">
        <v>1344</v>
      </c>
      <c r="O715" s="61" t="s">
        <v>52</v>
      </c>
      <c r="P715" s="66"/>
      <c r="Q715" s="66"/>
      <c r="R715" s="66"/>
      <c r="S715" s="66"/>
      <c r="T715" s="66"/>
      <c r="U715" s="66"/>
      <c r="V715" s="66"/>
    </row>
    <row r="716" spans="1:22" s="64" customFormat="1" x14ac:dyDescent="0.25">
      <c r="A716" s="61" t="s">
        <v>1433</v>
      </c>
      <c r="B716" s="511" t="s">
        <v>1474</v>
      </c>
      <c r="C716" s="511"/>
      <c r="D716" s="511"/>
      <c r="E716" s="61" t="s">
        <v>1435</v>
      </c>
      <c r="F716" s="61" t="s">
        <v>54</v>
      </c>
      <c r="G716" s="61" t="s">
        <v>55</v>
      </c>
      <c r="H716" s="61"/>
      <c r="I716" s="61" t="s">
        <v>1366</v>
      </c>
      <c r="J716" s="62">
        <v>180</v>
      </c>
      <c r="K716" s="62">
        <v>200</v>
      </c>
      <c r="L716" s="62">
        <v>200</v>
      </c>
      <c r="M716" s="62">
        <v>255</v>
      </c>
      <c r="N716" s="55" t="s">
        <v>1344</v>
      </c>
      <c r="O716" s="61" t="s">
        <v>52</v>
      </c>
      <c r="P716" s="66"/>
      <c r="Q716" s="66"/>
      <c r="R716" s="66"/>
      <c r="S716" s="66"/>
      <c r="T716" s="66"/>
      <c r="U716" s="66"/>
      <c r="V716" s="66"/>
    </row>
    <row r="717" spans="1:22" s="64" customFormat="1" x14ac:dyDescent="0.25">
      <c r="A717" s="61" t="s">
        <v>1433</v>
      </c>
      <c r="B717" s="511" t="s">
        <v>1475</v>
      </c>
      <c r="C717" s="511"/>
      <c r="D717" s="511"/>
      <c r="E717" s="61" t="s">
        <v>1468</v>
      </c>
      <c r="F717" s="61" t="s">
        <v>56</v>
      </c>
      <c r="G717" s="61" t="s">
        <v>55</v>
      </c>
      <c r="H717" s="61"/>
      <c r="I717" s="61" t="s">
        <v>1366</v>
      </c>
      <c r="J717" s="62">
        <v>500</v>
      </c>
      <c r="K717" s="62">
        <v>735</v>
      </c>
      <c r="L717" s="62">
        <v>735</v>
      </c>
      <c r="M717" s="62"/>
      <c r="N717" s="55" t="s">
        <v>1344</v>
      </c>
      <c r="O717" s="61" t="s">
        <v>52</v>
      </c>
      <c r="P717" s="66"/>
      <c r="Q717" s="66"/>
      <c r="R717" s="66"/>
      <c r="S717" s="66"/>
      <c r="T717" s="66"/>
      <c r="U717" s="66"/>
      <c r="V717" s="66"/>
    </row>
    <row r="718" spans="1:22" s="64" customFormat="1" x14ac:dyDescent="0.25">
      <c r="A718" s="61" t="s">
        <v>1433</v>
      </c>
      <c r="B718" s="511" t="s">
        <v>1476</v>
      </c>
      <c r="C718" s="511"/>
      <c r="D718" s="511"/>
      <c r="E718" s="61" t="s">
        <v>1435</v>
      </c>
      <c r="F718" s="61" t="s">
        <v>54</v>
      </c>
      <c r="G718" s="61" t="s">
        <v>55</v>
      </c>
      <c r="H718" s="61"/>
      <c r="I718" s="61" t="s">
        <v>1366</v>
      </c>
      <c r="J718" s="62">
        <v>880</v>
      </c>
      <c r="K718" s="62">
        <v>975</v>
      </c>
      <c r="L718" s="62">
        <v>975</v>
      </c>
      <c r="M718" s="62">
        <v>1235</v>
      </c>
      <c r="N718" s="55" t="s">
        <v>1344</v>
      </c>
      <c r="O718" s="61" t="s">
        <v>52</v>
      </c>
      <c r="P718" s="66"/>
      <c r="Q718" s="66"/>
      <c r="R718" s="66"/>
      <c r="S718" s="66"/>
      <c r="T718" s="66"/>
      <c r="U718" s="66"/>
      <c r="V718" s="66"/>
    </row>
    <row r="719" spans="1:22" s="64" customFormat="1" x14ac:dyDescent="0.25">
      <c r="A719" s="61" t="s">
        <v>1433</v>
      </c>
      <c r="B719" s="511" t="s">
        <v>1476</v>
      </c>
      <c r="C719" s="511"/>
      <c r="D719" s="511"/>
      <c r="E719" s="61" t="s">
        <v>1435</v>
      </c>
      <c r="F719" s="61" t="s">
        <v>389</v>
      </c>
      <c r="G719" s="61" t="s">
        <v>55</v>
      </c>
      <c r="H719" s="61"/>
      <c r="I719" s="61" t="s">
        <v>1366</v>
      </c>
      <c r="J719" s="62">
        <v>880</v>
      </c>
      <c r="K719" s="62">
        <v>975</v>
      </c>
      <c r="L719" s="62">
        <v>975</v>
      </c>
      <c r="M719" s="62">
        <v>1235</v>
      </c>
      <c r="N719" s="55" t="s">
        <v>1344</v>
      </c>
      <c r="O719" s="61" t="s">
        <v>52</v>
      </c>
      <c r="P719" s="66"/>
      <c r="Q719" s="66"/>
      <c r="R719" s="66"/>
      <c r="S719" s="66"/>
      <c r="T719" s="66"/>
      <c r="U719" s="66"/>
      <c r="V719" s="66"/>
    </row>
    <row r="720" spans="1:22" s="64" customFormat="1" x14ac:dyDescent="0.25">
      <c r="A720" s="61" t="s">
        <v>1433</v>
      </c>
      <c r="B720" s="511" t="s">
        <v>1477</v>
      </c>
      <c r="C720" s="511"/>
      <c r="D720" s="511"/>
      <c r="E720" s="61" t="s">
        <v>1435</v>
      </c>
      <c r="F720" s="61" t="s">
        <v>54</v>
      </c>
      <c r="G720" s="61" t="s">
        <v>55</v>
      </c>
      <c r="H720" s="61"/>
      <c r="I720" s="61" t="s">
        <v>1366</v>
      </c>
      <c r="J720" s="62">
        <v>195</v>
      </c>
      <c r="K720" s="62">
        <v>215</v>
      </c>
      <c r="L720" s="62">
        <v>215</v>
      </c>
      <c r="M720" s="62">
        <v>275</v>
      </c>
      <c r="N720" s="55" t="s">
        <v>1344</v>
      </c>
      <c r="O720" s="61" t="s">
        <v>52</v>
      </c>
      <c r="P720" s="66"/>
      <c r="Q720" s="66"/>
      <c r="R720" s="66"/>
      <c r="S720" s="66"/>
      <c r="T720" s="66"/>
      <c r="U720" s="66"/>
      <c r="V720" s="66"/>
    </row>
    <row r="721" spans="1:22" s="64" customFormat="1" x14ac:dyDescent="0.25">
      <c r="A721" s="61" t="s">
        <v>1433</v>
      </c>
      <c r="B721" s="511" t="s">
        <v>1477</v>
      </c>
      <c r="C721" s="511"/>
      <c r="D721" s="511"/>
      <c r="E721" s="61" t="s">
        <v>1435</v>
      </c>
      <c r="F721" s="61" t="s">
        <v>389</v>
      </c>
      <c r="G721" s="61" t="s">
        <v>55</v>
      </c>
      <c r="H721" s="61"/>
      <c r="I721" s="61" t="s">
        <v>1366</v>
      </c>
      <c r="J721" s="62">
        <v>195</v>
      </c>
      <c r="K721" s="62">
        <v>215</v>
      </c>
      <c r="L721" s="62">
        <v>215</v>
      </c>
      <c r="M721" s="62">
        <v>275</v>
      </c>
      <c r="N721" s="55" t="s">
        <v>1344</v>
      </c>
      <c r="O721" s="61" t="s">
        <v>52</v>
      </c>
      <c r="P721" s="66"/>
      <c r="Q721" s="66"/>
      <c r="R721" s="66"/>
      <c r="S721" s="66"/>
      <c r="T721" s="66"/>
      <c r="U721" s="66"/>
      <c r="V721" s="66"/>
    </row>
    <row r="722" spans="1:22" s="64" customFormat="1" x14ac:dyDescent="0.25">
      <c r="A722" s="61" t="s">
        <v>1433</v>
      </c>
      <c r="B722" s="511" t="s">
        <v>1478</v>
      </c>
      <c r="C722" s="511"/>
      <c r="D722" s="511"/>
      <c r="E722" s="61" t="s">
        <v>1437</v>
      </c>
      <c r="F722" s="61" t="s">
        <v>54</v>
      </c>
      <c r="G722" s="61" t="s">
        <v>55</v>
      </c>
      <c r="H722" s="61"/>
      <c r="I722" s="61" t="s">
        <v>1366</v>
      </c>
      <c r="J722" s="62">
        <v>270</v>
      </c>
      <c r="K722" s="62">
        <v>300</v>
      </c>
      <c r="L722" s="62">
        <v>300</v>
      </c>
      <c r="M722" s="62">
        <v>380</v>
      </c>
      <c r="N722" s="55" t="s">
        <v>1344</v>
      </c>
      <c r="O722" s="61" t="s">
        <v>52</v>
      </c>
      <c r="P722" s="66"/>
      <c r="Q722" s="66"/>
      <c r="R722" s="66"/>
      <c r="S722" s="66"/>
      <c r="T722" s="66"/>
      <c r="U722" s="66"/>
      <c r="V722" s="66"/>
    </row>
    <row r="723" spans="1:22" s="64" customFormat="1" x14ac:dyDescent="0.25">
      <c r="A723" s="61" t="s">
        <v>1433</v>
      </c>
      <c r="B723" s="511" t="s">
        <v>1478</v>
      </c>
      <c r="C723" s="511"/>
      <c r="D723" s="511"/>
      <c r="E723" s="61" t="s">
        <v>1440</v>
      </c>
      <c r="F723" s="61" t="s">
        <v>389</v>
      </c>
      <c r="G723" s="61" t="s">
        <v>55</v>
      </c>
      <c r="H723" s="61"/>
      <c r="I723" s="61" t="s">
        <v>1366</v>
      </c>
      <c r="J723" s="62">
        <v>270</v>
      </c>
      <c r="K723" s="62">
        <v>300</v>
      </c>
      <c r="L723" s="62">
        <v>300</v>
      </c>
      <c r="M723" s="62">
        <v>380</v>
      </c>
      <c r="N723" s="55" t="s">
        <v>1344</v>
      </c>
      <c r="O723" s="61" t="s">
        <v>52</v>
      </c>
      <c r="P723" s="66"/>
      <c r="Q723" s="66"/>
      <c r="R723" s="66"/>
      <c r="S723" s="66"/>
      <c r="T723" s="66"/>
      <c r="U723" s="66"/>
      <c r="V723" s="66"/>
    </row>
    <row r="724" spans="1:22" s="64" customFormat="1" x14ac:dyDescent="0.25">
      <c r="A724" s="61" t="s">
        <v>1433</v>
      </c>
      <c r="B724" s="511" t="s">
        <v>1478</v>
      </c>
      <c r="C724" s="511"/>
      <c r="D724" s="511"/>
      <c r="E724" s="61" t="s">
        <v>1439</v>
      </c>
      <c r="F724" s="61" t="s">
        <v>389</v>
      </c>
      <c r="G724" s="61" t="s">
        <v>55</v>
      </c>
      <c r="H724" s="61"/>
      <c r="I724" s="61" t="s">
        <v>1366</v>
      </c>
      <c r="J724" s="62">
        <v>270</v>
      </c>
      <c r="K724" s="62">
        <v>300</v>
      </c>
      <c r="L724" s="62">
        <v>300</v>
      </c>
      <c r="M724" s="62">
        <v>380</v>
      </c>
      <c r="N724" s="55" t="s">
        <v>1344</v>
      </c>
      <c r="O724" s="61" t="s">
        <v>52</v>
      </c>
      <c r="P724" s="66"/>
      <c r="Q724" s="66"/>
      <c r="R724" s="66"/>
      <c r="S724" s="66"/>
      <c r="T724" s="66"/>
      <c r="U724" s="66"/>
      <c r="V724" s="66"/>
    </row>
    <row r="725" spans="1:22" s="64" customFormat="1" x14ac:dyDescent="0.25">
      <c r="A725" s="61" t="s">
        <v>1433</v>
      </c>
      <c r="B725" s="511" t="s">
        <v>1478</v>
      </c>
      <c r="C725" s="511"/>
      <c r="D725" s="511"/>
      <c r="E725" s="61" t="s">
        <v>1437</v>
      </c>
      <c r="F725" s="61" t="s">
        <v>389</v>
      </c>
      <c r="G725" s="61" t="s">
        <v>55</v>
      </c>
      <c r="H725" s="61"/>
      <c r="I725" s="61" t="s">
        <v>1366</v>
      </c>
      <c r="J725" s="62">
        <v>270</v>
      </c>
      <c r="K725" s="62">
        <v>300</v>
      </c>
      <c r="L725" s="62">
        <v>300</v>
      </c>
      <c r="M725" s="62">
        <v>380</v>
      </c>
      <c r="N725" s="55" t="s">
        <v>1344</v>
      </c>
      <c r="O725" s="61" t="s">
        <v>52</v>
      </c>
      <c r="P725" s="66"/>
      <c r="Q725" s="66"/>
      <c r="R725" s="66"/>
      <c r="S725" s="66"/>
      <c r="T725" s="66"/>
      <c r="U725" s="66"/>
      <c r="V725" s="66"/>
    </row>
    <row r="726" spans="1:22" s="64" customFormat="1" x14ac:dyDescent="0.25">
      <c r="A726" s="61" t="s">
        <v>1433</v>
      </c>
      <c r="B726" s="511" t="s">
        <v>1479</v>
      </c>
      <c r="C726" s="511"/>
      <c r="D726" s="511"/>
      <c r="E726" s="61" t="s">
        <v>1437</v>
      </c>
      <c r="F726" s="61" t="s">
        <v>54</v>
      </c>
      <c r="G726" s="61" t="s">
        <v>55</v>
      </c>
      <c r="H726" s="61"/>
      <c r="I726" s="61" t="s">
        <v>1366</v>
      </c>
      <c r="J726" s="62">
        <v>270</v>
      </c>
      <c r="K726" s="62">
        <v>300</v>
      </c>
      <c r="L726" s="62">
        <v>300</v>
      </c>
      <c r="M726" s="62">
        <v>380</v>
      </c>
      <c r="N726" s="55" t="s">
        <v>1344</v>
      </c>
      <c r="O726" s="61" t="s">
        <v>52</v>
      </c>
      <c r="P726" s="66"/>
      <c r="Q726" s="66"/>
      <c r="R726" s="66"/>
      <c r="S726" s="66"/>
      <c r="T726" s="66"/>
      <c r="U726" s="66"/>
      <c r="V726" s="66"/>
    </row>
    <row r="727" spans="1:22" s="64" customFormat="1" x14ac:dyDescent="0.25">
      <c r="A727" s="61" t="s">
        <v>1433</v>
      </c>
      <c r="B727" s="511" t="s">
        <v>1479</v>
      </c>
      <c r="C727" s="511"/>
      <c r="D727" s="511"/>
      <c r="E727" s="61" t="s">
        <v>1440</v>
      </c>
      <c r="F727" s="61" t="s">
        <v>389</v>
      </c>
      <c r="G727" s="61" t="s">
        <v>55</v>
      </c>
      <c r="H727" s="61"/>
      <c r="I727" s="61" t="s">
        <v>1366</v>
      </c>
      <c r="J727" s="62">
        <v>270</v>
      </c>
      <c r="K727" s="62">
        <v>300</v>
      </c>
      <c r="L727" s="62">
        <v>300</v>
      </c>
      <c r="M727" s="62">
        <v>380</v>
      </c>
      <c r="N727" s="55" t="s">
        <v>1344</v>
      </c>
      <c r="O727" s="61" t="s">
        <v>52</v>
      </c>
      <c r="P727" s="66"/>
      <c r="Q727" s="66"/>
      <c r="R727" s="66"/>
      <c r="S727" s="66"/>
      <c r="T727" s="66"/>
      <c r="U727" s="66"/>
      <c r="V727" s="66"/>
    </row>
    <row r="728" spans="1:22" s="64" customFormat="1" x14ac:dyDescent="0.25">
      <c r="A728" s="61" t="s">
        <v>1433</v>
      </c>
      <c r="B728" s="511" t="s">
        <v>1479</v>
      </c>
      <c r="C728" s="511"/>
      <c r="D728" s="511"/>
      <c r="E728" s="61" t="s">
        <v>1439</v>
      </c>
      <c r="F728" s="61" t="s">
        <v>389</v>
      </c>
      <c r="G728" s="61" t="s">
        <v>55</v>
      </c>
      <c r="H728" s="61"/>
      <c r="I728" s="61" t="s">
        <v>1366</v>
      </c>
      <c r="J728" s="62">
        <v>270</v>
      </c>
      <c r="K728" s="62">
        <v>300</v>
      </c>
      <c r="L728" s="62">
        <v>300</v>
      </c>
      <c r="M728" s="62">
        <v>380</v>
      </c>
      <c r="N728" s="55" t="s">
        <v>1344</v>
      </c>
      <c r="O728" s="61" t="s">
        <v>52</v>
      </c>
      <c r="P728" s="66"/>
      <c r="Q728" s="66"/>
      <c r="R728" s="66"/>
      <c r="S728" s="66"/>
      <c r="T728" s="66"/>
      <c r="U728" s="66"/>
      <c r="V728" s="66"/>
    </row>
    <row r="729" spans="1:22" s="64" customFormat="1" x14ac:dyDescent="0.25">
      <c r="A729" s="61" t="s">
        <v>1433</v>
      </c>
      <c r="B729" s="511" t="s">
        <v>1479</v>
      </c>
      <c r="C729" s="511"/>
      <c r="D729" s="511"/>
      <c r="E729" s="61" t="s">
        <v>1437</v>
      </c>
      <c r="F729" s="61" t="s">
        <v>389</v>
      </c>
      <c r="G729" s="61" t="s">
        <v>55</v>
      </c>
      <c r="H729" s="61"/>
      <c r="I729" s="61" t="s">
        <v>1366</v>
      </c>
      <c r="J729" s="62">
        <v>270</v>
      </c>
      <c r="K729" s="62">
        <v>300</v>
      </c>
      <c r="L729" s="62">
        <v>300</v>
      </c>
      <c r="M729" s="62">
        <v>380</v>
      </c>
      <c r="N729" s="55" t="s">
        <v>1344</v>
      </c>
      <c r="O729" s="61" t="s">
        <v>52</v>
      </c>
      <c r="P729" s="66"/>
      <c r="Q729" s="66"/>
      <c r="R729" s="66"/>
      <c r="S729" s="66"/>
      <c r="T729" s="66"/>
      <c r="U729" s="66"/>
      <c r="V729" s="66"/>
    </row>
    <row r="730" spans="1:22" s="64" customFormat="1" x14ac:dyDescent="0.25">
      <c r="A730" s="61" t="s">
        <v>1433</v>
      </c>
      <c r="B730" s="511" t="s">
        <v>1480</v>
      </c>
      <c r="C730" s="511"/>
      <c r="D730" s="511"/>
      <c r="E730" s="61" t="s">
        <v>1437</v>
      </c>
      <c r="F730" s="61" t="s">
        <v>54</v>
      </c>
      <c r="G730" s="61" t="s">
        <v>55</v>
      </c>
      <c r="H730" s="61"/>
      <c r="I730" s="61" t="s">
        <v>1366</v>
      </c>
      <c r="J730" s="62">
        <v>90</v>
      </c>
      <c r="K730" s="62">
        <v>100</v>
      </c>
      <c r="L730" s="62">
        <v>100</v>
      </c>
      <c r="M730" s="62">
        <v>130</v>
      </c>
      <c r="N730" s="55" t="s">
        <v>1344</v>
      </c>
      <c r="O730" s="61" t="s">
        <v>52</v>
      </c>
      <c r="P730" s="66"/>
      <c r="Q730" s="66"/>
      <c r="R730" s="66"/>
      <c r="S730" s="66"/>
      <c r="T730" s="66"/>
      <c r="U730" s="66"/>
      <c r="V730" s="66"/>
    </row>
    <row r="731" spans="1:22" s="64" customFormat="1" x14ac:dyDescent="0.25">
      <c r="A731" s="61" t="s">
        <v>1433</v>
      </c>
      <c r="B731" s="511" t="s">
        <v>1481</v>
      </c>
      <c r="C731" s="511"/>
      <c r="D731" s="511"/>
      <c r="E731" s="61" t="s">
        <v>1435</v>
      </c>
      <c r="F731" s="61" t="s">
        <v>54</v>
      </c>
      <c r="G731" s="61" t="s">
        <v>55</v>
      </c>
      <c r="H731" s="61"/>
      <c r="I731" s="61" t="s">
        <v>1366</v>
      </c>
      <c r="J731" s="62">
        <v>380</v>
      </c>
      <c r="K731" s="62">
        <v>420</v>
      </c>
      <c r="L731" s="62">
        <v>420</v>
      </c>
      <c r="M731" s="62">
        <v>535</v>
      </c>
      <c r="N731" s="55" t="s">
        <v>1344</v>
      </c>
      <c r="O731" s="61" t="s">
        <v>52</v>
      </c>
      <c r="P731" s="66"/>
      <c r="Q731" s="66"/>
      <c r="R731" s="66"/>
      <c r="S731" s="66"/>
      <c r="T731" s="66"/>
      <c r="U731" s="66"/>
      <c r="V731" s="66"/>
    </row>
    <row r="732" spans="1:22" s="64" customFormat="1" x14ac:dyDescent="0.25">
      <c r="A732" s="61" t="s">
        <v>1433</v>
      </c>
      <c r="B732" s="511" t="s">
        <v>1481</v>
      </c>
      <c r="C732" s="511"/>
      <c r="D732" s="511"/>
      <c r="E732" s="61" t="s">
        <v>1435</v>
      </c>
      <c r="F732" s="61" t="s">
        <v>389</v>
      </c>
      <c r="G732" s="61" t="s">
        <v>55</v>
      </c>
      <c r="H732" s="61"/>
      <c r="I732" s="61" t="s">
        <v>1366</v>
      </c>
      <c r="J732" s="62">
        <v>380</v>
      </c>
      <c r="K732" s="62">
        <v>420</v>
      </c>
      <c r="L732" s="62">
        <v>420</v>
      </c>
      <c r="M732" s="62">
        <v>535</v>
      </c>
      <c r="N732" s="55" t="s">
        <v>1344</v>
      </c>
      <c r="O732" s="61" t="s">
        <v>52</v>
      </c>
      <c r="P732" s="66"/>
      <c r="Q732" s="66"/>
      <c r="R732" s="66"/>
      <c r="S732" s="66"/>
      <c r="T732" s="66"/>
      <c r="U732" s="66"/>
      <c r="V732" s="66"/>
    </row>
    <row r="733" spans="1:22" s="64" customFormat="1" x14ac:dyDescent="0.25">
      <c r="A733" s="61" t="s">
        <v>1433</v>
      </c>
      <c r="B733" s="511" t="s">
        <v>1481</v>
      </c>
      <c r="C733" s="511"/>
      <c r="D733" s="511"/>
      <c r="E733" s="61" t="s">
        <v>1447</v>
      </c>
      <c r="F733" s="61" t="s">
        <v>56</v>
      </c>
      <c r="G733" s="61" t="s">
        <v>55</v>
      </c>
      <c r="H733" s="61"/>
      <c r="I733" s="61" t="s">
        <v>1366</v>
      </c>
      <c r="J733" s="62">
        <v>620</v>
      </c>
      <c r="K733" s="62">
        <v>815</v>
      </c>
      <c r="L733" s="62">
        <v>815</v>
      </c>
      <c r="M733" s="62"/>
      <c r="N733" s="55" t="s">
        <v>1344</v>
      </c>
      <c r="O733" s="61" t="s">
        <v>52</v>
      </c>
      <c r="P733" s="66"/>
      <c r="Q733" s="66"/>
      <c r="R733" s="66"/>
      <c r="S733" s="66"/>
      <c r="T733" s="66"/>
      <c r="U733" s="66"/>
      <c r="V733" s="66"/>
    </row>
    <row r="734" spans="1:22" s="64" customFormat="1" x14ac:dyDescent="0.25">
      <c r="A734" s="61" t="s">
        <v>1433</v>
      </c>
      <c r="B734" s="511" t="s">
        <v>1481</v>
      </c>
      <c r="C734" s="511"/>
      <c r="D734" s="511"/>
      <c r="E734" s="61" t="s">
        <v>1455</v>
      </c>
      <c r="F734" s="61" t="s">
        <v>56</v>
      </c>
      <c r="G734" s="61" t="s">
        <v>55</v>
      </c>
      <c r="H734" s="61"/>
      <c r="I734" s="61" t="s">
        <v>1366</v>
      </c>
      <c r="J734" s="62">
        <v>495</v>
      </c>
      <c r="K734" s="62">
        <v>720</v>
      </c>
      <c r="L734" s="62">
        <v>720</v>
      </c>
      <c r="M734" s="62"/>
      <c r="N734" s="55" t="s">
        <v>1344</v>
      </c>
      <c r="O734" s="61" t="s">
        <v>52</v>
      </c>
      <c r="P734" s="66"/>
      <c r="Q734" s="66"/>
      <c r="R734" s="66"/>
      <c r="S734" s="66"/>
      <c r="T734" s="66"/>
      <c r="U734" s="66"/>
      <c r="V734" s="66"/>
    </row>
    <row r="735" spans="1:22" s="64" customFormat="1" x14ac:dyDescent="0.25">
      <c r="A735" s="61" t="s">
        <v>1433</v>
      </c>
      <c r="B735" s="511" t="s">
        <v>1481</v>
      </c>
      <c r="C735" s="511"/>
      <c r="D735" s="511"/>
      <c r="E735" s="61" t="s">
        <v>1437</v>
      </c>
      <c r="F735" s="61" t="s">
        <v>56</v>
      </c>
      <c r="G735" s="61" t="s">
        <v>55</v>
      </c>
      <c r="H735" s="61"/>
      <c r="I735" s="61" t="s">
        <v>1366</v>
      </c>
      <c r="J735" s="62">
        <v>705</v>
      </c>
      <c r="K735" s="62">
        <v>815</v>
      </c>
      <c r="L735" s="62">
        <v>815</v>
      </c>
      <c r="M735" s="62"/>
      <c r="N735" s="55" t="s">
        <v>1344</v>
      </c>
      <c r="O735" s="61" t="s">
        <v>52</v>
      </c>
      <c r="P735" s="66"/>
      <c r="Q735" s="66"/>
      <c r="R735" s="66"/>
      <c r="S735" s="66"/>
      <c r="T735" s="66"/>
      <c r="U735" s="66"/>
      <c r="V735" s="66"/>
    </row>
    <row r="736" spans="1:22" s="64" customFormat="1" x14ac:dyDescent="0.25">
      <c r="A736" s="61" t="s">
        <v>1433</v>
      </c>
      <c r="B736" s="511" t="s">
        <v>1482</v>
      </c>
      <c r="C736" s="511"/>
      <c r="D736" s="511"/>
      <c r="E736" s="61" t="s">
        <v>1435</v>
      </c>
      <c r="F736" s="61" t="s">
        <v>54</v>
      </c>
      <c r="G736" s="61" t="s">
        <v>55</v>
      </c>
      <c r="H736" s="61"/>
      <c r="I736" s="61" t="s">
        <v>1366</v>
      </c>
      <c r="J736" s="62">
        <v>90</v>
      </c>
      <c r="K736" s="62">
        <v>100</v>
      </c>
      <c r="L736" s="62">
        <v>100</v>
      </c>
      <c r="M736" s="62">
        <v>130</v>
      </c>
      <c r="N736" s="55" t="s">
        <v>1344</v>
      </c>
      <c r="O736" s="61" t="s">
        <v>52</v>
      </c>
      <c r="P736" s="66"/>
      <c r="Q736" s="66"/>
      <c r="R736" s="66"/>
      <c r="S736" s="66"/>
      <c r="T736" s="66"/>
      <c r="U736" s="66"/>
      <c r="V736" s="66"/>
    </row>
    <row r="737" spans="1:22" s="64" customFormat="1" x14ac:dyDescent="0.25">
      <c r="A737" s="61" t="s">
        <v>1433</v>
      </c>
      <c r="B737" s="511" t="s">
        <v>1482</v>
      </c>
      <c r="C737" s="511"/>
      <c r="D737" s="511"/>
      <c r="E737" s="61" t="s">
        <v>1435</v>
      </c>
      <c r="F737" s="61" t="s">
        <v>389</v>
      </c>
      <c r="G737" s="61" t="s">
        <v>55</v>
      </c>
      <c r="H737" s="61"/>
      <c r="I737" s="61" t="s">
        <v>1366</v>
      </c>
      <c r="J737" s="62">
        <v>90</v>
      </c>
      <c r="K737" s="62">
        <v>100</v>
      </c>
      <c r="L737" s="62">
        <v>100</v>
      </c>
      <c r="M737" s="62">
        <v>130</v>
      </c>
      <c r="N737" s="55" t="s">
        <v>1344</v>
      </c>
      <c r="O737" s="61" t="s">
        <v>52</v>
      </c>
      <c r="P737" s="66"/>
      <c r="Q737" s="66"/>
      <c r="R737" s="66"/>
      <c r="S737" s="66"/>
      <c r="T737" s="66"/>
      <c r="U737" s="66"/>
      <c r="V737" s="66"/>
    </row>
    <row r="738" spans="1:22" s="64" customFormat="1" x14ac:dyDescent="0.25">
      <c r="A738" s="61" t="s">
        <v>1433</v>
      </c>
      <c r="B738" s="511" t="s">
        <v>1482</v>
      </c>
      <c r="C738" s="511"/>
      <c r="D738" s="511"/>
      <c r="E738" s="61" t="s">
        <v>1435</v>
      </c>
      <c r="F738" s="61" t="s">
        <v>56</v>
      </c>
      <c r="G738" s="61" t="s">
        <v>55</v>
      </c>
      <c r="H738" s="61"/>
      <c r="I738" s="61" t="s">
        <v>1366</v>
      </c>
      <c r="J738" s="62">
        <v>745</v>
      </c>
      <c r="K738" s="62">
        <v>970</v>
      </c>
      <c r="L738" s="62">
        <v>970</v>
      </c>
      <c r="M738" s="62">
        <v>510</v>
      </c>
      <c r="N738" s="55" t="s">
        <v>1344</v>
      </c>
      <c r="O738" s="61" t="s">
        <v>52</v>
      </c>
      <c r="P738" s="66"/>
      <c r="Q738" s="66"/>
      <c r="R738" s="66"/>
      <c r="S738" s="66"/>
      <c r="T738" s="66"/>
      <c r="U738" s="66"/>
      <c r="V738" s="66"/>
    </row>
    <row r="739" spans="1:22" s="64" customFormat="1" x14ac:dyDescent="0.25">
      <c r="A739" s="61" t="s">
        <v>1433</v>
      </c>
      <c r="B739" s="511" t="s">
        <v>1440</v>
      </c>
      <c r="C739" s="511"/>
      <c r="D739" s="511"/>
      <c r="E739" s="61" t="s">
        <v>1438</v>
      </c>
      <c r="F739" s="61" t="s">
        <v>389</v>
      </c>
      <c r="G739" s="61" t="s">
        <v>55</v>
      </c>
      <c r="H739" s="61"/>
      <c r="I739" s="61" t="s">
        <v>1366</v>
      </c>
      <c r="J739" s="62">
        <v>135</v>
      </c>
      <c r="K739" s="62">
        <v>150</v>
      </c>
      <c r="L739" s="62">
        <v>150</v>
      </c>
      <c r="M739" s="62">
        <v>190</v>
      </c>
      <c r="N739" s="55" t="s">
        <v>1344</v>
      </c>
      <c r="O739" s="61" t="s">
        <v>52</v>
      </c>
      <c r="P739" s="66"/>
      <c r="Q739" s="66"/>
      <c r="R739" s="66"/>
      <c r="S739" s="66"/>
      <c r="T739" s="66"/>
      <c r="U739" s="66"/>
      <c r="V739" s="66"/>
    </row>
    <row r="740" spans="1:22" s="64" customFormat="1" x14ac:dyDescent="0.25">
      <c r="A740" s="61" t="s">
        <v>1433</v>
      </c>
      <c r="B740" s="511" t="s">
        <v>1440</v>
      </c>
      <c r="C740" s="511"/>
      <c r="D740" s="511"/>
      <c r="E740" s="61" t="s">
        <v>1440</v>
      </c>
      <c r="F740" s="61" t="s">
        <v>389</v>
      </c>
      <c r="G740" s="61" t="s">
        <v>55</v>
      </c>
      <c r="H740" s="61"/>
      <c r="I740" s="61" t="s">
        <v>1366</v>
      </c>
      <c r="J740" s="62">
        <v>135</v>
      </c>
      <c r="K740" s="62">
        <v>150</v>
      </c>
      <c r="L740" s="62">
        <v>150</v>
      </c>
      <c r="M740" s="62">
        <v>190</v>
      </c>
      <c r="N740" s="55" t="s">
        <v>1344</v>
      </c>
      <c r="O740" s="61" t="s">
        <v>52</v>
      </c>
      <c r="P740" s="66"/>
      <c r="Q740" s="66"/>
      <c r="R740" s="66"/>
      <c r="S740" s="66"/>
      <c r="T740" s="66"/>
      <c r="U740" s="66"/>
      <c r="V740" s="66"/>
    </row>
    <row r="741" spans="1:22" s="64" customFormat="1" x14ac:dyDescent="0.25">
      <c r="A741" s="61" t="s">
        <v>1433</v>
      </c>
      <c r="B741" s="511" t="s">
        <v>1440</v>
      </c>
      <c r="C741" s="511"/>
      <c r="D741" s="511"/>
      <c r="E741" s="61" t="s">
        <v>1439</v>
      </c>
      <c r="F741" s="61" t="s">
        <v>389</v>
      </c>
      <c r="G741" s="61" t="s">
        <v>55</v>
      </c>
      <c r="H741" s="61"/>
      <c r="I741" s="61" t="s">
        <v>1366</v>
      </c>
      <c r="J741" s="62">
        <v>135</v>
      </c>
      <c r="K741" s="62">
        <v>150</v>
      </c>
      <c r="L741" s="62">
        <v>150</v>
      </c>
      <c r="M741" s="62">
        <v>190</v>
      </c>
      <c r="N741" s="55" t="s">
        <v>1344</v>
      </c>
      <c r="O741" s="61" t="s">
        <v>52</v>
      </c>
      <c r="P741" s="66"/>
      <c r="Q741" s="66"/>
      <c r="R741" s="66"/>
      <c r="S741" s="66"/>
      <c r="T741" s="66"/>
      <c r="U741" s="66"/>
      <c r="V741" s="66"/>
    </row>
    <row r="742" spans="1:22" s="64" customFormat="1" x14ac:dyDescent="0.25">
      <c r="A742" s="61" t="s">
        <v>1433</v>
      </c>
      <c r="B742" s="511" t="s">
        <v>1440</v>
      </c>
      <c r="C742" s="511"/>
      <c r="D742" s="511"/>
      <c r="E742" s="61" t="s">
        <v>1437</v>
      </c>
      <c r="F742" s="61" t="s">
        <v>389</v>
      </c>
      <c r="G742" s="61" t="s">
        <v>55</v>
      </c>
      <c r="H742" s="61"/>
      <c r="I742" s="61" t="s">
        <v>1366</v>
      </c>
      <c r="J742" s="62">
        <v>135</v>
      </c>
      <c r="K742" s="62">
        <v>150</v>
      </c>
      <c r="L742" s="62">
        <v>150</v>
      </c>
      <c r="M742" s="62">
        <v>190</v>
      </c>
      <c r="N742" s="55" t="s">
        <v>1344</v>
      </c>
      <c r="O742" s="61" t="s">
        <v>52</v>
      </c>
      <c r="P742" s="66"/>
      <c r="Q742" s="66"/>
      <c r="R742" s="66"/>
      <c r="S742" s="66"/>
      <c r="T742" s="66"/>
      <c r="U742" s="66"/>
      <c r="V742" s="66"/>
    </row>
    <row r="743" spans="1:22" s="64" customFormat="1" x14ac:dyDescent="0.25">
      <c r="A743" s="61" t="s">
        <v>1433</v>
      </c>
      <c r="B743" s="511" t="s">
        <v>1483</v>
      </c>
      <c r="C743" s="511"/>
      <c r="D743" s="511"/>
      <c r="E743" s="61" t="s">
        <v>1435</v>
      </c>
      <c r="F743" s="61" t="s">
        <v>56</v>
      </c>
      <c r="G743" s="61" t="s">
        <v>55</v>
      </c>
      <c r="H743" s="61"/>
      <c r="I743" s="61" t="s">
        <v>1366</v>
      </c>
      <c r="J743" s="62">
        <v>235</v>
      </c>
      <c r="K743" s="62">
        <v>265</v>
      </c>
      <c r="L743" s="62">
        <v>265</v>
      </c>
      <c r="M743" s="62"/>
      <c r="N743" s="55" t="s">
        <v>1344</v>
      </c>
      <c r="O743" s="61" t="s">
        <v>52</v>
      </c>
      <c r="P743" s="66"/>
      <c r="Q743" s="66"/>
      <c r="R743" s="66"/>
      <c r="S743" s="66"/>
      <c r="T743" s="66"/>
      <c r="U743" s="66"/>
      <c r="V743" s="66"/>
    </row>
    <row r="744" spans="1:22" s="64" customFormat="1" x14ac:dyDescent="0.25">
      <c r="A744" s="61" t="s">
        <v>1433</v>
      </c>
      <c r="B744" s="511" t="s">
        <v>1484</v>
      </c>
      <c r="C744" s="511"/>
      <c r="D744" s="511"/>
      <c r="E744" s="61" t="s">
        <v>1435</v>
      </c>
      <c r="F744" s="61" t="s">
        <v>54</v>
      </c>
      <c r="G744" s="61" t="s">
        <v>55</v>
      </c>
      <c r="H744" s="61"/>
      <c r="I744" s="61" t="s">
        <v>1366</v>
      </c>
      <c r="J744" s="62">
        <v>180</v>
      </c>
      <c r="K744" s="62">
        <v>200</v>
      </c>
      <c r="L744" s="62">
        <v>200</v>
      </c>
      <c r="M744" s="62">
        <v>250</v>
      </c>
      <c r="N744" s="55" t="s">
        <v>1344</v>
      </c>
      <c r="O744" s="61" t="s">
        <v>52</v>
      </c>
      <c r="P744" s="66"/>
      <c r="Q744" s="66"/>
      <c r="R744" s="66"/>
      <c r="S744" s="66"/>
      <c r="T744" s="66"/>
      <c r="U744" s="66"/>
      <c r="V744" s="66"/>
    </row>
    <row r="745" spans="1:22" s="64" customFormat="1" x14ac:dyDescent="0.25">
      <c r="A745" s="61" t="s">
        <v>1433</v>
      </c>
      <c r="B745" s="511" t="s">
        <v>1484</v>
      </c>
      <c r="C745" s="511"/>
      <c r="D745" s="511"/>
      <c r="E745" s="61" t="s">
        <v>1435</v>
      </c>
      <c r="F745" s="61" t="s">
        <v>389</v>
      </c>
      <c r="G745" s="61" t="s">
        <v>55</v>
      </c>
      <c r="H745" s="61"/>
      <c r="I745" s="61" t="s">
        <v>1366</v>
      </c>
      <c r="J745" s="62">
        <v>180</v>
      </c>
      <c r="K745" s="62">
        <v>200</v>
      </c>
      <c r="L745" s="62">
        <v>200</v>
      </c>
      <c r="M745" s="62">
        <v>250</v>
      </c>
      <c r="N745" s="55" t="s">
        <v>1344</v>
      </c>
      <c r="O745" s="61" t="s">
        <v>52</v>
      </c>
      <c r="P745" s="66"/>
      <c r="Q745" s="66"/>
      <c r="R745" s="66"/>
      <c r="S745" s="66"/>
      <c r="T745" s="66"/>
      <c r="U745" s="66"/>
      <c r="V745" s="66"/>
    </row>
    <row r="746" spans="1:22" s="64" customFormat="1" x14ac:dyDescent="0.25">
      <c r="A746" s="61" t="s">
        <v>1433</v>
      </c>
      <c r="B746" s="511" t="s">
        <v>1485</v>
      </c>
      <c r="C746" s="511"/>
      <c r="D746" s="511"/>
      <c r="E746" s="61" t="s">
        <v>1437</v>
      </c>
      <c r="F746" s="61" t="s">
        <v>54</v>
      </c>
      <c r="G746" s="61" t="s">
        <v>55</v>
      </c>
      <c r="H746" s="61"/>
      <c r="I746" s="61" t="s">
        <v>1366</v>
      </c>
      <c r="J746" s="62">
        <v>315</v>
      </c>
      <c r="K746" s="62">
        <v>350</v>
      </c>
      <c r="L746" s="62">
        <v>350</v>
      </c>
      <c r="M746" s="62">
        <v>445</v>
      </c>
      <c r="N746" s="55" t="s">
        <v>1344</v>
      </c>
      <c r="O746" s="61" t="s">
        <v>52</v>
      </c>
      <c r="P746" s="66"/>
      <c r="Q746" s="66"/>
      <c r="R746" s="66"/>
      <c r="S746" s="66"/>
      <c r="T746" s="66"/>
      <c r="U746" s="66"/>
      <c r="V746" s="66"/>
    </row>
    <row r="747" spans="1:22" s="64" customFormat="1" x14ac:dyDescent="0.25">
      <c r="A747" s="61" t="s">
        <v>1433</v>
      </c>
      <c r="B747" s="511" t="s">
        <v>1485</v>
      </c>
      <c r="C747" s="511"/>
      <c r="D747" s="511"/>
      <c r="E747" s="61" t="s">
        <v>1440</v>
      </c>
      <c r="F747" s="61" t="s">
        <v>389</v>
      </c>
      <c r="G747" s="61" t="s">
        <v>55</v>
      </c>
      <c r="H747" s="61"/>
      <c r="I747" s="61" t="s">
        <v>1366</v>
      </c>
      <c r="J747" s="62">
        <v>315</v>
      </c>
      <c r="K747" s="62">
        <v>350</v>
      </c>
      <c r="L747" s="62">
        <v>350</v>
      </c>
      <c r="M747" s="62">
        <v>445</v>
      </c>
      <c r="N747" s="55" t="s">
        <v>1344</v>
      </c>
      <c r="O747" s="61" t="s">
        <v>52</v>
      </c>
      <c r="P747" s="66"/>
      <c r="Q747" s="66"/>
      <c r="R747" s="66"/>
      <c r="S747" s="66"/>
      <c r="T747" s="66"/>
      <c r="U747" s="66"/>
      <c r="V747" s="66"/>
    </row>
    <row r="748" spans="1:22" s="64" customFormat="1" x14ac:dyDescent="0.25">
      <c r="A748" s="61" t="s">
        <v>1433</v>
      </c>
      <c r="B748" s="511" t="s">
        <v>1485</v>
      </c>
      <c r="C748" s="511"/>
      <c r="D748" s="511"/>
      <c r="E748" s="61" t="s">
        <v>1439</v>
      </c>
      <c r="F748" s="61" t="s">
        <v>389</v>
      </c>
      <c r="G748" s="61" t="s">
        <v>55</v>
      </c>
      <c r="H748" s="61"/>
      <c r="I748" s="61" t="s">
        <v>1366</v>
      </c>
      <c r="J748" s="62">
        <v>315</v>
      </c>
      <c r="K748" s="62">
        <v>350</v>
      </c>
      <c r="L748" s="62">
        <v>350</v>
      </c>
      <c r="M748" s="62">
        <v>445</v>
      </c>
      <c r="N748" s="55" t="s">
        <v>1344</v>
      </c>
      <c r="O748" s="61" t="s">
        <v>52</v>
      </c>
      <c r="P748" s="66"/>
      <c r="Q748" s="66"/>
      <c r="R748" s="66"/>
      <c r="S748" s="66"/>
      <c r="T748" s="66"/>
      <c r="U748" s="66"/>
      <c r="V748" s="66"/>
    </row>
    <row r="749" spans="1:22" s="64" customFormat="1" x14ac:dyDescent="0.25">
      <c r="A749" s="61" t="s">
        <v>1433</v>
      </c>
      <c r="B749" s="511" t="s">
        <v>1485</v>
      </c>
      <c r="C749" s="511"/>
      <c r="D749" s="511"/>
      <c r="E749" s="61" t="s">
        <v>1437</v>
      </c>
      <c r="F749" s="61" t="s">
        <v>389</v>
      </c>
      <c r="G749" s="61" t="s">
        <v>55</v>
      </c>
      <c r="H749" s="61"/>
      <c r="I749" s="61" t="s">
        <v>1366</v>
      </c>
      <c r="J749" s="62">
        <v>315</v>
      </c>
      <c r="K749" s="62">
        <v>350</v>
      </c>
      <c r="L749" s="62">
        <v>350</v>
      </c>
      <c r="M749" s="62">
        <v>445</v>
      </c>
      <c r="N749" s="55" t="s">
        <v>1344</v>
      </c>
      <c r="O749" s="61" t="s">
        <v>52</v>
      </c>
      <c r="P749" s="66"/>
      <c r="Q749" s="66"/>
      <c r="R749" s="66"/>
      <c r="S749" s="66"/>
      <c r="T749" s="66"/>
      <c r="U749" s="66"/>
      <c r="V749" s="66"/>
    </row>
    <row r="750" spans="1:22" s="64" customFormat="1" x14ac:dyDescent="0.25">
      <c r="A750" s="61" t="s">
        <v>1433</v>
      </c>
      <c r="B750" s="511" t="s">
        <v>1587</v>
      </c>
      <c r="C750" s="511"/>
      <c r="D750" s="511"/>
      <c r="E750" s="61" t="s">
        <v>1437</v>
      </c>
      <c r="F750" s="61" t="s">
        <v>54</v>
      </c>
      <c r="G750" s="61" t="s">
        <v>55</v>
      </c>
      <c r="H750" s="61"/>
      <c r="I750" s="61" t="s">
        <v>1366</v>
      </c>
      <c r="J750" s="62">
        <v>270</v>
      </c>
      <c r="K750" s="62">
        <v>300</v>
      </c>
      <c r="L750" s="62">
        <v>300</v>
      </c>
      <c r="M750" s="62">
        <v>380</v>
      </c>
      <c r="N750" s="55" t="s">
        <v>1344</v>
      </c>
      <c r="O750" s="61" t="s">
        <v>52</v>
      </c>
      <c r="P750" s="66"/>
      <c r="Q750" s="66"/>
      <c r="R750" s="66"/>
      <c r="S750" s="66"/>
      <c r="T750" s="66"/>
      <c r="U750" s="66"/>
      <c r="V750" s="66"/>
    </row>
    <row r="751" spans="1:22" s="64" customFormat="1" x14ac:dyDescent="0.25">
      <c r="A751" s="61" t="s">
        <v>1433</v>
      </c>
      <c r="B751" s="511" t="s">
        <v>1587</v>
      </c>
      <c r="C751" s="511"/>
      <c r="D751" s="511"/>
      <c r="E751" s="61" t="s">
        <v>1440</v>
      </c>
      <c r="F751" s="61" t="s">
        <v>389</v>
      </c>
      <c r="G751" s="61" t="s">
        <v>55</v>
      </c>
      <c r="H751" s="61"/>
      <c r="I751" s="61" t="s">
        <v>1366</v>
      </c>
      <c r="J751" s="62">
        <v>270</v>
      </c>
      <c r="K751" s="62">
        <v>300</v>
      </c>
      <c r="L751" s="62">
        <v>300</v>
      </c>
      <c r="M751" s="62">
        <v>380</v>
      </c>
      <c r="N751" s="55" t="s">
        <v>1344</v>
      </c>
      <c r="O751" s="61" t="s">
        <v>52</v>
      </c>
      <c r="P751" s="66"/>
      <c r="Q751" s="66"/>
      <c r="R751" s="66"/>
      <c r="S751" s="66"/>
      <c r="T751" s="66"/>
      <c r="U751" s="66"/>
      <c r="V751" s="66"/>
    </row>
    <row r="752" spans="1:22" s="64" customFormat="1" x14ac:dyDescent="0.25">
      <c r="A752" s="61" t="s">
        <v>1433</v>
      </c>
      <c r="B752" s="511" t="s">
        <v>1587</v>
      </c>
      <c r="C752" s="511"/>
      <c r="D752" s="511"/>
      <c r="E752" s="61" t="s">
        <v>1437</v>
      </c>
      <c r="F752" s="61" t="s">
        <v>389</v>
      </c>
      <c r="G752" s="61" t="s">
        <v>55</v>
      </c>
      <c r="H752" s="61"/>
      <c r="I752" s="61" t="s">
        <v>1366</v>
      </c>
      <c r="J752" s="62">
        <v>270</v>
      </c>
      <c r="K752" s="62">
        <v>300</v>
      </c>
      <c r="L752" s="62">
        <v>300</v>
      </c>
      <c r="M752" s="62">
        <v>380</v>
      </c>
      <c r="N752" s="55" t="s">
        <v>1344</v>
      </c>
      <c r="O752" s="61" t="s">
        <v>52</v>
      </c>
      <c r="P752" s="66"/>
      <c r="Q752" s="66"/>
      <c r="R752" s="66"/>
      <c r="S752" s="66"/>
      <c r="T752" s="66"/>
      <c r="U752" s="66"/>
      <c r="V752" s="66"/>
    </row>
    <row r="753" spans="1:22" s="64" customFormat="1" x14ac:dyDescent="0.25">
      <c r="A753" s="61" t="s">
        <v>1433</v>
      </c>
      <c r="B753" s="511" t="s">
        <v>1486</v>
      </c>
      <c r="C753" s="511"/>
      <c r="D753" s="511"/>
      <c r="E753" s="61" t="s">
        <v>1437</v>
      </c>
      <c r="F753" s="61" t="s">
        <v>54</v>
      </c>
      <c r="G753" s="61" t="s">
        <v>55</v>
      </c>
      <c r="H753" s="61"/>
      <c r="I753" s="61" t="s">
        <v>1366</v>
      </c>
      <c r="J753" s="62">
        <v>270</v>
      </c>
      <c r="K753" s="62">
        <v>300</v>
      </c>
      <c r="L753" s="62">
        <v>300</v>
      </c>
      <c r="M753" s="62">
        <v>380</v>
      </c>
      <c r="N753" s="55" t="s">
        <v>1344</v>
      </c>
      <c r="O753" s="61" t="s">
        <v>52</v>
      </c>
      <c r="P753" s="66"/>
      <c r="Q753" s="66"/>
      <c r="R753" s="66"/>
      <c r="S753" s="66"/>
      <c r="T753" s="66"/>
      <c r="U753" s="66"/>
      <c r="V753" s="66"/>
    </row>
    <row r="754" spans="1:22" s="64" customFormat="1" x14ac:dyDescent="0.25">
      <c r="A754" s="61" t="s">
        <v>1433</v>
      </c>
      <c r="B754" s="511" t="s">
        <v>1486</v>
      </c>
      <c r="C754" s="511"/>
      <c r="D754" s="511"/>
      <c r="E754" s="61" t="s">
        <v>1440</v>
      </c>
      <c r="F754" s="61" t="s">
        <v>389</v>
      </c>
      <c r="G754" s="61" t="s">
        <v>55</v>
      </c>
      <c r="H754" s="61"/>
      <c r="I754" s="61" t="s">
        <v>1366</v>
      </c>
      <c r="J754" s="62">
        <v>270</v>
      </c>
      <c r="K754" s="62">
        <v>300</v>
      </c>
      <c r="L754" s="62">
        <v>300</v>
      </c>
      <c r="M754" s="62">
        <v>380</v>
      </c>
      <c r="N754" s="55" t="s">
        <v>1344</v>
      </c>
      <c r="O754" s="61" t="s">
        <v>52</v>
      </c>
      <c r="P754" s="66"/>
      <c r="Q754" s="66"/>
      <c r="R754" s="66"/>
      <c r="S754" s="66"/>
      <c r="T754" s="66"/>
      <c r="U754" s="66"/>
      <c r="V754" s="66"/>
    </row>
    <row r="755" spans="1:22" s="64" customFormat="1" x14ac:dyDescent="0.25">
      <c r="A755" s="61" t="s">
        <v>1433</v>
      </c>
      <c r="B755" s="511" t="s">
        <v>1486</v>
      </c>
      <c r="C755" s="511"/>
      <c r="D755" s="511"/>
      <c r="E755" s="61" t="s">
        <v>1439</v>
      </c>
      <c r="F755" s="61" t="s">
        <v>389</v>
      </c>
      <c r="G755" s="61" t="s">
        <v>55</v>
      </c>
      <c r="H755" s="61"/>
      <c r="I755" s="61" t="s">
        <v>1366</v>
      </c>
      <c r="J755" s="62">
        <v>270</v>
      </c>
      <c r="K755" s="62">
        <v>300</v>
      </c>
      <c r="L755" s="62">
        <v>300</v>
      </c>
      <c r="M755" s="62">
        <v>380</v>
      </c>
      <c r="N755" s="55" t="s">
        <v>1344</v>
      </c>
      <c r="O755" s="61" t="s">
        <v>52</v>
      </c>
      <c r="P755" s="66"/>
      <c r="Q755" s="66"/>
      <c r="R755" s="66"/>
      <c r="S755" s="66"/>
      <c r="T755" s="66"/>
      <c r="U755" s="66"/>
      <c r="V755" s="66"/>
    </row>
    <row r="756" spans="1:22" s="64" customFormat="1" x14ac:dyDescent="0.25">
      <c r="A756" s="61" t="s">
        <v>1433</v>
      </c>
      <c r="B756" s="511" t="s">
        <v>1486</v>
      </c>
      <c r="C756" s="511"/>
      <c r="D756" s="511"/>
      <c r="E756" s="61" t="s">
        <v>1437</v>
      </c>
      <c r="F756" s="61" t="s">
        <v>389</v>
      </c>
      <c r="G756" s="61" t="s">
        <v>55</v>
      </c>
      <c r="H756" s="61"/>
      <c r="I756" s="61" t="s">
        <v>1366</v>
      </c>
      <c r="J756" s="62">
        <v>270</v>
      </c>
      <c r="K756" s="62">
        <v>300</v>
      </c>
      <c r="L756" s="62">
        <v>300</v>
      </c>
      <c r="M756" s="62">
        <v>380</v>
      </c>
      <c r="N756" s="55" t="s">
        <v>1344</v>
      </c>
      <c r="O756" s="61" t="s">
        <v>52</v>
      </c>
      <c r="P756" s="66"/>
      <c r="Q756" s="66"/>
      <c r="R756" s="66"/>
      <c r="S756" s="66"/>
      <c r="T756" s="66"/>
      <c r="U756" s="66"/>
      <c r="V756" s="66"/>
    </row>
    <row r="757" spans="1:22" s="64" customFormat="1" x14ac:dyDescent="0.25">
      <c r="A757" s="61" t="s">
        <v>1433</v>
      </c>
      <c r="B757" s="511" t="s">
        <v>1487</v>
      </c>
      <c r="C757" s="511"/>
      <c r="D757" s="511"/>
      <c r="E757" s="61" t="s">
        <v>1437</v>
      </c>
      <c r="F757" s="61" t="s">
        <v>54</v>
      </c>
      <c r="G757" s="61" t="s">
        <v>55</v>
      </c>
      <c r="H757" s="61"/>
      <c r="I757" s="61" t="s">
        <v>1366</v>
      </c>
      <c r="J757" s="62">
        <v>180</v>
      </c>
      <c r="K757" s="62">
        <v>200</v>
      </c>
      <c r="L757" s="62">
        <v>200</v>
      </c>
      <c r="M757" s="62">
        <v>250</v>
      </c>
      <c r="N757" s="55" t="s">
        <v>1344</v>
      </c>
      <c r="O757" s="61" t="s">
        <v>52</v>
      </c>
      <c r="P757" s="66"/>
      <c r="Q757" s="66"/>
      <c r="R757" s="66"/>
      <c r="S757" s="66"/>
      <c r="T757" s="66"/>
      <c r="U757" s="66"/>
      <c r="V757" s="66"/>
    </row>
    <row r="758" spans="1:22" s="64" customFormat="1" x14ac:dyDescent="0.25">
      <c r="A758" s="61" t="s">
        <v>1433</v>
      </c>
      <c r="B758" s="511" t="s">
        <v>1487</v>
      </c>
      <c r="C758" s="511"/>
      <c r="D758" s="511"/>
      <c r="E758" s="61" t="s">
        <v>1440</v>
      </c>
      <c r="F758" s="61" t="s">
        <v>389</v>
      </c>
      <c r="G758" s="61" t="s">
        <v>55</v>
      </c>
      <c r="H758" s="61"/>
      <c r="I758" s="61" t="s">
        <v>1366</v>
      </c>
      <c r="J758" s="62">
        <v>180</v>
      </c>
      <c r="K758" s="62">
        <v>200</v>
      </c>
      <c r="L758" s="62">
        <v>200</v>
      </c>
      <c r="M758" s="62">
        <v>250</v>
      </c>
      <c r="N758" s="55" t="s">
        <v>1344</v>
      </c>
      <c r="O758" s="61" t="s">
        <v>52</v>
      </c>
      <c r="P758" s="66"/>
      <c r="Q758" s="66"/>
      <c r="R758" s="66"/>
      <c r="S758" s="66"/>
      <c r="T758" s="66"/>
      <c r="U758" s="66"/>
      <c r="V758" s="66"/>
    </row>
    <row r="759" spans="1:22" s="64" customFormat="1" x14ac:dyDescent="0.25">
      <c r="A759" s="61" t="s">
        <v>1433</v>
      </c>
      <c r="B759" s="511" t="s">
        <v>1487</v>
      </c>
      <c r="C759" s="511"/>
      <c r="D759" s="511"/>
      <c r="E759" s="61" t="s">
        <v>1439</v>
      </c>
      <c r="F759" s="61" t="s">
        <v>389</v>
      </c>
      <c r="G759" s="61" t="s">
        <v>55</v>
      </c>
      <c r="H759" s="61"/>
      <c r="I759" s="61" t="s">
        <v>1366</v>
      </c>
      <c r="J759" s="62">
        <v>180</v>
      </c>
      <c r="K759" s="62">
        <v>200</v>
      </c>
      <c r="L759" s="62">
        <v>200</v>
      </c>
      <c r="M759" s="62">
        <v>250</v>
      </c>
      <c r="N759" s="55" t="s">
        <v>1344</v>
      </c>
      <c r="O759" s="61" t="s">
        <v>52</v>
      </c>
      <c r="P759" s="66"/>
      <c r="Q759" s="66"/>
      <c r="R759" s="66"/>
      <c r="S759" s="66"/>
      <c r="T759" s="66"/>
      <c r="U759" s="66"/>
      <c r="V759" s="66"/>
    </row>
    <row r="760" spans="1:22" s="64" customFormat="1" x14ac:dyDescent="0.25">
      <c r="A760" s="61" t="s">
        <v>1433</v>
      </c>
      <c r="B760" s="511" t="s">
        <v>1487</v>
      </c>
      <c r="C760" s="511"/>
      <c r="D760" s="511"/>
      <c r="E760" s="61" t="s">
        <v>1437</v>
      </c>
      <c r="F760" s="61" t="s">
        <v>389</v>
      </c>
      <c r="G760" s="61" t="s">
        <v>55</v>
      </c>
      <c r="H760" s="61"/>
      <c r="I760" s="61" t="s">
        <v>1366</v>
      </c>
      <c r="J760" s="62">
        <v>180</v>
      </c>
      <c r="K760" s="62">
        <v>200</v>
      </c>
      <c r="L760" s="62">
        <v>200</v>
      </c>
      <c r="M760" s="62">
        <v>250</v>
      </c>
      <c r="N760" s="55" t="s">
        <v>1344</v>
      </c>
      <c r="O760" s="61" t="s">
        <v>52</v>
      </c>
      <c r="P760" s="66"/>
      <c r="Q760" s="66"/>
      <c r="R760" s="66"/>
      <c r="S760" s="66"/>
      <c r="T760" s="66"/>
      <c r="U760" s="66"/>
      <c r="V760" s="66"/>
    </row>
    <row r="761" spans="1:22" s="64" customFormat="1" x14ac:dyDescent="0.25">
      <c r="A761" s="61" t="s">
        <v>1433</v>
      </c>
      <c r="B761" s="511" t="s">
        <v>1488</v>
      </c>
      <c r="C761" s="511"/>
      <c r="D761" s="511"/>
      <c r="E761" s="61" t="s">
        <v>1437</v>
      </c>
      <c r="F761" s="61" t="s">
        <v>54</v>
      </c>
      <c r="G761" s="61" t="s">
        <v>55</v>
      </c>
      <c r="H761" s="61"/>
      <c r="I761" s="61" t="s">
        <v>1366</v>
      </c>
      <c r="J761" s="62">
        <v>205</v>
      </c>
      <c r="K761" s="62">
        <v>225</v>
      </c>
      <c r="L761" s="62">
        <v>225</v>
      </c>
      <c r="M761" s="62">
        <v>285</v>
      </c>
      <c r="N761" s="55" t="s">
        <v>1344</v>
      </c>
      <c r="O761" s="61" t="s">
        <v>52</v>
      </c>
      <c r="P761" s="66"/>
      <c r="Q761" s="66"/>
      <c r="R761" s="66"/>
      <c r="S761" s="66"/>
      <c r="T761" s="66"/>
      <c r="U761" s="66"/>
      <c r="V761" s="66"/>
    </row>
    <row r="762" spans="1:22" s="64" customFormat="1" x14ac:dyDescent="0.25">
      <c r="A762" s="61" t="s">
        <v>1433</v>
      </c>
      <c r="B762" s="511" t="s">
        <v>1488</v>
      </c>
      <c r="C762" s="511"/>
      <c r="D762" s="511"/>
      <c r="E762" s="61" t="s">
        <v>1440</v>
      </c>
      <c r="F762" s="61" t="s">
        <v>389</v>
      </c>
      <c r="G762" s="61" t="s">
        <v>55</v>
      </c>
      <c r="H762" s="61"/>
      <c r="I762" s="61" t="s">
        <v>1366</v>
      </c>
      <c r="J762" s="62">
        <v>205</v>
      </c>
      <c r="K762" s="62">
        <v>225</v>
      </c>
      <c r="L762" s="62">
        <v>225</v>
      </c>
      <c r="M762" s="62">
        <v>285</v>
      </c>
      <c r="N762" s="55" t="s">
        <v>1344</v>
      </c>
      <c r="O762" s="61" t="s">
        <v>52</v>
      </c>
      <c r="P762" s="66"/>
      <c r="Q762" s="66"/>
      <c r="R762" s="66"/>
      <c r="S762" s="66"/>
      <c r="T762" s="66"/>
      <c r="U762" s="66"/>
      <c r="V762" s="66"/>
    </row>
    <row r="763" spans="1:22" s="64" customFormat="1" x14ac:dyDescent="0.25">
      <c r="A763" s="61" t="s">
        <v>1433</v>
      </c>
      <c r="B763" s="511" t="s">
        <v>1488</v>
      </c>
      <c r="C763" s="511"/>
      <c r="D763" s="511"/>
      <c r="E763" s="61" t="s">
        <v>1439</v>
      </c>
      <c r="F763" s="61" t="s">
        <v>389</v>
      </c>
      <c r="G763" s="61" t="s">
        <v>55</v>
      </c>
      <c r="H763" s="61"/>
      <c r="I763" s="61" t="s">
        <v>1366</v>
      </c>
      <c r="J763" s="62">
        <v>205</v>
      </c>
      <c r="K763" s="62">
        <v>225</v>
      </c>
      <c r="L763" s="62">
        <v>225</v>
      </c>
      <c r="M763" s="62">
        <v>285</v>
      </c>
      <c r="N763" s="55" t="s">
        <v>1344</v>
      </c>
      <c r="O763" s="61" t="s">
        <v>52</v>
      </c>
      <c r="P763" s="66"/>
      <c r="Q763" s="66"/>
      <c r="R763" s="66"/>
      <c r="S763" s="66"/>
      <c r="T763" s="66"/>
      <c r="U763" s="66"/>
      <c r="V763" s="66"/>
    </row>
    <row r="764" spans="1:22" s="64" customFormat="1" x14ac:dyDescent="0.25">
      <c r="A764" s="61" t="s">
        <v>1433</v>
      </c>
      <c r="B764" s="511" t="s">
        <v>1488</v>
      </c>
      <c r="C764" s="511"/>
      <c r="D764" s="511"/>
      <c r="E764" s="61" t="s">
        <v>1437</v>
      </c>
      <c r="F764" s="61" t="s">
        <v>389</v>
      </c>
      <c r="G764" s="61" t="s">
        <v>55</v>
      </c>
      <c r="H764" s="61"/>
      <c r="I764" s="61" t="s">
        <v>1366</v>
      </c>
      <c r="J764" s="62">
        <v>205</v>
      </c>
      <c r="K764" s="62">
        <v>225</v>
      </c>
      <c r="L764" s="62">
        <v>225</v>
      </c>
      <c r="M764" s="62">
        <v>285</v>
      </c>
      <c r="N764" s="55" t="s">
        <v>1344</v>
      </c>
      <c r="O764" s="61" t="s">
        <v>52</v>
      </c>
      <c r="P764" s="66"/>
      <c r="Q764" s="66"/>
      <c r="R764" s="66"/>
      <c r="S764" s="66"/>
      <c r="T764" s="66"/>
      <c r="U764" s="66"/>
      <c r="V764" s="66"/>
    </row>
    <row r="765" spans="1:22" s="64" customFormat="1" x14ac:dyDescent="0.25">
      <c r="A765" s="61" t="s">
        <v>1433</v>
      </c>
      <c r="B765" s="511" t="s">
        <v>1488</v>
      </c>
      <c r="C765" s="511"/>
      <c r="D765" s="511"/>
      <c r="E765" s="61" t="s">
        <v>1440</v>
      </c>
      <c r="F765" s="61" t="s">
        <v>56</v>
      </c>
      <c r="G765" s="61" t="s">
        <v>55</v>
      </c>
      <c r="H765" s="61"/>
      <c r="I765" s="61" t="s">
        <v>1366</v>
      </c>
      <c r="J765" s="62">
        <v>130</v>
      </c>
      <c r="K765" s="62">
        <v>160</v>
      </c>
      <c r="L765" s="62">
        <v>160</v>
      </c>
      <c r="M765" s="62">
        <v>160</v>
      </c>
      <c r="N765" s="55" t="s">
        <v>1344</v>
      </c>
      <c r="O765" s="61" t="s">
        <v>52</v>
      </c>
      <c r="P765" s="66"/>
      <c r="Q765" s="66"/>
      <c r="R765" s="66"/>
      <c r="S765" s="66"/>
      <c r="T765" s="66"/>
      <c r="U765" s="66"/>
      <c r="V765" s="66"/>
    </row>
    <row r="766" spans="1:22" s="64" customFormat="1" x14ac:dyDescent="0.25">
      <c r="A766" s="61" t="s">
        <v>1433</v>
      </c>
      <c r="B766" s="511" t="s">
        <v>1489</v>
      </c>
      <c r="C766" s="511"/>
      <c r="D766" s="511"/>
      <c r="E766" s="61" t="s">
        <v>1447</v>
      </c>
      <c r="F766" s="61" t="s">
        <v>56</v>
      </c>
      <c r="G766" s="61" t="s">
        <v>55</v>
      </c>
      <c r="H766" s="61"/>
      <c r="I766" s="61" t="s">
        <v>1366</v>
      </c>
      <c r="J766" s="62">
        <v>570</v>
      </c>
      <c r="K766" s="62">
        <v>585</v>
      </c>
      <c r="L766" s="62">
        <v>585</v>
      </c>
      <c r="M766" s="62"/>
      <c r="N766" s="55" t="s">
        <v>1344</v>
      </c>
      <c r="O766" s="61" t="s">
        <v>52</v>
      </c>
      <c r="P766" s="66"/>
      <c r="Q766" s="66"/>
      <c r="R766" s="66"/>
      <c r="S766" s="66"/>
      <c r="T766" s="66"/>
      <c r="U766" s="66"/>
      <c r="V766" s="66"/>
    </row>
    <row r="767" spans="1:22" s="64" customFormat="1" x14ac:dyDescent="0.25">
      <c r="A767" s="61" t="s">
        <v>1433</v>
      </c>
      <c r="B767" s="511" t="s">
        <v>1490</v>
      </c>
      <c r="C767" s="511"/>
      <c r="D767" s="511"/>
      <c r="E767" s="61" t="s">
        <v>1437</v>
      </c>
      <c r="F767" s="61" t="s">
        <v>54</v>
      </c>
      <c r="G767" s="61" t="s">
        <v>55</v>
      </c>
      <c r="H767" s="61"/>
      <c r="I767" s="61" t="s">
        <v>1366</v>
      </c>
      <c r="J767" s="62">
        <v>135</v>
      </c>
      <c r="K767" s="62">
        <v>150</v>
      </c>
      <c r="L767" s="62">
        <v>150</v>
      </c>
      <c r="M767" s="62">
        <v>190</v>
      </c>
      <c r="N767" s="55" t="s">
        <v>1344</v>
      </c>
      <c r="O767" s="61" t="s">
        <v>52</v>
      </c>
      <c r="P767" s="66"/>
      <c r="Q767" s="66"/>
      <c r="R767" s="66"/>
      <c r="S767" s="66"/>
      <c r="T767" s="66"/>
      <c r="U767" s="66"/>
      <c r="V767" s="66"/>
    </row>
    <row r="768" spans="1:22" s="64" customFormat="1" x14ac:dyDescent="0.25">
      <c r="A768" s="61" t="s">
        <v>1433</v>
      </c>
      <c r="B768" s="511" t="s">
        <v>1490</v>
      </c>
      <c r="C768" s="511"/>
      <c r="D768" s="511"/>
      <c r="E768" s="61" t="s">
        <v>1440</v>
      </c>
      <c r="F768" s="61" t="s">
        <v>389</v>
      </c>
      <c r="G768" s="61" t="s">
        <v>55</v>
      </c>
      <c r="H768" s="61"/>
      <c r="I768" s="61" t="s">
        <v>1366</v>
      </c>
      <c r="J768" s="62">
        <v>135</v>
      </c>
      <c r="K768" s="62">
        <v>150</v>
      </c>
      <c r="L768" s="62">
        <v>150</v>
      </c>
      <c r="M768" s="62">
        <v>190</v>
      </c>
      <c r="N768" s="55" t="s">
        <v>1344</v>
      </c>
      <c r="O768" s="61" t="s">
        <v>52</v>
      </c>
      <c r="P768" s="66"/>
      <c r="Q768" s="66"/>
      <c r="R768" s="66"/>
      <c r="S768" s="66"/>
      <c r="T768" s="66"/>
      <c r="U768" s="66"/>
      <c r="V768" s="66"/>
    </row>
    <row r="769" spans="1:22" s="64" customFormat="1" x14ac:dyDescent="0.25">
      <c r="A769" s="61" t="s">
        <v>1433</v>
      </c>
      <c r="B769" s="511" t="s">
        <v>1490</v>
      </c>
      <c r="C769" s="511"/>
      <c r="D769" s="511"/>
      <c r="E769" s="61" t="s">
        <v>1439</v>
      </c>
      <c r="F769" s="61" t="s">
        <v>389</v>
      </c>
      <c r="G769" s="61" t="s">
        <v>55</v>
      </c>
      <c r="H769" s="61"/>
      <c r="I769" s="61" t="s">
        <v>1366</v>
      </c>
      <c r="J769" s="62">
        <v>135</v>
      </c>
      <c r="K769" s="62">
        <v>150</v>
      </c>
      <c r="L769" s="62">
        <v>150</v>
      </c>
      <c r="M769" s="62">
        <v>190</v>
      </c>
      <c r="N769" s="55" t="s">
        <v>1344</v>
      </c>
      <c r="O769" s="61" t="s">
        <v>52</v>
      </c>
      <c r="P769" s="66"/>
      <c r="Q769" s="66"/>
      <c r="R769" s="66"/>
      <c r="S769" s="66"/>
      <c r="T769" s="66"/>
      <c r="U769" s="66"/>
      <c r="V769" s="66"/>
    </row>
    <row r="770" spans="1:22" s="64" customFormat="1" x14ac:dyDescent="0.25">
      <c r="A770" s="61" t="s">
        <v>1433</v>
      </c>
      <c r="B770" s="511" t="s">
        <v>1490</v>
      </c>
      <c r="C770" s="511"/>
      <c r="D770" s="511"/>
      <c r="E770" s="61" t="s">
        <v>1437</v>
      </c>
      <c r="F770" s="61" t="s">
        <v>389</v>
      </c>
      <c r="G770" s="61" t="s">
        <v>55</v>
      </c>
      <c r="H770" s="61"/>
      <c r="I770" s="61" t="s">
        <v>1366</v>
      </c>
      <c r="J770" s="62">
        <v>135</v>
      </c>
      <c r="K770" s="62">
        <v>150</v>
      </c>
      <c r="L770" s="62">
        <v>150</v>
      </c>
      <c r="M770" s="62">
        <v>190</v>
      </c>
      <c r="N770" s="55" t="s">
        <v>1344</v>
      </c>
      <c r="O770" s="61" t="s">
        <v>52</v>
      </c>
      <c r="P770" s="66"/>
      <c r="Q770" s="66"/>
      <c r="R770" s="66"/>
      <c r="S770" s="66"/>
      <c r="T770" s="66"/>
      <c r="U770" s="66"/>
      <c r="V770" s="66"/>
    </row>
    <row r="771" spans="1:22" s="64" customFormat="1" x14ac:dyDescent="0.25">
      <c r="A771" s="61" t="s">
        <v>1433</v>
      </c>
      <c r="B771" s="511" t="s">
        <v>1491</v>
      </c>
      <c r="C771" s="511"/>
      <c r="D771" s="511"/>
      <c r="E771" s="61" t="s">
        <v>1447</v>
      </c>
      <c r="F771" s="61" t="s">
        <v>56</v>
      </c>
      <c r="G771" s="61" t="s">
        <v>55</v>
      </c>
      <c r="H771" s="61"/>
      <c r="I771" s="61" t="s">
        <v>1366</v>
      </c>
      <c r="J771" s="62">
        <v>340</v>
      </c>
      <c r="K771" s="62">
        <v>520</v>
      </c>
      <c r="L771" s="62">
        <v>520</v>
      </c>
      <c r="M771" s="62"/>
      <c r="N771" s="55" t="s">
        <v>1344</v>
      </c>
      <c r="O771" s="61" t="s">
        <v>52</v>
      </c>
      <c r="P771" s="66"/>
      <c r="Q771" s="66"/>
      <c r="R771" s="66"/>
      <c r="S771" s="66"/>
      <c r="T771" s="66"/>
      <c r="U771" s="66"/>
      <c r="V771" s="66"/>
    </row>
    <row r="772" spans="1:22" s="64" customFormat="1" x14ac:dyDescent="0.25">
      <c r="A772" s="61" t="s">
        <v>1433</v>
      </c>
      <c r="B772" s="511" t="s">
        <v>1492</v>
      </c>
      <c r="C772" s="511"/>
      <c r="D772" s="511"/>
      <c r="E772" s="61" t="s">
        <v>1435</v>
      </c>
      <c r="F772" s="61" t="s">
        <v>54</v>
      </c>
      <c r="G772" s="61" t="s">
        <v>55</v>
      </c>
      <c r="H772" s="61"/>
      <c r="I772" s="61" t="s">
        <v>1366</v>
      </c>
      <c r="J772" s="62">
        <v>405</v>
      </c>
      <c r="K772" s="62">
        <v>450</v>
      </c>
      <c r="L772" s="62">
        <v>450</v>
      </c>
      <c r="M772" s="62">
        <v>570</v>
      </c>
      <c r="N772" s="55" t="s">
        <v>1344</v>
      </c>
      <c r="O772" s="61" t="s">
        <v>52</v>
      </c>
      <c r="P772" s="66"/>
      <c r="Q772" s="66"/>
      <c r="R772" s="66"/>
      <c r="S772" s="66"/>
      <c r="T772" s="66"/>
      <c r="U772" s="66"/>
      <c r="V772" s="66"/>
    </row>
    <row r="773" spans="1:22" s="64" customFormat="1" x14ac:dyDescent="0.25">
      <c r="A773" s="61" t="s">
        <v>1433</v>
      </c>
      <c r="B773" s="511" t="s">
        <v>1492</v>
      </c>
      <c r="C773" s="511"/>
      <c r="D773" s="511"/>
      <c r="E773" s="61" t="s">
        <v>1435</v>
      </c>
      <c r="F773" s="61" t="s">
        <v>389</v>
      </c>
      <c r="G773" s="61" t="s">
        <v>55</v>
      </c>
      <c r="H773" s="61"/>
      <c r="I773" s="61" t="s">
        <v>1366</v>
      </c>
      <c r="J773" s="62">
        <v>405</v>
      </c>
      <c r="K773" s="62">
        <v>450</v>
      </c>
      <c r="L773" s="62">
        <v>450</v>
      </c>
      <c r="M773" s="62">
        <v>570</v>
      </c>
      <c r="N773" s="55" t="s">
        <v>1344</v>
      </c>
      <c r="O773" s="61" t="s">
        <v>52</v>
      </c>
      <c r="P773" s="66"/>
      <c r="Q773" s="66"/>
      <c r="R773" s="66"/>
      <c r="S773" s="66"/>
      <c r="T773" s="66"/>
      <c r="U773" s="66"/>
      <c r="V773" s="66"/>
    </row>
    <row r="774" spans="1:22" s="64" customFormat="1" x14ac:dyDescent="0.25">
      <c r="A774" s="61" t="s">
        <v>1433</v>
      </c>
      <c r="B774" s="511" t="s">
        <v>1493</v>
      </c>
      <c r="C774" s="511"/>
      <c r="D774" s="511"/>
      <c r="E774" s="61" t="s">
        <v>1437</v>
      </c>
      <c r="F774" s="61" t="s">
        <v>54</v>
      </c>
      <c r="G774" s="61" t="s">
        <v>55</v>
      </c>
      <c r="H774" s="61"/>
      <c r="I774" s="61" t="s">
        <v>1366</v>
      </c>
      <c r="J774" s="62">
        <v>90</v>
      </c>
      <c r="K774" s="62">
        <v>100</v>
      </c>
      <c r="L774" s="62">
        <v>100</v>
      </c>
      <c r="M774" s="62">
        <v>130</v>
      </c>
      <c r="N774" s="55" t="s">
        <v>1344</v>
      </c>
      <c r="O774" s="61" t="s">
        <v>52</v>
      </c>
      <c r="P774" s="66"/>
      <c r="Q774" s="66"/>
      <c r="R774" s="66"/>
      <c r="S774" s="66"/>
      <c r="T774" s="66"/>
      <c r="U774" s="66"/>
      <c r="V774" s="66"/>
    </row>
    <row r="775" spans="1:22" s="64" customFormat="1" x14ac:dyDescent="0.25">
      <c r="A775" s="61" t="s">
        <v>1433</v>
      </c>
      <c r="B775" s="511" t="s">
        <v>1493</v>
      </c>
      <c r="C775" s="511"/>
      <c r="D775" s="511"/>
      <c r="E775" s="61" t="s">
        <v>1440</v>
      </c>
      <c r="F775" s="61" t="s">
        <v>389</v>
      </c>
      <c r="G775" s="61" t="s">
        <v>55</v>
      </c>
      <c r="H775" s="61"/>
      <c r="I775" s="61" t="s">
        <v>1366</v>
      </c>
      <c r="J775" s="62">
        <v>90</v>
      </c>
      <c r="K775" s="62">
        <v>100</v>
      </c>
      <c r="L775" s="62">
        <v>100</v>
      </c>
      <c r="M775" s="62">
        <v>130</v>
      </c>
      <c r="N775" s="55" t="s">
        <v>1344</v>
      </c>
      <c r="O775" s="61" t="s">
        <v>52</v>
      </c>
      <c r="P775" s="66"/>
      <c r="Q775" s="66"/>
      <c r="R775" s="66"/>
      <c r="S775" s="66"/>
      <c r="T775" s="66"/>
      <c r="U775" s="66"/>
      <c r="V775" s="66"/>
    </row>
    <row r="776" spans="1:22" s="64" customFormat="1" x14ac:dyDescent="0.25">
      <c r="A776" s="61" t="s">
        <v>1433</v>
      </c>
      <c r="B776" s="511" t="s">
        <v>1493</v>
      </c>
      <c r="C776" s="511"/>
      <c r="D776" s="511"/>
      <c r="E776" s="61" t="s">
        <v>1439</v>
      </c>
      <c r="F776" s="61" t="s">
        <v>389</v>
      </c>
      <c r="G776" s="61" t="s">
        <v>55</v>
      </c>
      <c r="H776" s="61"/>
      <c r="I776" s="61" t="s">
        <v>1366</v>
      </c>
      <c r="J776" s="62">
        <v>90</v>
      </c>
      <c r="K776" s="62">
        <v>100</v>
      </c>
      <c r="L776" s="62">
        <v>100</v>
      </c>
      <c r="M776" s="62">
        <v>130</v>
      </c>
      <c r="N776" s="55" t="s">
        <v>1344</v>
      </c>
      <c r="O776" s="61" t="s">
        <v>52</v>
      </c>
      <c r="P776" s="66"/>
      <c r="Q776" s="66"/>
      <c r="R776" s="66"/>
      <c r="S776" s="66"/>
      <c r="T776" s="66"/>
      <c r="U776" s="66"/>
      <c r="V776" s="66"/>
    </row>
    <row r="777" spans="1:22" s="64" customFormat="1" x14ac:dyDescent="0.25">
      <c r="A777" s="61" t="s">
        <v>1433</v>
      </c>
      <c r="B777" s="511" t="s">
        <v>1493</v>
      </c>
      <c r="C777" s="511"/>
      <c r="D777" s="511"/>
      <c r="E777" s="61" t="s">
        <v>1437</v>
      </c>
      <c r="F777" s="61" t="s">
        <v>389</v>
      </c>
      <c r="G777" s="61" t="s">
        <v>55</v>
      </c>
      <c r="H777" s="61"/>
      <c r="I777" s="61" t="s">
        <v>1366</v>
      </c>
      <c r="J777" s="62">
        <v>90</v>
      </c>
      <c r="K777" s="62">
        <v>100</v>
      </c>
      <c r="L777" s="62">
        <v>100</v>
      </c>
      <c r="M777" s="62">
        <v>130</v>
      </c>
      <c r="N777" s="55" t="s">
        <v>1344</v>
      </c>
      <c r="O777" s="61" t="s">
        <v>52</v>
      </c>
      <c r="P777" s="66"/>
      <c r="Q777" s="66"/>
      <c r="R777" s="66"/>
      <c r="S777" s="66"/>
      <c r="T777" s="66"/>
      <c r="U777" s="66"/>
      <c r="V777" s="66"/>
    </row>
    <row r="778" spans="1:22" s="64" customFormat="1" x14ac:dyDescent="0.25">
      <c r="A778" s="61" t="s">
        <v>1433</v>
      </c>
      <c r="B778" s="511" t="s">
        <v>1494</v>
      </c>
      <c r="C778" s="511"/>
      <c r="D778" s="511"/>
      <c r="E778" s="61" t="s">
        <v>1435</v>
      </c>
      <c r="F778" s="61" t="s">
        <v>56</v>
      </c>
      <c r="G778" s="61" t="s">
        <v>55</v>
      </c>
      <c r="H778" s="61"/>
      <c r="I778" s="61" t="s">
        <v>1366</v>
      </c>
      <c r="J778" s="62">
        <v>340</v>
      </c>
      <c r="K778" s="62">
        <v>450</v>
      </c>
      <c r="L778" s="62">
        <v>450</v>
      </c>
      <c r="M778" s="62"/>
      <c r="N778" s="55" t="s">
        <v>1344</v>
      </c>
      <c r="O778" s="61" t="s">
        <v>52</v>
      </c>
      <c r="P778" s="66"/>
      <c r="Q778" s="66"/>
      <c r="R778" s="66"/>
      <c r="S778" s="66"/>
      <c r="T778" s="66"/>
      <c r="U778" s="66"/>
      <c r="V778" s="66"/>
    </row>
    <row r="779" spans="1:22" s="64" customFormat="1" x14ac:dyDescent="0.25">
      <c r="A779" s="61" t="s">
        <v>1433</v>
      </c>
      <c r="B779" s="511" t="s">
        <v>1495</v>
      </c>
      <c r="C779" s="511"/>
      <c r="D779" s="511"/>
      <c r="E779" s="61" t="s">
        <v>1435</v>
      </c>
      <c r="F779" s="61" t="s">
        <v>54</v>
      </c>
      <c r="G779" s="61" t="s">
        <v>55</v>
      </c>
      <c r="H779" s="61"/>
      <c r="I779" s="61" t="s">
        <v>1366</v>
      </c>
      <c r="J779" s="62">
        <v>225</v>
      </c>
      <c r="K779" s="62">
        <v>250</v>
      </c>
      <c r="L779" s="62">
        <v>250</v>
      </c>
      <c r="M779" s="62">
        <v>320</v>
      </c>
      <c r="N779" s="55" t="s">
        <v>1344</v>
      </c>
      <c r="O779" s="61" t="s">
        <v>52</v>
      </c>
      <c r="P779" s="66"/>
      <c r="Q779" s="66"/>
      <c r="R779" s="66"/>
      <c r="S779" s="66"/>
      <c r="T779" s="66"/>
      <c r="U779" s="66"/>
      <c r="V779" s="66"/>
    </row>
    <row r="780" spans="1:22" s="64" customFormat="1" x14ac:dyDescent="0.25">
      <c r="A780" s="61" t="s">
        <v>1433</v>
      </c>
      <c r="B780" s="511" t="s">
        <v>1495</v>
      </c>
      <c r="C780" s="511"/>
      <c r="D780" s="511"/>
      <c r="E780" s="61" t="s">
        <v>1435</v>
      </c>
      <c r="F780" s="61" t="s">
        <v>389</v>
      </c>
      <c r="G780" s="61" t="s">
        <v>55</v>
      </c>
      <c r="H780" s="61"/>
      <c r="I780" s="61" t="s">
        <v>1366</v>
      </c>
      <c r="J780" s="62">
        <v>225</v>
      </c>
      <c r="K780" s="62">
        <v>250</v>
      </c>
      <c r="L780" s="62">
        <v>250</v>
      </c>
      <c r="M780" s="62">
        <v>320</v>
      </c>
      <c r="N780" s="55" t="s">
        <v>1344</v>
      </c>
      <c r="O780" s="61" t="s">
        <v>52</v>
      </c>
      <c r="P780" s="66"/>
      <c r="Q780" s="66"/>
      <c r="R780" s="66"/>
      <c r="S780" s="66"/>
      <c r="T780" s="66"/>
      <c r="U780" s="66"/>
      <c r="V780" s="66"/>
    </row>
    <row r="781" spans="1:22" s="64" customFormat="1" x14ac:dyDescent="0.25">
      <c r="A781" s="61" t="s">
        <v>1433</v>
      </c>
      <c r="B781" s="511" t="s">
        <v>1496</v>
      </c>
      <c r="C781" s="511"/>
      <c r="D781" s="511"/>
      <c r="E781" s="61" t="s">
        <v>1447</v>
      </c>
      <c r="F781" s="61" t="s">
        <v>56</v>
      </c>
      <c r="G781" s="61" t="s">
        <v>55</v>
      </c>
      <c r="H781" s="61"/>
      <c r="I781" s="61" t="s">
        <v>1366</v>
      </c>
      <c r="J781" s="62">
        <v>230</v>
      </c>
      <c r="K781" s="62">
        <v>265</v>
      </c>
      <c r="L781" s="62">
        <v>265</v>
      </c>
      <c r="M781" s="62"/>
      <c r="N781" s="55" t="s">
        <v>1344</v>
      </c>
      <c r="O781" s="61" t="s">
        <v>52</v>
      </c>
      <c r="P781" s="66"/>
      <c r="Q781" s="66"/>
      <c r="R781" s="66"/>
      <c r="S781" s="66"/>
      <c r="T781" s="66"/>
      <c r="U781" s="66"/>
      <c r="V781" s="66"/>
    </row>
    <row r="782" spans="1:22" s="64" customFormat="1" x14ac:dyDescent="0.25">
      <c r="A782" s="61" t="s">
        <v>1433</v>
      </c>
      <c r="B782" s="511" t="s">
        <v>1497</v>
      </c>
      <c r="C782" s="511"/>
      <c r="D782" s="511"/>
      <c r="E782" s="61" t="s">
        <v>1435</v>
      </c>
      <c r="F782" s="61" t="s">
        <v>54</v>
      </c>
      <c r="G782" s="61" t="s">
        <v>55</v>
      </c>
      <c r="H782" s="61"/>
      <c r="I782" s="61" t="s">
        <v>1366</v>
      </c>
      <c r="J782" s="62">
        <v>225</v>
      </c>
      <c r="K782" s="62">
        <v>250</v>
      </c>
      <c r="L782" s="62">
        <v>250</v>
      </c>
      <c r="M782" s="62">
        <v>320</v>
      </c>
      <c r="N782" s="55" t="s">
        <v>1344</v>
      </c>
      <c r="O782" s="61" t="s">
        <v>52</v>
      </c>
      <c r="P782" s="66"/>
      <c r="Q782" s="66"/>
      <c r="R782" s="66"/>
      <c r="S782" s="66"/>
      <c r="T782" s="66"/>
      <c r="U782" s="66"/>
      <c r="V782" s="66"/>
    </row>
    <row r="783" spans="1:22" s="64" customFormat="1" x14ac:dyDescent="0.25">
      <c r="A783" s="61" t="s">
        <v>1433</v>
      </c>
      <c r="B783" s="511" t="s">
        <v>1497</v>
      </c>
      <c r="C783" s="511"/>
      <c r="D783" s="511"/>
      <c r="E783" s="61" t="s">
        <v>1435</v>
      </c>
      <c r="F783" s="61" t="s">
        <v>389</v>
      </c>
      <c r="G783" s="61" t="s">
        <v>55</v>
      </c>
      <c r="H783" s="61"/>
      <c r="I783" s="61" t="s">
        <v>1366</v>
      </c>
      <c r="J783" s="62">
        <v>225</v>
      </c>
      <c r="K783" s="62">
        <v>250</v>
      </c>
      <c r="L783" s="62">
        <v>250</v>
      </c>
      <c r="M783" s="62">
        <v>320</v>
      </c>
      <c r="N783" s="55" t="s">
        <v>1344</v>
      </c>
      <c r="O783" s="61" t="s">
        <v>52</v>
      </c>
      <c r="P783" s="66"/>
      <c r="Q783" s="66"/>
      <c r="R783" s="66"/>
      <c r="S783" s="66"/>
      <c r="T783" s="66"/>
      <c r="U783" s="66"/>
      <c r="V783" s="66"/>
    </row>
    <row r="784" spans="1:22" s="64" customFormat="1" x14ac:dyDescent="0.25">
      <c r="A784" s="61" t="s">
        <v>1433</v>
      </c>
      <c r="B784" s="511" t="s">
        <v>1406</v>
      </c>
      <c r="C784" s="511"/>
      <c r="D784" s="511"/>
      <c r="E784" s="61" t="s">
        <v>1435</v>
      </c>
      <c r="F784" s="61" t="s">
        <v>54</v>
      </c>
      <c r="G784" s="61" t="s">
        <v>55</v>
      </c>
      <c r="H784" s="61"/>
      <c r="I784" s="61" t="s">
        <v>1366</v>
      </c>
      <c r="J784" s="62">
        <v>135</v>
      </c>
      <c r="K784" s="62">
        <v>150</v>
      </c>
      <c r="L784" s="62">
        <v>150</v>
      </c>
      <c r="M784" s="62">
        <v>195</v>
      </c>
      <c r="N784" s="55" t="s">
        <v>1344</v>
      </c>
      <c r="O784" s="61" t="s">
        <v>52</v>
      </c>
      <c r="P784" s="66"/>
      <c r="Q784" s="66"/>
      <c r="R784" s="66"/>
      <c r="S784" s="66"/>
      <c r="T784" s="66"/>
      <c r="U784" s="66"/>
      <c r="V784" s="66"/>
    </row>
    <row r="785" spans="1:22" s="64" customFormat="1" x14ac:dyDescent="0.25">
      <c r="A785" s="61" t="s">
        <v>1433</v>
      </c>
      <c r="B785" s="511" t="s">
        <v>1498</v>
      </c>
      <c r="C785" s="511"/>
      <c r="D785" s="511"/>
      <c r="E785" s="61" t="s">
        <v>1435</v>
      </c>
      <c r="F785" s="61" t="s">
        <v>54</v>
      </c>
      <c r="G785" s="61" t="s">
        <v>55</v>
      </c>
      <c r="H785" s="61"/>
      <c r="I785" s="61" t="s">
        <v>1366</v>
      </c>
      <c r="J785" s="62">
        <v>180</v>
      </c>
      <c r="K785" s="62">
        <v>200</v>
      </c>
      <c r="L785" s="62">
        <v>200</v>
      </c>
      <c r="M785" s="62">
        <v>250</v>
      </c>
      <c r="N785" s="55" t="s">
        <v>1344</v>
      </c>
      <c r="O785" s="61" t="s">
        <v>52</v>
      </c>
      <c r="P785" s="66"/>
      <c r="Q785" s="66"/>
      <c r="R785" s="66"/>
      <c r="S785" s="66"/>
      <c r="T785" s="66"/>
      <c r="U785" s="66"/>
      <c r="V785" s="66"/>
    </row>
    <row r="786" spans="1:22" s="64" customFormat="1" x14ac:dyDescent="0.25">
      <c r="A786" s="61" t="s">
        <v>1433</v>
      </c>
      <c r="B786" s="511" t="s">
        <v>1498</v>
      </c>
      <c r="C786" s="511"/>
      <c r="D786" s="511"/>
      <c r="E786" s="61" t="s">
        <v>1435</v>
      </c>
      <c r="F786" s="61" t="s">
        <v>389</v>
      </c>
      <c r="G786" s="61" t="s">
        <v>55</v>
      </c>
      <c r="H786" s="61"/>
      <c r="I786" s="61" t="s">
        <v>1366</v>
      </c>
      <c r="J786" s="62">
        <v>180</v>
      </c>
      <c r="K786" s="62">
        <v>200</v>
      </c>
      <c r="L786" s="62">
        <v>200</v>
      </c>
      <c r="M786" s="62">
        <v>250</v>
      </c>
      <c r="N786" s="55" t="s">
        <v>1344</v>
      </c>
      <c r="O786" s="61" t="s">
        <v>52</v>
      </c>
      <c r="P786" s="66"/>
      <c r="Q786" s="66"/>
      <c r="R786" s="66"/>
      <c r="S786" s="66"/>
      <c r="T786" s="66"/>
      <c r="U786" s="66"/>
      <c r="V786" s="66"/>
    </row>
    <row r="787" spans="1:22" s="64" customFormat="1" x14ac:dyDescent="0.25">
      <c r="A787" s="61" t="s">
        <v>1433</v>
      </c>
      <c r="B787" s="511" t="s">
        <v>1499</v>
      </c>
      <c r="C787" s="511"/>
      <c r="D787" s="511"/>
      <c r="E787" s="61" t="s">
        <v>1435</v>
      </c>
      <c r="F787" s="61" t="s">
        <v>54</v>
      </c>
      <c r="G787" s="61" t="s">
        <v>55</v>
      </c>
      <c r="H787" s="61"/>
      <c r="I787" s="61" t="s">
        <v>1366</v>
      </c>
      <c r="J787" s="62">
        <v>580</v>
      </c>
      <c r="K787" s="62">
        <v>640</v>
      </c>
      <c r="L787" s="62">
        <v>640</v>
      </c>
      <c r="M787" s="62">
        <v>815</v>
      </c>
      <c r="N787" s="55" t="s">
        <v>1344</v>
      </c>
      <c r="O787" s="61" t="s">
        <v>52</v>
      </c>
      <c r="P787" s="66"/>
      <c r="Q787" s="66"/>
      <c r="R787" s="66"/>
      <c r="S787" s="66"/>
      <c r="T787" s="66"/>
      <c r="U787" s="66"/>
      <c r="V787" s="66"/>
    </row>
    <row r="788" spans="1:22" s="64" customFormat="1" x14ac:dyDescent="0.25">
      <c r="A788" s="61" t="s">
        <v>1433</v>
      </c>
      <c r="B788" s="511" t="s">
        <v>1499</v>
      </c>
      <c r="C788" s="511"/>
      <c r="D788" s="511"/>
      <c r="E788" s="61" t="s">
        <v>1435</v>
      </c>
      <c r="F788" s="61" t="s">
        <v>389</v>
      </c>
      <c r="G788" s="61" t="s">
        <v>55</v>
      </c>
      <c r="H788" s="61"/>
      <c r="I788" s="61" t="s">
        <v>1366</v>
      </c>
      <c r="J788" s="62">
        <v>580</v>
      </c>
      <c r="K788" s="62">
        <v>640</v>
      </c>
      <c r="L788" s="62">
        <v>640</v>
      </c>
      <c r="M788" s="62">
        <v>815</v>
      </c>
      <c r="N788" s="55" t="s">
        <v>1344</v>
      </c>
      <c r="O788" s="61" t="s">
        <v>52</v>
      </c>
      <c r="P788" s="66"/>
      <c r="Q788" s="66"/>
      <c r="R788" s="66"/>
      <c r="S788" s="66"/>
      <c r="T788" s="66"/>
      <c r="U788" s="66"/>
      <c r="V788" s="66"/>
    </row>
    <row r="789" spans="1:22" s="64" customFormat="1" x14ac:dyDescent="0.25">
      <c r="A789" s="61" t="s">
        <v>1433</v>
      </c>
      <c r="B789" s="511" t="s">
        <v>1500</v>
      </c>
      <c r="C789" s="511"/>
      <c r="D789" s="511"/>
      <c r="E789" s="61" t="s">
        <v>1447</v>
      </c>
      <c r="F789" s="61" t="s">
        <v>54</v>
      </c>
      <c r="G789" s="61" t="s">
        <v>55</v>
      </c>
      <c r="H789" s="61"/>
      <c r="I789" s="61" t="s">
        <v>1366</v>
      </c>
      <c r="J789" s="62">
        <v>360</v>
      </c>
      <c r="K789" s="62">
        <v>400</v>
      </c>
      <c r="L789" s="62">
        <v>400</v>
      </c>
      <c r="M789" s="62">
        <v>510</v>
      </c>
      <c r="N789" s="55" t="s">
        <v>1344</v>
      </c>
      <c r="O789" s="61" t="s">
        <v>52</v>
      </c>
      <c r="P789" s="66"/>
      <c r="Q789" s="66"/>
      <c r="R789" s="66"/>
      <c r="S789" s="66"/>
      <c r="T789" s="66"/>
      <c r="U789" s="66"/>
      <c r="V789" s="66"/>
    </row>
    <row r="790" spans="1:22" s="64" customFormat="1" x14ac:dyDescent="0.25">
      <c r="A790" s="61" t="s">
        <v>1433</v>
      </c>
      <c r="B790" s="511" t="s">
        <v>1500</v>
      </c>
      <c r="C790" s="511"/>
      <c r="D790" s="511"/>
      <c r="E790" s="61" t="s">
        <v>1447</v>
      </c>
      <c r="F790" s="61" t="s">
        <v>389</v>
      </c>
      <c r="G790" s="61" t="s">
        <v>55</v>
      </c>
      <c r="H790" s="61"/>
      <c r="I790" s="61" t="s">
        <v>1366</v>
      </c>
      <c r="J790" s="62">
        <v>360</v>
      </c>
      <c r="K790" s="62">
        <v>400</v>
      </c>
      <c r="L790" s="62">
        <v>400</v>
      </c>
      <c r="M790" s="62">
        <v>510</v>
      </c>
      <c r="N790" s="55" t="s">
        <v>1344</v>
      </c>
      <c r="O790" s="61" t="s">
        <v>52</v>
      </c>
      <c r="P790" s="66"/>
      <c r="Q790" s="66"/>
      <c r="R790" s="66"/>
      <c r="S790" s="66"/>
      <c r="T790" s="66"/>
      <c r="U790" s="66"/>
      <c r="V790" s="66"/>
    </row>
    <row r="791" spans="1:22" s="64" customFormat="1" x14ac:dyDescent="0.25">
      <c r="A791" s="61" t="s">
        <v>1433</v>
      </c>
      <c r="B791" s="511" t="s">
        <v>1501</v>
      </c>
      <c r="C791" s="511"/>
      <c r="D791" s="511"/>
      <c r="E791" s="61" t="s">
        <v>1435</v>
      </c>
      <c r="F791" s="61" t="s">
        <v>54</v>
      </c>
      <c r="G791" s="61" t="s">
        <v>55</v>
      </c>
      <c r="H791" s="61"/>
      <c r="I791" s="61" t="s">
        <v>1366</v>
      </c>
      <c r="J791" s="62">
        <v>180</v>
      </c>
      <c r="K791" s="62">
        <v>200</v>
      </c>
      <c r="L791" s="62">
        <v>200</v>
      </c>
      <c r="M791" s="62">
        <v>255</v>
      </c>
      <c r="N791" s="55" t="s">
        <v>1344</v>
      </c>
      <c r="O791" s="61" t="s">
        <v>52</v>
      </c>
      <c r="P791" s="66"/>
      <c r="Q791" s="66"/>
      <c r="R791" s="66"/>
      <c r="S791" s="66"/>
      <c r="T791" s="66"/>
      <c r="U791" s="66"/>
      <c r="V791" s="66"/>
    </row>
    <row r="792" spans="1:22" s="64" customFormat="1" x14ac:dyDescent="0.25">
      <c r="A792" s="61" t="s">
        <v>1433</v>
      </c>
      <c r="B792" s="511" t="s">
        <v>1501</v>
      </c>
      <c r="C792" s="511"/>
      <c r="D792" s="511"/>
      <c r="E792" s="61" t="s">
        <v>1435</v>
      </c>
      <c r="F792" s="61" t="s">
        <v>389</v>
      </c>
      <c r="G792" s="61" t="s">
        <v>55</v>
      </c>
      <c r="H792" s="61"/>
      <c r="I792" s="61" t="s">
        <v>1366</v>
      </c>
      <c r="J792" s="62">
        <v>180</v>
      </c>
      <c r="K792" s="62">
        <v>200</v>
      </c>
      <c r="L792" s="62">
        <v>200</v>
      </c>
      <c r="M792" s="62">
        <v>255</v>
      </c>
      <c r="N792" s="55" t="s">
        <v>1344</v>
      </c>
      <c r="O792" s="61" t="s">
        <v>52</v>
      </c>
      <c r="P792" s="66"/>
      <c r="Q792" s="66"/>
      <c r="R792" s="66"/>
      <c r="S792" s="66"/>
      <c r="T792" s="66"/>
      <c r="U792" s="66"/>
      <c r="V792" s="66"/>
    </row>
    <row r="793" spans="1:22" s="64" customFormat="1" x14ac:dyDescent="0.25">
      <c r="A793" s="61" t="s">
        <v>1433</v>
      </c>
      <c r="B793" s="511" t="s">
        <v>1501</v>
      </c>
      <c r="C793" s="511"/>
      <c r="D793" s="511"/>
      <c r="E793" s="61" t="s">
        <v>1447</v>
      </c>
      <c r="F793" s="61" t="s">
        <v>56</v>
      </c>
      <c r="G793" s="61" t="s">
        <v>55</v>
      </c>
      <c r="H793" s="61"/>
      <c r="I793" s="61" t="s">
        <v>1366</v>
      </c>
      <c r="J793" s="62">
        <v>430</v>
      </c>
      <c r="K793" s="62">
        <v>460</v>
      </c>
      <c r="L793" s="62">
        <v>460</v>
      </c>
      <c r="M793" s="62"/>
      <c r="N793" s="55" t="s">
        <v>1344</v>
      </c>
      <c r="O793" s="61" t="s">
        <v>52</v>
      </c>
      <c r="P793" s="66"/>
      <c r="Q793" s="66"/>
      <c r="R793" s="66"/>
      <c r="S793" s="66"/>
      <c r="T793" s="66"/>
      <c r="U793" s="66"/>
      <c r="V793" s="66"/>
    </row>
    <row r="794" spans="1:22" s="64" customFormat="1" x14ac:dyDescent="0.25">
      <c r="A794" s="61" t="s">
        <v>1433</v>
      </c>
      <c r="B794" s="511" t="s">
        <v>1501</v>
      </c>
      <c r="C794" s="511"/>
      <c r="D794" s="511"/>
      <c r="E794" s="61" t="s">
        <v>1455</v>
      </c>
      <c r="F794" s="61" t="s">
        <v>56</v>
      </c>
      <c r="G794" s="61" t="s">
        <v>55</v>
      </c>
      <c r="H794" s="61"/>
      <c r="I794" s="61" t="s">
        <v>1366</v>
      </c>
      <c r="J794" s="62">
        <v>485</v>
      </c>
      <c r="K794" s="62">
        <v>505</v>
      </c>
      <c r="L794" s="62">
        <v>505</v>
      </c>
      <c r="M794" s="62"/>
      <c r="N794" s="55" t="s">
        <v>1344</v>
      </c>
      <c r="O794" s="61" t="s">
        <v>52</v>
      </c>
      <c r="P794" s="66"/>
      <c r="Q794" s="66"/>
      <c r="R794" s="66"/>
      <c r="S794" s="66"/>
      <c r="T794" s="66"/>
      <c r="U794" s="66"/>
      <c r="V794" s="66"/>
    </row>
    <row r="795" spans="1:22" s="64" customFormat="1" x14ac:dyDescent="0.25">
      <c r="A795" s="61" t="s">
        <v>1433</v>
      </c>
      <c r="B795" s="511" t="s">
        <v>1502</v>
      </c>
      <c r="C795" s="511"/>
      <c r="D795" s="511"/>
      <c r="E795" s="61" t="s">
        <v>1435</v>
      </c>
      <c r="F795" s="61" t="s">
        <v>54</v>
      </c>
      <c r="G795" s="61" t="s">
        <v>55</v>
      </c>
      <c r="H795" s="61"/>
      <c r="I795" s="61" t="s">
        <v>1366</v>
      </c>
      <c r="J795" s="62">
        <v>270</v>
      </c>
      <c r="K795" s="62">
        <v>300</v>
      </c>
      <c r="L795" s="62">
        <v>300</v>
      </c>
      <c r="M795" s="62">
        <v>380</v>
      </c>
      <c r="N795" s="55" t="s">
        <v>1344</v>
      </c>
      <c r="O795" s="61" t="s">
        <v>52</v>
      </c>
      <c r="P795" s="66"/>
      <c r="Q795" s="66"/>
      <c r="R795" s="66"/>
      <c r="S795" s="66"/>
      <c r="T795" s="66"/>
      <c r="U795" s="66"/>
      <c r="V795" s="66"/>
    </row>
    <row r="796" spans="1:22" s="64" customFormat="1" x14ac:dyDescent="0.25">
      <c r="A796" s="61" t="s">
        <v>1433</v>
      </c>
      <c r="B796" s="511" t="s">
        <v>1502</v>
      </c>
      <c r="C796" s="511"/>
      <c r="D796" s="511"/>
      <c r="E796" s="61" t="s">
        <v>1435</v>
      </c>
      <c r="F796" s="61" t="s">
        <v>389</v>
      </c>
      <c r="G796" s="61" t="s">
        <v>55</v>
      </c>
      <c r="H796" s="61"/>
      <c r="I796" s="61" t="s">
        <v>1366</v>
      </c>
      <c r="J796" s="62">
        <v>270</v>
      </c>
      <c r="K796" s="62">
        <v>300</v>
      </c>
      <c r="L796" s="62">
        <v>300</v>
      </c>
      <c r="M796" s="62">
        <v>380</v>
      </c>
      <c r="N796" s="55" t="s">
        <v>1344</v>
      </c>
      <c r="O796" s="61" t="s">
        <v>52</v>
      </c>
      <c r="P796" s="66"/>
      <c r="Q796" s="66"/>
      <c r="R796" s="66"/>
      <c r="S796" s="66"/>
      <c r="T796" s="66"/>
      <c r="U796" s="66"/>
      <c r="V796" s="66"/>
    </row>
    <row r="797" spans="1:22" s="64" customFormat="1" x14ac:dyDescent="0.25">
      <c r="A797" s="61" t="s">
        <v>1433</v>
      </c>
      <c r="B797" s="511" t="s">
        <v>1503</v>
      </c>
      <c r="C797" s="511"/>
      <c r="D797" s="511"/>
      <c r="E797" s="61" t="s">
        <v>1435</v>
      </c>
      <c r="F797" s="61" t="s">
        <v>56</v>
      </c>
      <c r="G797" s="61" t="s">
        <v>55</v>
      </c>
      <c r="H797" s="61"/>
      <c r="I797" s="61" t="s">
        <v>1366</v>
      </c>
      <c r="J797" s="62">
        <v>380</v>
      </c>
      <c r="K797" s="62">
        <v>520</v>
      </c>
      <c r="L797" s="62">
        <v>520</v>
      </c>
      <c r="M797" s="62"/>
      <c r="N797" s="55" t="s">
        <v>1344</v>
      </c>
      <c r="O797" s="61" t="s">
        <v>52</v>
      </c>
      <c r="P797" s="66"/>
      <c r="Q797" s="66"/>
      <c r="R797" s="66"/>
      <c r="S797" s="66"/>
      <c r="T797" s="66"/>
      <c r="U797" s="66"/>
      <c r="V797" s="66"/>
    </row>
    <row r="798" spans="1:22" s="64" customFormat="1" x14ac:dyDescent="0.25">
      <c r="A798" s="61" t="s">
        <v>1433</v>
      </c>
      <c r="B798" s="511" t="s">
        <v>1588</v>
      </c>
      <c r="C798" s="511"/>
      <c r="D798" s="511"/>
      <c r="E798" s="61" t="s">
        <v>1437</v>
      </c>
      <c r="F798" s="61" t="s">
        <v>54</v>
      </c>
      <c r="G798" s="61" t="s">
        <v>55</v>
      </c>
      <c r="H798" s="61"/>
      <c r="I798" s="61" t="s">
        <v>1366</v>
      </c>
      <c r="J798" s="62">
        <v>270</v>
      </c>
      <c r="K798" s="62">
        <v>300</v>
      </c>
      <c r="L798" s="62">
        <v>300</v>
      </c>
      <c r="M798" s="62">
        <v>380</v>
      </c>
      <c r="N798" s="55" t="s">
        <v>1344</v>
      </c>
      <c r="O798" s="61" t="s">
        <v>52</v>
      </c>
      <c r="P798" s="66"/>
      <c r="Q798" s="66"/>
      <c r="R798" s="66"/>
      <c r="S798" s="66"/>
      <c r="T798" s="66"/>
      <c r="U798" s="66"/>
      <c r="V798" s="66"/>
    </row>
    <row r="799" spans="1:22" s="64" customFormat="1" x14ac:dyDescent="0.25">
      <c r="A799" s="61" t="s">
        <v>1433</v>
      </c>
      <c r="B799" s="511" t="s">
        <v>1588</v>
      </c>
      <c r="C799" s="511"/>
      <c r="D799" s="511"/>
      <c r="E799" s="61" t="s">
        <v>1440</v>
      </c>
      <c r="F799" s="61" t="s">
        <v>389</v>
      </c>
      <c r="G799" s="61" t="s">
        <v>55</v>
      </c>
      <c r="H799" s="61"/>
      <c r="I799" s="61" t="s">
        <v>1366</v>
      </c>
      <c r="J799" s="62">
        <v>270</v>
      </c>
      <c r="K799" s="62">
        <v>300</v>
      </c>
      <c r="L799" s="62">
        <v>300</v>
      </c>
      <c r="M799" s="62">
        <v>380</v>
      </c>
      <c r="N799" s="55" t="s">
        <v>1344</v>
      </c>
      <c r="O799" s="61" t="s">
        <v>52</v>
      </c>
      <c r="P799" s="66"/>
      <c r="Q799" s="66"/>
      <c r="R799" s="66"/>
      <c r="S799" s="66"/>
      <c r="T799" s="66"/>
      <c r="U799" s="66"/>
      <c r="V799" s="66"/>
    </row>
    <row r="800" spans="1:22" s="64" customFormat="1" x14ac:dyDescent="0.25">
      <c r="A800" s="61" t="s">
        <v>1433</v>
      </c>
      <c r="B800" s="511" t="s">
        <v>1588</v>
      </c>
      <c r="C800" s="511"/>
      <c r="D800" s="511"/>
      <c r="E800" s="61" t="s">
        <v>1437</v>
      </c>
      <c r="F800" s="61" t="s">
        <v>389</v>
      </c>
      <c r="G800" s="61" t="s">
        <v>55</v>
      </c>
      <c r="H800" s="61"/>
      <c r="I800" s="61" t="s">
        <v>1366</v>
      </c>
      <c r="J800" s="62">
        <v>270</v>
      </c>
      <c r="K800" s="62">
        <v>300</v>
      </c>
      <c r="L800" s="62">
        <v>300</v>
      </c>
      <c r="M800" s="62">
        <v>380</v>
      </c>
      <c r="N800" s="55" t="s">
        <v>1344</v>
      </c>
      <c r="O800" s="61" t="s">
        <v>52</v>
      </c>
      <c r="P800" s="66"/>
      <c r="Q800" s="66"/>
      <c r="R800" s="66"/>
      <c r="S800" s="66"/>
      <c r="T800" s="66"/>
      <c r="U800" s="66"/>
      <c r="V800" s="66"/>
    </row>
    <row r="801" spans="1:22" s="64" customFormat="1" x14ac:dyDescent="0.25">
      <c r="A801" s="61" t="s">
        <v>1433</v>
      </c>
      <c r="B801" s="511" t="s">
        <v>1504</v>
      </c>
      <c r="C801" s="511"/>
      <c r="D801" s="511"/>
      <c r="E801" s="61" t="s">
        <v>1447</v>
      </c>
      <c r="F801" s="61" t="s">
        <v>56</v>
      </c>
      <c r="G801" s="61" t="s">
        <v>55</v>
      </c>
      <c r="H801" s="61"/>
      <c r="I801" s="61" t="s">
        <v>1366</v>
      </c>
      <c r="J801" s="62">
        <v>670</v>
      </c>
      <c r="K801" s="62">
        <v>550</v>
      </c>
      <c r="L801" s="62">
        <v>550</v>
      </c>
      <c r="M801" s="62"/>
      <c r="N801" s="55" t="s">
        <v>1344</v>
      </c>
      <c r="O801" s="61" t="s">
        <v>52</v>
      </c>
      <c r="P801" s="66"/>
      <c r="Q801" s="66"/>
      <c r="R801" s="66"/>
      <c r="S801" s="66"/>
      <c r="T801" s="66"/>
      <c r="U801" s="66"/>
      <c r="V801" s="66"/>
    </row>
    <row r="802" spans="1:22" s="64" customFormat="1" x14ac:dyDescent="0.25">
      <c r="A802" s="61" t="s">
        <v>1433</v>
      </c>
      <c r="B802" s="511" t="s">
        <v>1504</v>
      </c>
      <c r="C802" s="511"/>
      <c r="D802" s="511"/>
      <c r="E802" s="61" t="s">
        <v>1468</v>
      </c>
      <c r="F802" s="61" t="s">
        <v>56</v>
      </c>
      <c r="G802" s="61" t="s">
        <v>55</v>
      </c>
      <c r="H802" s="61"/>
      <c r="I802" s="61" t="s">
        <v>1366</v>
      </c>
      <c r="J802" s="62">
        <v>520</v>
      </c>
      <c r="K802" s="62">
        <v>430</v>
      </c>
      <c r="L802" s="62">
        <v>430</v>
      </c>
      <c r="M802" s="62"/>
      <c r="N802" s="55" t="s">
        <v>1344</v>
      </c>
      <c r="O802" s="61" t="s">
        <v>52</v>
      </c>
      <c r="P802" s="66"/>
      <c r="Q802" s="66"/>
      <c r="R802" s="66"/>
      <c r="S802" s="66"/>
      <c r="T802" s="66"/>
      <c r="U802" s="66"/>
      <c r="V802" s="66"/>
    </row>
    <row r="803" spans="1:22" s="64" customFormat="1" x14ac:dyDescent="0.25">
      <c r="A803" s="61" t="s">
        <v>1433</v>
      </c>
      <c r="B803" s="511" t="s">
        <v>1455</v>
      </c>
      <c r="C803" s="511"/>
      <c r="D803" s="511"/>
      <c r="E803" s="61" t="s">
        <v>1439</v>
      </c>
      <c r="F803" s="61" t="s">
        <v>54</v>
      </c>
      <c r="G803" s="61" t="s">
        <v>55</v>
      </c>
      <c r="H803" s="61"/>
      <c r="I803" s="61" t="s">
        <v>1366</v>
      </c>
      <c r="J803" s="62">
        <v>90</v>
      </c>
      <c r="K803" s="62">
        <v>100</v>
      </c>
      <c r="L803" s="62">
        <v>100</v>
      </c>
      <c r="M803" s="62">
        <v>130</v>
      </c>
      <c r="N803" s="55" t="s">
        <v>1344</v>
      </c>
      <c r="O803" s="61" t="s">
        <v>52</v>
      </c>
      <c r="P803" s="66"/>
      <c r="Q803" s="66"/>
      <c r="R803" s="66"/>
      <c r="S803" s="66"/>
      <c r="T803" s="66"/>
      <c r="U803" s="66"/>
      <c r="V803" s="66"/>
    </row>
    <row r="804" spans="1:22" s="64" customFormat="1" x14ac:dyDescent="0.25">
      <c r="A804" s="61" t="s">
        <v>1433</v>
      </c>
      <c r="B804" s="511" t="s">
        <v>1505</v>
      </c>
      <c r="C804" s="511"/>
      <c r="D804" s="511"/>
      <c r="E804" s="61" t="s">
        <v>1437</v>
      </c>
      <c r="F804" s="61" t="s">
        <v>54</v>
      </c>
      <c r="G804" s="61" t="s">
        <v>55</v>
      </c>
      <c r="H804" s="61"/>
      <c r="I804" s="61" t="s">
        <v>1366</v>
      </c>
      <c r="J804" s="62">
        <v>180</v>
      </c>
      <c r="K804" s="62">
        <v>200</v>
      </c>
      <c r="L804" s="62">
        <v>200</v>
      </c>
      <c r="M804" s="62">
        <v>250</v>
      </c>
      <c r="N804" s="55" t="s">
        <v>1344</v>
      </c>
      <c r="O804" s="61" t="s">
        <v>52</v>
      </c>
      <c r="P804" s="66"/>
      <c r="Q804" s="66"/>
      <c r="R804" s="66"/>
      <c r="S804" s="66"/>
      <c r="T804" s="66"/>
      <c r="U804" s="66"/>
      <c r="V804" s="66"/>
    </row>
    <row r="805" spans="1:22" s="64" customFormat="1" x14ac:dyDescent="0.25">
      <c r="A805" s="61" t="s">
        <v>1433</v>
      </c>
      <c r="B805" s="511" t="s">
        <v>1505</v>
      </c>
      <c r="C805" s="511"/>
      <c r="D805" s="511"/>
      <c r="E805" s="61" t="s">
        <v>1440</v>
      </c>
      <c r="F805" s="61" t="s">
        <v>389</v>
      </c>
      <c r="G805" s="61" t="s">
        <v>55</v>
      </c>
      <c r="H805" s="61"/>
      <c r="I805" s="61" t="s">
        <v>1366</v>
      </c>
      <c r="J805" s="62">
        <v>180</v>
      </c>
      <c r="K805" s="62">
        <v>200</v>
      </c>
      <c r="L805" s="62">
        <v>200</v>
      </c>
      <c r="M805" s="62">
        <v>250</v>
      </c>
      <c r="N805" s="55" t="s">
        <v>1344</v>
      </c>
      <c r="O805" s="61" t="s">
        <v>52</v>
      </c>
      <c r="P805" s="66"/>
      <c r="Q805" s="66"/>
      <c r="R805" s="66"/>
      <c r="S805" s="66"/>
      <c r="T805" s="66"/>
      <c r="U805" s="66"/>
      <c r="V805" s="66"/>
    </row>
    <row r="806" spans="1:22" s="64" customFormat="1" x14ac:dyDescent="0.25">
      <c r="A806" s="61" t="s">
        <v>1433</v>
      </c>
      <c r="B806" s="511" t="s">
        <v>1505</v>
      </c>
      <c r="C806" s="511"/>
      <c r="D806" s="511"/>
      <c r="E806" s="61" t="s">
        <v>1439</v>
      </c>
      <c r="F806" s="61" t="s">
        <v>389</v>
      </c>
      <c r="G806" s="61" t="s">
        <v>55</v>
      </c>
      <c r="H806" s="61"/>
      <c r="I806" s="61" t="s">
        <v>1366</v>
      </c>
      <c r="J806" s="62">
        <v>180</v>
      </c>
      <c r="K806" s="62">
        <v>200</v>
      </c>
      <c r="L806" s="62">
        <v>200</v>
      </c>
      <c r="M806" s="62">
        <v>250</v>
      </c>
      <c r="N806" s="55" t="s">
        <v>1344</v>
      </c>
      <c r="O806" s="61" t="s">
        <v>52</v>
      </c>
      <c r="P806" s="66"/>
      <c r="Q806" s="66"/>
      <c r="R806" s="66"/>
      <c r="S806" s="66"/>
      <c r="T806" s="66"/>
      <c r="U806" s="66"/>
      <c r="V806" s="66"/>
    </row>
    <row r="807" spans="1:22" s="64" customFormat="1" x14ac:dyDescent="0.25">
      <c r="A807" s="61" t="s">
        <v>1433</v>
      </c>
      <c r="B807" s="511" t="s">
        <v>1505</v>
      </c>
      <c r="C807" s="511"/>
      <c r="D807" s="511"/>
      <c r="E807" s="61" t="s">
        <v>1437</v>
      </c>
      <c r="F807" s="61" t="s">
        <v>389</v>
      </c>
      <c r="G807" s="61" t="s">
        <v>55</v>
      </c>
      <c r="H807" s="61"/>
      <c r="I807" s="61" t="s">
        <v>1366</v>
      </c>
      <c r="J807" s="62">
        <v>180</v>
      </c>
      <c r="K807" s="62">
        <v>200</v>
      </c>
      <c r="L807" s="62">
        <v>200</v>
      </c>
      <c r="M807" s="62">
        <v>250</v>
      </c>
      <c r="N807" s="55" t="s">
        <v>1344</v>
      </c>
      <c r="O807" s="61" t="s">
        <v>52</v>
      </c>
      <c r="P807" s="66"/>
      <c r="Q807" s="66"/>
      <c r="R807" s="66"/>
      <c r="S807" s="66"/>
      <c r="T807" s="66"/>
      <c r="U807" s="66"/>
      <c r="V807" s="66"/>
    </row>
    <row r="808" spans="1:22" s="64" customFormat="1" x14ac:dyDescent="0.25">
      <c r="A808" s="61" t="s">
        <v>1433</v>
      </c>
      <c r="B808" s="511" t="s">
        <v>1505</v>
      </c>
      <c r="C808" s="511"/>
      <c r="D808" s="511"/>
      <c r="E808" s="61" t="s">
        <v>1437</v>
      </c>
      <c r="F808" s="61" t="s">
        <v>56</v>
      </c>
      <c r="G808" s="61" t="s">
        <v>55</v>
      </c>
      <c r="H808" s="61"/>
      <c r="I808" s="61" t="s">
        <v>1366</v>
      </c>
      <c r="J808" s="62">
        <v>255</v>
      </c>
      <c r="K808" s="62">
        <v>295</v>
      </c>
      <c r="L808" s="62">
        <v>295</v>
      </c>
      <c r="M808" s="62">
        <v>205</v>
      </c>
      <c r="N808" s="55" t="s">
        <v>1344</v>
      </c>
      <c r="O808" s="61" t="s">
        <v>52</v>
      </c>
      <c r="P808" s="66"/>
      <c r="Q808" s="66"/>
      <c r="R808" s="66"/>
      <c r="S808" s="66"/>
      <c r="T808" s="66"/>
      <c r="U808" s="66"/>
      <c r="V808" s="66"/>
    </row>
    <row r="809" spans="1:22" s="64" customFormat="1" x14ac:dyDescent="0.25">
      <c r="A809" s="61" t="s">
        <v>1433</v>
      </c>
      <c r="B809" s="511" t="s">
        <v>1506</v>
      </c>
      <c r="C809" s="511"/>
      <c r="D809" s="511"/>
      <c r="E809" s="61" t="s">
        <v>1447</v>
      </c>
      <c r="F809" s="61" t="s">
        <v>56</v>
      </c>
      <c r="G809" s="61" t="s">
        <v>55</v>
      </c>
      <c r="H809" s="61"/>
      <c r="I809" s="61" t="s">
        <v>1366</v>
      </c>
      <c r="J809" s="62">
        <v>380</v>
      </c>
      <c r="K809" s="62">
        <v>370</v>
      </c>
      <c r="L809" s="62">
        <v>370</v>
      </c>
      <c r="M809" s="62"/>
      <c r="N809" s="55" t="s">
        <v>1344</v>
      </c>
      <c r="O809" s="61" t="s">
        <v>52</v>
      </c>
      <c r="P809" s="66"/>
      <c r="Q809" s="66"/>
      <c r="R809" s="66"/>
      <c r="S809" s="66"/>
      <c r="T809" s="66"/>
      <c r="U809" s="66"/>
      <c r="V809" s="66"/>
    </row>
    <row r="810" spans="1:22" s="64" customFormat="1" x14ac:dyDescent="0.25">
      <c r="A810" s="61" t="s">
        <v>1433</v>
      </c>
      <c r="B810" s="511" t="s">
        <v>1506</v>
      </c>
      <c r="C810" s="511"/>
      <c r="D810" s="511"/>
      <c r="E810" s="61" t="s">
        <v>1435</v>
      </c>
      <c r="F810" s="61" t="s">
        <v>56</v>
      </c>
      <c r="G810" s="61" t="s">
        <v>55</v>
      </c>
      <c r="H810" s="61"/>
      <c r="I810" s="61" t="s">
        <v>1366</v>
      </c>
      <c r="J810" s="62">
        <v>400</v>
      </c>
      <c r="K810" s="62">
        <v>405</v>
      </c>
      <c r="L810" s="62">
        <v>405</v>
      </c>
      <c r="M810" s="62"/>
      <c r="N810" s="55" t="s">
        <v>1344</v>
      </c>
      <c r="O810" s="61" t="s">
        <v>52</v>
      </c>
      <c r="P810" s="66"/>
      <c r="Q810" s="66"/>
      <c r="R810" s="66"/>
      <c r="S810" s="66"/>
      <c r="T810" s="66"/>
      <c r="U810" s="66"/>
      <c r="V810" s="66"/>
    </row>
    <row r="811" spans="1:22" s="64" customFormat="1" x14ac:dyDescent="0.25">
      <c r="A811" s="61" t="s">
        <v>1433</v>
      </c>
      <c r="B811" s="511" t="s">
        <v>1507</v>
      </c>
      <c r="C811" s="511"/>
      <c r="D811" s="511"/>
      <c r="E811" s="61" t="s">
        <v>1435</v>
      </c>
      <c r="F811" s="61" t="s">
        <v>54</v>
      </c>
      <c r="G811" s="61" t="s">
        <v>55</v>
      </c>
      <c r="H811" s="61"/>
      <c r="I811" s="61" t="s">
        <v>1366</v>
      </c>
      <c r="J811" s="62">
        <v>360</v>
      </c>
      <c r="K811" s="62">
        <v>400</v>
      </c>
      <c r="L811" s="62">
        <v>400</v>
      </c>
      <c r="M811" s="62">
        <v>510</v>
      </c>
      <c r="N811" s="55" t="s">
        <v>1344</v>
      </c>
      <c r="O811" s="61" t="s">
        <v>52</v>
      </c>
      <c r="P811" s="66"/>
      <c r="Q811" s="66"/>
      <c r="R811" s="66"/>
      <c r="S811" s="66"/>
      <c r="T811" s="66"/>
      <c r="U811" s="66"/>
      <c r="V811" s="66"/>
    </row>
    <row r="812" spans="1:22" s="64" customFormat="1" x14ac:dyDescent="0.25">
      <c r="A812" s="61" t="s">
        <v>1433</v>
      </c>
      <c r="B812" s="511" t="s">
        <v>1507</v>
      </c>
      <c r="C812" s="511"/>
      <c r="D812" s="511"/>
      <c r="E812" s="61" t="s">
        <v>1435</v>
      </c>
      <c r="F812" s="61" t="s">
        <v>389</v>
      </c>
      <c r="G812" s="61" t="s">
        <v>55</v>
      </c>
      <c r="H812" s="61"/>
      <c r="I812" s="61" t="s">
        <v>1366</v>
      </c>
      <c r="J812" s="62">
        <v>360</v>
      </c>
      <c r="K812" s="62">
        <v>400</v>
      </c>
      <c r="L812" s="62">
        <v>400</v>
      </c>
      <c r="M812" s="62">
        <v>510</v>
      </c>
      <c r="N812" s="55" t="s">
        <v>1344</v>
      </c>
      <c r="O812" s="61" t="s">
        <v>52</v>
      </c>
      <c r="P812" s="66"/>
      <c r="Q812" s="66"/>
      <c r="R812" s="66"/>
      <c r="S812" s="66"/>
      <c r="T812" s="66"/>
      <c r="U812" s="66"/>
      <c r="V812" s="66"/>
    </row>
    <row r="813" spans="1:22" s="64" customFormat="1" x14ac:dyDescent="0.25">
      <c r="A813" s="61" t="s">
        <v>1433</v>
      </c>
      <c r="B813" s="511" t="s">
        <v>1508</v>
      </c>
      <c r="C813" s="511"/>
      <c r="D813" s="511"/>
      <c r="E813" s="61" t="s">
        <v>1435</v>
      </c>
      <c r="F813" s="61" t="s">
        <v>54</v>
      </c>
      <c r="G813" s="61" t="s">
        <v>55</v>
      </c>
      <c r="H813" s="61"/>
      <c r="I813" s="61" t="s">
        <v>1366</v>
      </c>
      <c r="J813" s="62">
        <v>765</v>
      </c>
      <c r="K813" s="62">
        <v>850</v>
      </c>
      <c r="L813" s="62">
        <v>850</v>
      </c>
      <c r="M813" s="62">
        <v>1080</v>
      </c>
      <c r="N813" s="55" t="s">
        <v>1344</v>
      </c>
      <c r="O813" s="61" t="s">
        <v>52</v>
      </c>
      <c r="P813" s="66"/>
      <c r="Q813" s="66"/>
      <c r="R813" s="66"/>
      <c r="S813" s="66"/>
      <c r="T813" s="66"/>
      <c r="U813" s="66"/>
      <c r="V813" s="66"/>
    </row>
    <row r="814" spans="1:22" s="64" customFormat="1" x14ac:dyDescent="0.25">
      <c r="A814" s="61" t="s">
        <v>1433</v>
      </c>
      <c r="B814" s="511" t="s">
        <v>1508</v>
      </c>
      <c r="C814" s="511"/>
      <c r="D814" s="511"/>
      <c r="E814" s="61" t="s">
        <v>1435</v>
      </c>
      <c r="F814" s="61" t="s">
        <v>389</v>
      </c>
      <c r="G814" s="61" t="s">
        <v>55</v>
      </c>
      <c r="H814" s="61"/>
      <c r="I814" s="61" t="s">
        <v>1366</v>
      </c>
      <c r="J814" s="62">
        <v>765</v>
      </c>
      <c r="K814" s="62">
        <v>850</v>
      </c>
      <c r="L814" s="62">
        <v>850</v>
      </c>
      <c r="M814" s="62">
        <v>1080</v>
      </c>
      <c r="N814" s="55" t="s">
        <v>1344</v>
      </c>
      <c r="O814" s="61" t="s">
        <v>52</v>
      </c>
      <c r="P814" s="66"/>
      <c r="Q814" s="66"/>
      <c r="R814" s="66"/>
      <c r="S814" s="66"/>
      <c r="T814" s="66"/>
      <c r="U814" s="66"/>
      <c r="V814" s="66"/>
    </row>
    <row r="815" spans="1:22" s="64" customFormat="1" x14ac:dyDescent="0.25">
      <c r="A815" s="61" t="s">
        <v>1433</v>
      </c>
      <c r="B815" s="511" t="s">
        <v>1509</v>
      </c>
      <c r="C815" s="511"/>
      <c r="D815" s="511"/>
      <c r="E815" s="61" t="s">
        <v>1435</v>
      </c>
      <c r="F815" s="61" t="s">
        <v>54</v>
      </c>
      <c r="G815" s="61" t="s">
        <v>55</v>
      </c>
      <c r="H815" s="61"/>
      <c r="I815" s="61" t="s">
        <v>1366</v>
      </c>
      <c r="J815" s="62">
        <v>450</v>
      </c>
      <c r="K815" s="62">
        <v>500</v>
      </c>
      <c r="L815" s="62">
        <v>500</v>
      </c>
      <c r="M815" s="62">
        <v>635</v>
      </c>
      <c r="N815" s="55" t="s">
        <v>1344</v>
      </c>
      <c r="O815" s="61" t="s">
        <v>52</v>
      </c>
      <c r="P815" s="66"/>
      <c r="Q815" s="66"/>
      <c r="R815" s="66"/>
      <c r="S815" s="66"/>
      <c r="T815" s="66"/>
      <c r="U815" s="66"/>
      <c r="V815" s="66"/>
    </row>
    <row r="816" spans="1:22" s="64" customFormat="1" x14ac:dyDescent="0.25">
      <c r="A816" s="61" t="s">
        <v>1433</v>
      </c>
      <c r="B816" s="511" t="s">
        <v>1509</v>
      </c>
      <c r="C816" s="511"/>
      <c r="D816" s="511"/>
      <c r="E816" s="61" t="s">
        <v>1435</v>
      </c>
      <c r="F816" s="61" t="s">
        <v>389</v>
      </c>
      <c r="G816" s="61" t="s">
        <v>55</v>
      </c>
      <c r="H816" s="61"/>
      <c r="I816" s="61" t="s">
        <v>1366</v>
      </c>
      <c r="J816" s="62">
        <v>450</v>
      </c>
      <c r="K816" s="62">
        <v>500</v>
      </c>
      <c r="L816" s="62">
        <v>500</v>
      </c>
      <c r="M816" s="62">
        <v>635</v>
      </c>
      <c r="N816" s="55" t="s">
        <v>1344</v>
      </c>
      <c r="O816" s="61" t="s">
        <v>52</v>
      </c>
      <c r="P816" s="66"/>
      <c r="Q816" s="66"/>
      <c r="R816" s="66"/>
      <c r="S816" s="66"/>
      <c r="T816" s="66"/>
      <c r="U816" s="66"/>
      <c r="V816" s="66"/>
    </row>
    <row r="817" spans="1:22" s="64" customFormat="1" x14ac:dyDescent="0.25">
      <c r="A817" s="61" t="s">
        <v>1433</v>
      </c>
      <c r="B817" s="511" t="s">
        <v>1510</v>
      </c>
      <c r="C817" s="511"/>
      <c r="D817" s="511"/>
      <c r="E817" s="61" t="s">
        <v>1435</v>
      </c>
      <c r="F817" s="61" t="s">
        <v>54</v>
      </c>
      <c r="G817" s="61" t="s">
        <v>55</v>
      </c>
      <c r="H817" s="61"/>
      <c r="I817" s="61" t="s">
        <v>1366</v>
      </c>
      <c r="J817" s="62">
        <v>405</v>
      </c>
      <c r="K817" s="62">
        <v>450</v>
      </c>
      <c r="L817" s="62">
        <v>450</v>
      </c>
      <c r="M817" s="62">
        <v>570</v>
      </c>
      <c r="N817" s="55" t="s">
        <v>1344</v>
      </c>
      <c r="O817" s="61" t="s">
        <v>52</v>
      </c>
      <c r="P817" s="66"/>
      <c r="Q817" s="66"/>
      <c r="R817" s="66"/>
      <c r="S817" s="66"/>
      <c r="T817" s="66"/>
      <c r="U817" s="66"/>
      <c r="V817" s="66"/>
    </row>
    <row r="818" spans="1:22" s="64" customFormat="1" x14ac:dyDescent="0.25">
      <c r="A818" s="61" t="s">
        <v>1433</v>
      </c>
      <c r="B818" s="511" t="s">
        <v>1510</v>
      </c>
      <c r="C818" s="511"/>
      <c r="D818" s="511"/>
      <c r="E818" s="61" t="s">
        <v>1435</v>
      </c>
      <c r="F818" s="61" t="s">
        <v>389</v>
      </c>
      <c r="G818" s="61" t="s">
        <v>55</v>
      </c>
      <c r="H818" s="61"/>
      <c r="I818" s="61" t="s">
        <v>1366</v>
      </c>
      <c r="J818" s="62">
        <v>405</v>
      </c>
      <c r="K818" s="62">
        <v>450</v>
      </c>
      <c r="L818" s="62">
        <v>450</v>
      </c>
      <c r="M818" s="62">
        <v>570</v>
      </c>
      <c r="N818" s="55" t="s">
        <v>1344</v>
      </c>
      <c r="O818" s="61" t="s">
        <v>52</v>
      </c>
      <c r="P818" s="66"/>
      <c r="Q818" s="66"/>
      <c r="R818" s="66"/>
      <c r="S818" s="66"/>
      <c r="T818" s="66"/>
      <c r="U818" s="66"/>
      <c r="V818" s="66"/>
    </row>
    <row r="819" spans="1:22" s="64" customFormat="1" x14ac:dyDescent="0.25">
      <c r="A819" s="61" t="s">
        <v>1433</v>
      </c>
      <c r="B819" s="511" t="s">
        <v>1510</v>
      </c>
      <c r="C819" s="511"/>
      <c r="D819" s="511"/>
      <c r="E819" s="61" t="s">
        <v>1439</v>
      </c>
      <c r="F819" s="61" t="s">
        <v>56</v>
      </c>
      <c r="G819" s="61" t="s">
        <v>55</v>
      </c>
      <c r="H819" s="61"/>
      <c r="I819" s="61" t="s">
        <v>1366</v>
      </c>
      <c r="J819" s="62">
        <v>420</v>
      </c>
      <c r="K819" s="62">
        <v>595</v>
      </c>
      <c r="L819" s="62">
        <v>595</v>
      </c>
      <c r="M819" s="62"/>
      <c r="N819" s="55" t="s">
        <v>1344</v>
      </c>
      <c r="O819" s="61" t="s">
        <v>52</v>
      </c>
      <c r="P819" s="66"/>
      <c r="Q819" s="66"/>
      <c r="R819" s="66"/>
      <c r="S819" s="66"/>
      <c r="T819" s="66"/>
      <c r="U819" s="66"/>
      <c r="V819" s="66"/>
    </row>
    <row r="820" spans="1:22" s="64" customFormat="1" x14ac:dyDescent="0.25">
      <c r="A820" s="61" t="s">
        <v>1433</v>
      </c>
      <c r="B820" s="511" t="s">
        <v>1510</v>
      </c>
      <c r="C820" s="511"/>
      <c r="D820" s="511"/>
      <c r="E820" s="61" t="s">
        <v>1437</v>
      </c>
      <c r="F820" s="61" t="s">
        <v>56</v>
      </c>
      <c r="G820" s="61" t="s">
        <v>55</v>
      </c>
      <c r="H820" s="61"/>
      <c r="I820" s="61" t="s">
        <v>1366</v>
      </c>
      <c r="J820" s="62">
        <v>475</v>
      </c>
      <c r="K820" s="62">
        <v>645</v>
      </c>
      <c r="L820" s="62">
        <v>645</v>
      </c>
      <c r="M820" s="62"/>
      <c r="N820" s="55" t="s">
        <v>1344</v>
      </c>
      <c r="O820" s="61" t="s">
        <v>52</v>
      </c>
      <c r="P820" s="66"/>
      <c r="Q820" s="66"/>
      <c r="R820" s="66"/>
      <c r="S820" s="66"/>
      <c r="T820" s="66"/>
      <c r="U820" s="66"/>
      <c r="V820" s="66"/>
    </row>
    <row r="821" spans="1:22" s="64" customFormat="1" x14ac:dyDescent="0.25">
      <c r="A821" s="61" t="s">
        <v>1433</v>
      </c>
      <c r="B821" s="511" t="s">
        <v>1511</v>
      </c>
      <c r="C821" s="511"/>
      <c r="D821" s="511"/>
      <c r="E821" s="61" t="s">
        <v>1437</v>
      </c>
      <c r="F821" s="61" t="s">
        <v>54</v>
      </c>
      <c r="G821" s="61" t="s">
        <v>55</v>
      </c>
      <c r="H821" s="61"/>
      <c r="I821" s="61" t="s">
        <v>1366</v>
      </c>
      <c r="J821" s="62">
        <v>225</v>
      </c>
      <c r="K821" s="62">
        <v>250</v>
      </c>
      <c r="L821" s="62">
        <v>250</v>
      </c>
      <c r="M821" s="62">
        <v>320</v>
      </c>
      <c r="N821" s="55" t="s">
        <v>1344</v>
      </c>
      <c r="O821" s="61" t="s">
        <v>52</v>
      </c>
      <c r="P821" s="66"/>
      <c r="Q821" s="66"/>
      <c r="R821" s="66"/>
      <c r="S821" s="66"/>
      <c r="T821" s="66"/>
      <c r="U821" s="66"/>
      <c r="V821" s="66"/>
    </row>
    <row r="822" spans="1:22" s="64" customFormat="1" x14ac:dyDescent="0.25">
      <c r="A822" s="61" t="s">
        <v>1433</v>
      </c>
      <c r="B822" s="511" t="s">
        <v>1511</v>
      </c>
      <c r="C822" s="511"/>
      <c r="D822" s="511"/>
      <c r="E822" s="61" t="s">
        <v>1440</v>
      </c>
      <c r="F822" s="61" t="s">
        <v>389</v>
      </c>
      <c r="G822" s="61" t="s">
        <v>55</v>
      </c>
      <c r="H822" s="61"/>
      <c r="I822" s="61" t="s">
        <v>1366</v>
      </c>
      <c r="J822" s="62">
        <v>225</v>
      </c>
      <c r="K822" s="62">
        <v>250</v>
      </c>
      <c r="L822" s="62">
        <v>250</v>
      </c>
      <c r="M822" s="62">
        <v>320</v>
      </c>
      <c r="N822" s="55" t="s">
        <v>1344</v>
      </c>
      <c r="O822" s="61" t="s">
        <v>52</v>
      </c>
      <c r="P822" s="66"/>
      <c r="Q822" s="66"/>
      <c r="R822" s="66"/>
      <c r="S822" s="66"/>
      <c r="T822" s="66"/>
      <c r="U822" s="66"/>
      <c r="V822" s="66"/>
    </row>
    <row r="823" spans="1:22" s="64" customFormat="1" x14ac:dyDescent="0.25">
      <c r="A823" s="61" t="s">
        <v>1433</v>
      </c>
      <c r="B823" s="511" t="s">
        <v>1511</v>
      </c>
      <c r="C823" s="511"/>
      <c r="D823" s="511"/>
      <c r="E823" s="61" t="s">
        <v>1439</v>
      </c>
      <c r="F823" s="61" t="s">
        <v>389</v>
      </c>
      <c r="G823" s="61" t="s">
        <v>55</v>
      </c>
      <c r="H823" s="61"/>
      <c r="I823" s="61" t="s">
        <v>1366</v>
      </c>
      <c r="J823" s="62">
        <v>225</v>
      </c>
      <c r="K823" s="62">
        <v>250</v>
      </c>
      <c r="L823" s="62">
        <v>250</v>
      </c>
      <c r="M823" s="62">
        <v>320</v>
      </c>
      <c r="N823" s="55" t="s">
        <v>1344</v>
      </c>
      <c r="O823" s="61" t="s">
        <v>52</v>
      </c>
      <c r="P823" s="66"/>
      <c r="Q823" s="66"/>
      <c r="R823" s="66"/>
      <c r="S823" s="66"/>
      <c r="T823" s="66"/>
      <c r="U823" s="66"/>
      <c r="V823" s="66"/>
    </row>
    <row r="824" spans="1:22" s="64" customFormat="1" x14ac:dyDescent="0.25">
      <c r="A824" s="61" t="s">
        <v>1433</v>
      </c>
      <c r="B824" s="511" t="s">
        <v>1511</v>
      </c>
      <c r="C824" s="511"/>
      <c r="D824" s="511"/>
      <c r="E824" s="61" t="s">
        <v>1437</v>
      </c>
      <c r="F824" s="61" t="s">
        <v>389</v>
      </c>
      <c r="G824" s="61" t="s">
        <v>55</v>
      </c>
      <c r="H824" s="61"/>
      <c r="I824" s="61" t="s">
        <v>1366</v>
      </c>
      <c r="J824" s="62">
        <v>225</v>
      </c>
      <c r="K824" s="62">
        <v>250</v>
      </c>
      <c r="L824" s="62">
        <v>250</v>
      </c>
      <c r="M824" s="62">
        <v>320</v>
      </c>
      <c r="N824" s="55" t="s">
        <v>1344</v>
      </c>
      <c r="O824" s="61" t="s">
        <v>52</v>
      </c>
      <c r="P824" s="66"/>
      <c r="Q824" s="66"/>
      <c r="R824" s="66"/>
      <c r="S824" s="66"/>
      <c r="T824" s="66"/>
      <c r="U824" s="66"/>
      <c r="V824" s="66"/>
    </row>
    <row r="825" spans="1:22" s="64" customFormat="1" x14ac:dyDescent="0.25">
      <c r="A825" s="61" t="s">
        <v>1433</v>
      </c>
      <c r="B825" s="511" t="s">
        <v>1512</v>
      </c>
      <c r="C825" s="511"/>
      <c r="D825" s="511"/>
      <c r="E825" s="61" t="s">
        <v>1435</v>
      </c>
      <c r="F825" s="61" t="s">
        <v>54</v>
      </c>
      <c r="G825" s="61" t="s">
        <v>55</v>
      </c>
      <c r="H825" s="61"/>
      <c r="I825" s="61" t="s">
        <v>1366</v>
      </c>
      <c r="J825" s="62">
        <v>180</v>
      </c>
      <c r="K825" s="62">
        <v>200</v>
      </c>
      <c r="L825" s="62">
        <v>200</v>
      </c>
      <c r="M825" s="62">
        <v>255</v>
      </c>
      <c r="N825" s="55" t="s">
        <v>1344</v>
      </c>
      <c r="O825" s="61" t="s">
        <v>52</v>
      </c>
      <c r="P825" s="66"/>
      <c r="Q825" s="66"/>
      <c r="R825" s="66"/>
      <c r="S825" s="66"/>
      <c r="T825" s="66"/>
      <c r="U825" s="66"/>
      <c r="V825" s="66"/>
    </row>
    <row r="826" spans="1:22" s="64" customFormat="1" x14ac:dyDescent="0.25">
      <c r="A826" s="61" t="s">
        <v>1433</v>
      </c>
      <c r="B826" s="511" t="s">
        <v>1512</v>
      </c>
      <c r="C826" s="511"/>
      <c r="D826" s="511"/>
      <c r="E826" s="61" t="s">
        <v>1435</v>
      </c>
      <c r="F826" s="61" t="s">
        <v>389</v>
      </c>
      <c r="G826" s="61" t="s">
        <v>55</v>
      </c>
      <c r="H826" s="61"/>
      <c r="I826" s="61" t="s">
        <v>1366</v>
      </c>
      <c r="J826" s="62">
        <v>180</v>
      </c>
      <c r="K826" s="62">
        <v>200</v>
      </c>
      <c r="L826" s="62">
        <v>200</v>
      </c>
      <c r="M826" s="62">
        <v>255</v>
      </c>
      <c r="N826" s="55" t="s">
        <v>1344</v>
      </c>
      <c r="O826" s="61" t="s">
        <v>52</v>
      </c>
      <c r="P826" s="66"/>
      <c r="Q826" s="66"/>
      <c r="R826" s="66"/>
      <c r="S826" s="66"/>
      <c r="T826" s="66"/>
      <c r="U826" s="66"/>
      <c r="V826" s="66"/>
    </row>
    <row r="827" spans="1:22" s="64" customFormat="1" x14ac:dyDescent="0.25">
      <c r="A827" s="61" t="s">
        <v>1433</v>
      </c>
      <c r="B827" s="511" t="s">
        <v>1513</v>
      </c>
      <c r="C827" s="511"/>
      <c r="D827" s="511"/>
      <c r="E827" s="61" t="s">
        <v>1437</v>
      </c>
      <c r="F827" s="61" t="s">
        <v>54</v>
      </c>
      <c r="G827" s="61" t="s">
        <v>55</v>
      </c>
      <c r="H827" s="61"/>
      <c r="I827" s="61" t="s">
        <v>1366</v>
      </c>
      <c r="J827" s="62">
        <v>495</v>
      </c>
      <c r="K827" s="62">
        <v>550</v>
      </c>
      <c r="L827" s="62">
        <v>550</v>
      </c>
      <c r="M827" s="62">
        <v>700</v>
      </c>
      <c r="N827" s="55" t="s">
        <v>1344</v>
      </c>
      <c r="O827" s="61" t="s">
        <v>52</v>
      </c>
      <c r="P827" s="66"/>
      <c r="Q827" s="66"/>
      <c r="R827" s="66"/>
      <c r="S827" s="66"/>
      <c r="T827" s="66"/>
      <c r="U827" s="66"/>
      <c r="V827" s="66"/>
    </row>
    <row r="828" spans="1:22" s="64" customFormat="1" x14ac:dyDescent="0.25">
      <c r="A828" s="61" t="s">
        <v>1433</v>
      </c>
      <c r="B828" s="511" t="s">
        <v>1513</v>
      </c>
      <c r="C828" s="511"/>
      <c r="D828" s="511"/>
      <c r="E828" s="61" t="s">
        <v>1440</v>
      </c>
      <c r="F828" s="61" t="s">
        <v>389</v>
      </c>
      <c r="G828" s="61" t="s">
        <v>55</v>
      </c>
      <c r="H828" s="61"/>
      <c r="I828" s="61" t="s">
        <v>1366</v>
      </c>
      <c r="J828" s="62">
        <v>495</v>
      </c>
      <c r="K828" s="62">
        <v>550</v>
      </c>
      <c r="L828" s="62">
        <v>550</v>
      </c>
      <c r="M828" s="62">
        <v>700</v>
      </c>
      <c r="N828" s="55" t="s">
        <v>1344</v>
      </c>
      <c r="O828" s="61" t="s">
        <v>52</v>
      </c>
      <c r="P828" s="66"/>
      <c r="Q828" s="66"/>
      <c r="R828" s="66"/>
      <c r="S828" s="66"/>
      <c r="T828" s="66"/>
      <c r="U828" s="66"/>
      <c r="V828" s="66"/>
    </row>
    <row r="829" spans="1:22" s="64" customFormat="1" x14ac:dyDescent="0.25">
      <c r="A829" s="61" t="s">
        <v>1433</v>
      </c>
      <c r="B829" s="511" t="s">
        <v>1513</v>
      </c>
      <c r="C829" s="511"/>
      <c r="D829" s="511"/>
      <c r="E829" s="61" t="s">
        <v>1439</v>
      </c>
      <c r="F829" s="61" t="s">
        <v>389</v>
      </c>
      <c r="G829" s="61" t="s">
        <v>55</v>
      </c>
      <c r="H829" s="61"/>
      <c r="I829" s="61" t="s">
        <v>1366</v>
      </c>
      <c r="J829" s="62">
        <v>495</v>
      </c>
      <c r="K829" s="62">
        <v>550</v>
      </c>
      <c r="L829" s="62">
        <v>550</v>
      </c>
      <c r="M829" s="62">
        <v>700</v>
      </c>
      <c r="N829" s="55" t="s">
        <v>1344</v>
      </c>
      <c r="O829" s="61" t="s">
        <v>52</v>
      </c>
      <c r="P829" s="66"/>
      <c r="Q829" s="66"/>
      <c r="R829" s="66"/>
      <c r="S829" s="66"/>
      <c r="T829" s="66"/>
      <c r="U829" s="66"/>
      <c r="V829" s="66"/>
    </row>
    <row r="830" spans="1:22" s="64" customFormat="1" x14ac:dyDescent="0.25">
      <c r="A830" s="61" t="s">
        <v>1433</v>
      </c>
      <c r="B830" s="511" t="s">
        <v>1513</v>
      </c>
      <c r="C830" s="511"/>
      <c r="D830" s="511"/>
      <c r="E830" s="61" t="s">
        <v>1437</v>
      </c>
      <c r="F830" s="61" t="s">
        <v>389</v>
      </c>
      <c r="G830" s="61" t="s">
        <v>55</v>
      </c>
      <c r="H830" s="61"/>
      <c r="I830" s="61" t="s">
        <v>1366</v>
      </c>
      <c r="J830" s="62">
        <v>495</v>
      </c>
      <c r="K830" s="62">
        <v>550</v>
      </c>
      <c r="L830" s="62">
        <v>550</v>
      </c>
      <c r="M830" s="62">
        <v>700</v>
      </c>
      <c r="N830" s="55" t="s">
        <v>1344</v>
      </c>
      <c r="O830" s="61" t="s">
        <v>52</v>
      </c>
      <c r="P830" s="66"/>
      <c r="Q830" s="66"/>
      <c r="R830" s="66"/>
      <c r="S830" s="66"/>
      <c r="T830" s="66"/>
      <c r="U830" s="66"/>
      <c r="V830" s="66"/>
    </row>
    <row r="831" spans="1:22" s="64" customFormat="1" x14ac:dyDescent="0.25">
      <c r="A831" s="61" t="s">
        <v>1433</v>
      </c>
      <c r="B831" s="511" t="s">
        <v>1513</v>
      </c>
      <c r="C831" s="511"/>
      <c r="D831" s="511"/>
      <c r="E831" s="61" t="s">
        <v>1440</v>
      </c>
      <c r="F831" s="61" t="s">
        <v>56</v>
      </c>
      <c r="G831" s="61" t="s">
        <v>55</v>
      </c>
      <c r="H831" s="61"/>
      <c r="I831" s="61" t="s">
        <v>1366</v>
      </c>
      <c r="J831" s="62">
        <v>260</v>
      </c>
      <c r="K831" s="62">
        <v>345</v>
      </c>
      <c r="L831" s="62">
        <v>345</v>
      </c>
      <c r="M831" s="62">
        <v>375</v>
      </c>
      <c r="N831" s="55" t="s">
        <v>1344</v>
      </c>
      <c r="O831" s="61" t="s">
        <v>52</v>
      </c>
      <c r="P831" s="66"/>
      <c r="Q831" s="66"/>
      <c r="R831" s="66"/>
      <c r="S831" s="66"/>
      <c r="T831" s="66"/>
      <c r="U831" s="66"/>
      <c r="V831" s="66"/>
    </row>
    <row r="832" spans="1:22" s="64" customFormat="1" x14ac:dyDescent="0.25">
      <c r="A832" s="61" t="s">
        <v>1433</v>
      </c>
      <c r="B832" s="511" t="s">
        <v>1513</v>
      </c>
      <c r="C832" s="511"/>
      <c r="D832" s="511"/>
      <c r="E832" s="61" t="s">
        <v>1437</v>
      </c>
      <c r="F832" s="61" t="s">
        <v>56</v>
      </c>
      <c r="G832" s="61" t="s">
        <v>55</v>
      </c>
      <c r="H832" s="61"/>
      <c r="I832" s="61" t="s">
        <v>1366</v>
      </c>
      <c r="J832" s="62">
        <v>135</v>
      </c>
      <c r="K832" s="62">
        <v>475</v>
      </c>
      <c r="L832" s="62">
        <v>475</v>
      </c>
      <c r="M832" s="62">
        <v>405</v>
      </c>
      <c r="N832" s="55" t="s">
        <v>1344</v>
      </c>
      <c r="O832" s="61" t="s">
        <v>52</v>
      </c>
      <c r="P832" s="66"/>
      <c r="Q832" s="66"/>
      <c r="R832" s="66"/>
      <c r="S832" s="66"/>
      <c r="T832" s="66"/>
      <c r="U832" s="66"/>
      <c r="V832" s="66"/>
    </row>
    <row r="833" spans="1:22" s="64" customFormat="1" x14ac:dyDescent="0.25">
      <c r="A833" s="61" t="s">
        <v>1433</v>
      </c>
      <c r="B833" s="511" t="s">
        <v>1514</v>
      </c>
      <c r="C833" s="511"/>
      <c r="D833" s="511"/>
      <c r="E833" s="61" t="s">
        <v>1437</v>
      </c>
      <c r="F833" s="61" t="s">
        <v>54</v>
      </c>
      <c r="G833" s="61" t="s">
        <v>55</v>
      </c>
      <c r="H833" s="61"/>
      <c r="I833" s="61" t="s">
        <v>1366</v>
      </c>
      <c r="J833" s="62">
        <v>200</v>
      </c>
      <c r="K833" s="62">
        <v>220</v>
      </c>
      <c r="L833" s="62">
        <v>220</v>
      </c>
      <c r="M833" s="62">
        <v>280</v>
      </c>
      <c r="N833" s="55" t="s">
        <v>1344</v>
      </c>
      <c r="O833" s="61" t="s">
        <v>52</v>
      </c>
      <c r="P833" s="66"/>
      <c r="Q833" s="66"/>
      <c r="R833" s="66"/>
      <c r="S833" s="66"/>
      <c r="T833" s="66"/>
      <c r="U833" s="66"/>
      <c r="V833" s="66"/>
    </row>
    <row r="834" spans="1:22" s="64" customFormat="1" x14ac:dyDescent="0.25">
      <c r="A834" s="61" t="s">
        <v>1433</v>
      </c>
      <c r="B834" s="511" t="s">
        <v>1514</v>
      </c>
      <c r="C834" s="511"/>
      <c r="D834" s="511"/>
      <c r="E834" s="61" t="s">
        <v>1440</v>
      </c>
      <c r="F834" s="61" t="s">
        <v>389</v>
      </c>
      <c r="G834" s="61" t="s">
        <v>55</v>
      </c>
      <c r="H834" s="61"/>
      <c r="I834" s="61" t="s">
        <v>1366</v>
      </c>
      <c r="J834" s="62">
        <v>200</v>
      </c>
      <c r="K834" s="62">
        <v>220</v>
      </c>
      <c r="L834" s="62">
        <v>220</v>
      </c>
      <c r="M834" s="62">
        <v>280</v>
      </c>
      <c r="N834" s="55" t="s">
        <v>1344</v>
      </c>
      <c r="O834" s="61" t="s">
        <v>52</v>
      </c>
      <c r="P834" s="66"/>
      <c r="Q834" s="66"/>
      <c r="R834" s="66"/>
      <c r="S834" s="66"/>
      <c r="T834" s="66"/>
      <c r="U834" s="66"/>
      <c r="V834" s="66"/>
    </row>
    <row r="835" spans="1:22" s="64" customFormat="1" x14ac:dyDescent="0.25">
      <c r="A835" s="61" t="s">
        <v>1433</v>
      </c>
      <c r="B835" s="511" t="s">
        <v>1514</v>
      </c>
      <c r="C835" s="511"/>
      <c r="D835" s="511"/>
      <c r="E835" s="61" t="s">
        <v>1439</v>
      </c>
      <c r="F835" s="61" t="s">
        <v>389</v>
      </c>
      <c r="G835" s="61" t="s">
        <v>55</v>
      </c>
      <c r="H835" s="61"/>
      <c r="I835" s="61" t="s">
        <v>1366</v>
      </c>
      <c r="J835" s="62">
        <v>200</v>
      </c>
      <c r="K835" s="62">
        <v>220</v>
      </c>
      <c r="L835" s="62">
        <v>220</v>
      </c>
      <c r="M835" s="62">
        <v>280</v>
      </c>
      <c r="N835" s="55" t="s">
        <v>1344</v>
      </c>
      <c r="O835" s="61" t="s">
        <v>52</v>
      </c>
      <c r="P835" s="66"/>
      <c r="Q835" s="66"/>
      <c r="R835" s="66"/>
      <c r="S835" s="66"/>
      <c r="T835" s="66"/>
      <c r="U835" s="66"/>
      <c r="V835" s="66"/>
    </row>
    <row r="836" spans="1:22" s="64" customFormat="1" x14ac:dyDescent="0.25">
      <c r="A836" s="61" t="s">
        <v>1433</v>
      </c>
      <c r="B836" s="511" t="s">
        <v>1514</v>
      </c>
      <c r="C836" s="511"/>
      <c r="D836" s="511"/>
      <c r="E836" s="61" t="s">
        <v>1437</v>
      </c>
      <c r="F836" s="61" t="s">
        <v>389</v>
      </c>
      <c r="G836" s="61" t="s">
        <v>55</v>
      </c>
      <c r="H836" s="61"/>
      <c r="I836" s="61" t="s">
        <v>1366</v>
      </c>
      <c r="J836" s="62">
        <v>200</v>
      </c>
      <c r="K836" s="62">
        <v>220</v>
      </c>
      <c r="L836" s="62">
        <v>220</v>
      </c>
      <c r="M836" s="62">
        <v>280</v>
      </c>
      <c r="N836" s="55" t="s">
        <v>1344</v>
      </c>
      <c r="O836" s="61" t="s">
        <v>52</v>
      </c>
      <c r="P836" s="66"/>
      <c r="Q836" s="66"/>
      <c r="R836" s="66"/>
      <c r="S836" s="66"/>
      <c r="T836" s="66"/>
      <c r="U836" s="66"/>
      <c r="V836" s="66"/>
    </row>
    <row r="837" spans="1:22" s="64" customFormat="1" x14ac:dyDescent="0.25">
      <c r="A837" s="61" t="s">
        <v>1433</v>
      </c>
      <c r="B837" s="511" t="s">
        <v>1515</v>
      </c>
      <c r="C837" s="511"/>
      <c r="D837" s="511"/>
      <c r="E837" s="61" t="s">
        <v>1447</v>
      </c>
      <c r="F837" s="61" t="s">
        <v>54</v>
      </c>
      <c r="G837" s="61" t="s">
        <v>55</v>
      </c>
      <c r="H837" s="61"/>
      <c r="I837" s="61" t="s">
        <v>1366</v>
      </c>
      <c r="J837" s="62">
        <v>90</v>
      </c>
      <c r="K837" s="62">
        <v>100</v>
      </c>
      <c r="L837" s="62">
        <v>100</v>
      </c>
      <c r="M837" s="62">
        <v>130</v>
      </c>
      <c r="N837" s="55" t="s">
        <v>1344</v>
      </c>
      <c r="O837" s="61" t="s">
        <v>52</v>
      </c>
      <c r="P837" s="66"/>
      <c r="Q837" s="66"/>
      <c r="R837" s="66"/>
      <c r="S837" s="66"/>
      <c r="T837" s="66"/>
      <c r="U837" s="66"/>
      <c r="V837" s="66"/>
    </row>
    <row r="838" spans="1:22" s="64" customFormat="1" x14ac:dyDescent="0.25">
      <c r="A838" s="61" t="s">
        <v>1433</v>
      </c>
      <c r="B838" s="511" t="s">
        <v>1515</v>
      </c>
      <c r="C838" s="511"/>
      <c r="D838" s="511"/>
      <c r="E838" s="61" t="s">
        <v>1447</v>
      </c>
      <c r="F838" s="61" t="s">
        <v>389</v>
      </c>
      <c r="G838" s="61" t="s">
        <v>55</v>
      </c>
      <c r="H838" s="61"/>
      <c r="I838" s="61" t="s">
        <v>1366</v>
      </c>
      <c r="J838" s="62">
        <v>90</v>
      </c>
      <c r="K838" s="62">
        <v>100</v>
      </c>
      <c r="L838" s="62">
        <v>100</v>
      </c>
      <c r="M838" s="62">
        <v>130</v>
      </c>
      <c r="N838" s="55" t="s">
        <v>1344</v>
      </c>
      <c r="O838" s="61" t="s">
        <v>52</v>
      </c>
      <c r="P838" s="66"/>
      <c r="Q838" s="66"/>
      <c r="R838" s="66"/>
      <c r="S838" s="66"/>
      <c r="T838" s="66"/>
      <c r="U838" s="66"/>
      <c r="V838" s="66"/>
    </row>
    <row r="839" spans="1:22" s="64" customFormat="1" x14ac:dyDescent="0.25">
      <c r="A839" s="61" t="s">
        <v>1433</v>
      </c>
      <c r="B839" s="511" t="s">
        <v>1516</v>
      </c>
      <c r="C839" s="511"/>
      <c r="D839" s="511"/>
      <c r="E839" s="61" t="s">
        <v>1468</v>
      </c>
      <c r="F839" s="61" t="s">
        <v>56</v>
      </c>
      <c r="G839" s="61" t="s">
        <v>55</v>
      </c>
      <c r="H839" s="61"/>
      <c r="I839" s="61" t="s">
        <v>1366</v>
      </c>
      <c r="J839" s="62">
        <v>975</v>
      </c>
      <c r="K839" s="62">
        <v>1090</v>
      </c>
      <c r="L839" s="62">
        <v>1090</v>
      </c>
      <c r="M839" s="62"/>
      <c r="N839" s="55" t="s">
        <v>1344</v>
      </c>
      <c r="O839" s="61" t="s">
        <v>52</v>
      </c>
      <c r="P839" s="66"/>
      <c r="Q839" s="66"/>
      <c r="R839" s="66"/>
      <c r="S839" s="66"/>
      <c r="T839" s="66"/>
      <c r="U839" s="66"/>
      <c r="V839" s="66"/>
    </row>
    <row r="840" spans="1:22" s="64" customFormat="1" x14ac:dyDescent="0.25">
      <c r="A840" s="61" t="s">
        <v>1433</v>
      </c>
      <c r="B840" s="511" t="s">
        <v>1517</v>
      </c>
      <c r="C840" s="511"/>
      <c r="D840" s="511"/>
      <c r="E840" s="61" t="s">
        <v>1435</v>
      </c>
      <c r="F840" s="61" t="s">
        <v>54</v>
      </c>
      <c r="G840" s="61" t="s">
        <v>55</v>
      </c>
      <c r="H840" s="61"/>
      <c r="I840" s="61" t="s">
        <v>1366</v>
      </c>
      <c r="J840" s="62">
        <v>225</v>
      </c>
      <c r="K840" s="62">
        <v>250</v>
      </c>
      <c r="L840" s="62">
        <v>250</v>
      </c>
      <c r="M840" s="62">
        <v>320</v>
      </c>
      <c r="N840" s="55" t="s">
        <v>1344</v>
      </c>
      <c r="O840" s="61" t="s">
        <v>52</v>
      </c>
      <c r="P840" s="66"/>
      <c r="Q840" s="66"/>
      <c r="R840" s="66"/>
      <c r="S840" s="66"/>
      <c r="T840" s="66"/>
      <c r="U840" s="66"/>
      <c r="V840" s="66"/>
    </row>
    <row r="841" spans="1:22" s="64" customFormat="1" x14ac:dyDescent="0.25">
      <c r="A841" s="61" t="s">
        <v>1433</v>
      </c>
      <c r="B841" s="511" t="s">
        <v>1517</v>
      </c>
      <c r="C841" s="511"/>
      <c r="D841" s="511"/>
      <c r="E841" s="61" t="s">
        <v>1435</v>
      </c>
      <c r="F841" s="61" t="s">
        <v>389</v>
      </c>
      <c r="G841" s="61" t="s">
        <v>55</v>
      </c>
      <c r="H841" s="61"/>
      <c r="I841" s="61" t="s">
        <v>1366</v>
      </c>
      <c r="J841" s="62">
        <v>225</v>
      </c>
      <c r="K841" s="62">
        <v>250</v>
      </c>
      <c r="L841" s="62">
        <v>250</v>
      </c>
      <c r="M841" s="62">
        <v>320</v>
      </c>
      <c r="N841" s="55" t="s">
        <v>1344</v>
      </c>
      <c r="O841" s="61" t="s">
        <v>52</v>
      </c>
      <c r="P841" s="66"/>
      <c r="Q841" s="66"/>
      <c r="R841" s="66"/>
      <c r="S841" s="66"/>
      <c r="T841" s="66"/>
      <c r="U841" s="66"/>
      <c r="V841" s="66"/>
    </row>
    <row r="842" spans="1:22" s="64" customFormat="1" x14ac:dyDescent="0.25">
      <c r="A842" s="61" t="s">
        <v>1433</v>
      </c>
      <c r="B842" s="511" t="s">
        <v>1518</v>
      </c>
      <c r="C842" s="511"/>
      <c r="D842" s="511"/>
      <c r="E842" s="61" t="s">
        <v>1437</v>
      </c>
      <c r="F842" s="61" t="s">
        <v>54</v>
      </c>
      <c r="G842" s="61" t="s">
        <v>55</v>
      </c>
      <c r="H842" s="61"/>
      <c r="I842" s="61" t="s">
        <v>1366</v>
      </c>
      <c r="J842" s="62">
        <v>90</v>
      </c>
      <c r="K842" s="62">
        <v>100</v>
      </c>
      <c r="L842" s="62">
        <v>100</v>
      </c>
      <c r="M842" s="62">
        <v>130</v>
      </c>
      <c r="N842" s="55" t="s">
        <v>1344</v>
      </c>
      <c r="O842" s="61" t="s">
        <v>52</v>
      </c>
      <c r="P842" s="66"/>
      <c r="Q842" s="66"/>
      <c r="R842" s="66"/>
      <c r="S842" s="66"/>
      <c r="T842" s="66"/>
      <c r="U842" s="66"/>
      <c r="V842" s="66"/>
    </row>
    <row r="843" spans="1:22" s="64" customFormat="1" x14ac:dyDescent="0.25">
      <c r="A843" s="61" t="s">
        <v>1433</v>
      </c>
      <c r="B843" s="511" t="s">
        <v>1518</v>
      </c>
      <c r="C843" s="511"/>
      <c r="D843" s="511"/>
      <c r="E843" s="61" t="s">
        <v>1440</v>
      </c>
      <c r="F843" s="61" t="s">
        <v>389</v>
      </c>
      <c r="G843" s="61" t="s">
        <v>55</v>
      </c>
      <c r="H843" s="61"/>
      <c r="I843" s="61" t="s">
        <v>1366</v>
      </c>
      <c r="J843" s="62">
        <v>90</v>
      </c>
      <c r="K843" s="62">
        <v>100</v>
      </c>
      <c r="L843" s="62">
        <v>100</v>
      </c>
      <c r="M843" s="62">
        <v>130</v>
      </c>
      <c r="N843" s="55" t="s">
        <v>1344</v>
      </c>
      <c r="O843" s="61" t="s">
        <v>52</v>
      </c>
      <c r="P843" s="66"/>
      <c r="Q843" s="66"/>
      <c r="R843" s="66"/>
      <c r="S843" s="66"/>
      <c r="T843" s="66"/>
      <c r="U843" s="66"/>
      <c r="V843" s="66"/>
    </row>
    <row r="844" spans="1:22" s="64" customFormat="1" x14ac:dyDescent="0.25">
      <c r="A844" s="61" t="s">
        <v>1433</v>
      </c>
      <c r="B844" s="511" t="s">
        <v>1518</v>
      </c>
      <c r="C844" s="511"/>
      <c r="D844" s="511"/>
      <c r="E844" s="61" t="s">
        <v>1439</v>
      </c>
      <c r="F844" s="61" t="s">
        <v>389</v>
      </c>
      <c r="G844" s="61" t="s">
        <v>55</v>
      </c>
      <c r="H844" s="61"/>
      <c r="I844" s="61" t="s">
        <v>1366</v>
      </c>
      <c r="J844" s="62">
        <v>90</v>
      </c>
      <c r="K844" s="62">
        <v>100</v>
      </c>
      <c r="L844" s="62">
        <v>100</v>
      </c>
      <c r="M844" s="62">
        <v>130</v>
      </c>
      <c r="N844" s="55" t="s">
        <v>1344</v>
      </c>
      <c r="O844" s="61" t="s">
        <v>52</v>
      </c>
      <c r="P844" s="66"/>
      <c r="Q844" s="66"/>
      <c r="R844" s="66"/>
      <c r="S844" s="66"/>
      <c r="T844" s="66"/>
      <c r="U844" s="66"/>
      <c r="V844" s="66"/>
    </row>
    <row r="845" spans="1:22" s="64" customFormat="1" x14ac:dyDescent="0.25">
      <c r="A845" s="61" t="s">
        <v>1433</v>
      </c>
      <c r="B845" s="511" t="s">
        <v>1518</v>
      </c>
      <c r="C845" s="511"/>
      <c r="D845" s="511"/>
      <c r="E845" s="61" t="s">
        <v>1437</v>
      </c>
      <c r="F845" s="61" t="s">
        <v>389</v>
      </c>
      <c r="G845" s="61" t="s">
        <v>55</v>
      </c>
      <c r="H845" s="61"/>
      <c r="I845" s="61" t="s">
        <v>1366</v>
      </c>
      <c r="J845" s="62">
        <v>90</v>
      </c>
      <c r="K845" s="62">
        <v>100</v>
      </c>
      <c r="L845" s="62">
        <v>100</v>
      </c>
      <c r="M845" s="62">
        <v>130</v>
      </c>
      <c r="N845" s="55" t="s">
        <v>1344</v>
      </c>
      <c r="O845" s="61" t="s">
        <v>52</v>
      </c>
      <c r="P845" s="66"/>
      <c r="Q845" s="66"/>
      <c r="R845" s="66"/>
      <c r="S845" s="66"/>
      <c r="T845" s="66"/>
      <c r="U845" s="66"/>
      <c r="V845" s="66"/>
    </row>
    <row r="846" spans="1:22" s="64" customFormat="1" x14ac:dyDescent="0.25">
      <c r="A846" s="61" t="s">
        <v>1433</v>
      </c>
      <c r="B846" s="511" t="s">
        <v>1519</v>
      </c>
      <c r="C846" s="511"/>
      <c r="D846" s="511"/>
      <c r="E846" s="61" t="s">
        <v>1437</v>
      </c>
      <c r="F846" s="61" t="s">
        <v>54</v>
      </c>
      <c r="G846" s="61" t="s">
        <v>55</v>
      </c>
      <c r="H846" s="61"/>
      <c r="I846" s="61" t="s">
        <v>1366</v>
      </c>
      <c r="J846" s="62">
        <v>90</v>
      </c>
      <c r="K846" s="62">
        <v>100</v>
      </c>
      <c r="L846" s="62">
        <v>100</v>
      </c>
      <c r="M846" s="62">
        <v>130</v>
      </c>
      <c r="N846" s="55" t="s">
        <v>1344</v>
      </c>
      <c r="O846" s="61" t="s">
        <v>52</v>
      </c>
      <c r="P846" s="66"/>
      <c r="Q846" s="66"/>
      <c r="R846" s="66"/>
      <c r="S846" s="66"/>
      <c r="T846" s="66"/>
      <c r="U846" s="66"/>
      <c r="V846" s="66"/>
    </row>
    <row r="847" spans="1:22" s="64" customFormat="1" x14ac:dyDescent="0.25">
      <c r="A847" s="61" t="s">
        <v>1433</v>
      </c>
      <c r="B847" s="511" t="s">
        <v>1519</v>
      </c>
      <c r="C847" s="511"/>
      <c r="D847" s="511"/>
      <c r="E847" s="61" t="s">
        <v>1440</v>
      </c>
      <c r="F847" s="61" t="s">
        <v>389</v>
      </c>
      <c r="G847" s="61" t="s">
        <v>55</v>
      </c>
      <c r="H847" s="61"/>
      <c r="I847" s="61" t="s">
        <v>1366</v>
      </c>
      <c r="J847" s="62">
        <v>90</v>
      </c>
      <c r="K847" s="62">
        <v>100</v>
      </c>
      <c r="L847" s="62">
        <v>100</v>
      </c>
      <c r="M847" s="62">
        <v>130</v>
      </c>
      <c r="N847" s="55" t="s">
        <v>1344</v>
      </c>
      <c r="O847" s="61" t="s">
        <v>52</v>
      </c>
      <c r="P847" s="66"/>
      <c r="Q847" s="66"/>
      <c r="R847" s="66"/>
      <c r="S847" s="66"/>
      <c r="T847" s="66"/>
      <c r="U847" s="66"/>
      <c r="V847" s="66"/>
    </row>
    <row r="848" spans="1:22" s="64" customFormat="1" x14ac:dyDescent="0.25">
      <c r="A848" s="61" t="s">
        <v>1433</v>
      </c>
      <c r="B848" s="511" t="s">
        <v>1519</v>
      </c>
      <c r="C848" s="511"/>
      <c r="D848" s="511"/>
      <c r="E848" s="61" t="s">
        <v>1439</v>
      </c>
      <c r="F848" s="61" t="s">
        <v>389</v>
      </c>
      <c r="G848" s="61" t="s">
        <v>55</v>
      </c>
      <c r="H848" s="61"/>
      <c r="I848" s="61" t="s">
        <v>1366</v>
      </c>
      <c r="J848" s="62">
        <v>90</v>
      </c>
      <c r="K848" s="62">
        <v>100</v>
      </c>
      <c r="L848" s="62">
        <v>100</v>
      </c>
      <c r="M848" s="62">
        <v>130</v>
      </c>
      <c r="N848" s="55" t="s">
        <v>1344</v>
      </c>
      <c r="O848" s="61" t="s">
        <v>52</v>
      </c>
      <c r="P848" s="66"/>
      <c r="Q848" s="66"/>
      <c r="R848" s="66"/>
      <c r="S848" s="66"/>
      <c r="T848" s="66"/>
      <c r="U848" s="66"/>
      <c r="V848" s="66"/>
    </row>
    <row r="849" spans="1:22" s="64" customFormat="1" x14ac:dyDescent="0.25">
      <c r="A849" s="61" t="s">
        <v>1433</v>
      </c>
      <c r="B849" s="511" t="s">
        <v>1519</v>
      </c>
      <c r="C849" s="511"/>
      <c r="D849" s="511"/>
      <c r="E849" s="61" t="s">
        <v>1437</v>
      </c>
      <c r="F849" s="61" t="s">
        <v>389</v>
      </c>
      <c r="G849" s="61" t="s">
        <v>55</v>
      </c>
      <c r="H849" s="61"/>
      <c r="I849" s="61" t="s">
        <v>1366</v>
      </c>
      <c r="J849" s="62">
        <v>90</v>
      </c>
      <c r="K849" s="62">
        <v>100</v>
      </c>
      <c r="L849" s="62">
        <v>100</v>
      </c>
      <c r="M849" s="62">
        <v>130</v>
      </c>
      <c r="N849" s="55" t="s">
        <v>1344</v>
      </c>
      <c r="O849" s="61" t="s">
        <v>52</v>
      </c>
      <c r="P849" s="66"/>
      <c r="Q849" s="66"/>
      <c r="R849" s="66"/>
      <c r="S849" s="66"/>
      <c r="T849" s="66"/>
      <c r="U849" s="66"/>
      <c r="V849" s="66"/>
    </row>
    <row r="850" spans="1:22" s="64" customFormat="1" x14ac:dyDescent="0.25">
      <c r="A850" s="61" t="s">
        <v>1433</v>
      </c>
      <c r="B850" s="511" t="s">
        <v>1520</v>
      </c>
      <c r="C850" s="511"/>
      <c r="D850" s="511"/>
      <c r="E850" s="61" t="s">
        <v>1447</v>
      </c>
      <c r="F850" s="61" t="s">
        <v>56</v>
      </c>
      <c r="G850" s="61" t="s">
        <v>55</v>
      </c>
      <c r="H850" s="61"/>
      <c r="I850" s="61" t="s">
        <v>1366</v>
      </c>
      <c r="J850" s="62">
        <v>620</v>
      </c>
      <c r="K850" s="62">
        <v>740</v>
      </c>
      <c r="L850" s="62">
        <v>740</v>
      </c>
      <c r="M850" s="62"/>
      <c r="N850" s="55" t="s">
        <v>1344</v>
      </c>
      <c r="O850" s="61" t="s">
        <v>52</v>
      </c>
      <c r="P850" s="66"/>
      <c r="Q850" s="66"/>
      <c r="R850" s="66"/>
      <c r="S850" s="66"/>
      <c r="T850" s="66"/>
      <c r="U850" s="66"/>
      <c r="V850" s="66"/>
    </row>
    <row r="851" spans="1:22" s="64" customFormat="1" x14ac:dyDescent="0.25">
      <c r="A851" s="61" t="s">
        <v>1433</v>
      </c>
      <c r="B851" s="511" t="s">
        <v>1521</v>
      </c>
      <c r="C851" s="511"/>
      <c r="D851" s="511"/>
      <c r="E851" s="61" t="s">
        <v>1440</v>
      </c>
      <c r="F851" s="61" t="s">
        <v>56</v>
      </c>
      <c r="G851" s="61" t="s">
        <v>55</v>
      </c>
      <c r="H851" s="61"/>
      <c r="I851" s="61" t="s">
        <v>1366</v>
      </c>
      <c r="J851" s="62">
        <v>405</v>
      </c>
      <c r="K851" s="62">
        <v>515</v>
      </c>
      <c r="L851" s="62">
        <v>515</v>
      </c>
      <c r="M851" s="62"/>
      <c r="N851" s="55" t="s">
        <v>1344</v>
      </c>
      <c r="O851" s="61" t="s">
        <v>52</v>
      </c>
      <c r="P851" s="66"/>
      <c r="Q851" s="66"/>
      <c r="R851" s="66"/>
      <c r="S851" s="66"/>
      <c r="T851" s="66"/>
      <c r="U851" s="66"/>
      <c r="V851" s="66"/>
    </row>
    <row r="852" spans="1:22" s="64" customFormat="1" x14ac:dyDescent="0.25">
      <c r="A852" s="61" t="s">
        <v>1433</v>
      </c>
      <c r="B852" s="511" t="s">
        <v>1521</v>
      </c>
      <c r="C852" s="511"/>
      <c r="D852" s="511"/>
      <c r="E852" s="61" t="s">
        <v>1439</v>
      </c>
      <c r="F852" s="61" t="s">
        <v>56</v>
      </c>
      <c r="G852" s="61" t="s">
        <v>55</v>
      </c>
      <c r="H852" s="61"/>
      <c r="I852" s="61" t="s">
        <v>1366</v>
      </c>
      <c r="J852" s="62">
        <v>425</v>
      </c>
      <c r="K852" s="62">
        <v>490</v>
      </c>
      <c r="L852" s="62">
        <v>490</v>
      </c>
      <c r="M852" s="62"/>
      <c r="N852" s="55" t="s">
        <v>1344</v>
      </c>
      <c r="O852" s="61" t="s">
        <v>52</v>
      </c>
      <c r="P852" s="66"/>
      <c r="Q852" s="66"/>
      <c r="R852" s="66"/>
      <c r="S852" s="66"/>
      <c r="T852" s="66"/>
      <c r="U852" s="66"/>
      <c r="V852" s="66"/>
    </row>
    <row r="853" spans="1:22" s="64" customFormat="1" x14ac:dyDescent="0.25">
      <c r="A853" s="61" t="s">
        <v>1433</v>
      </c>
      <c r="B853" s="511" t="s">
        <v>1521</v>
      </c>
      <c r="C853" s="511"/>
      <c r="D853" s="511"/>
      <c r="E853" s="61" t="s">
        <v>1437</v>
      </c>
      <c r="F853" s="61" t="s">
        <v>56</v>
      </c>
      <c r="G853" s="61" t="s">
        <v>55</v>
      </c>
      <c r="H853" s="61"/>
      <c r="I853" s="61" t="s">
        <v>1366</v>
      </c>
      <c r="J853" s="62">
        <v>400</v>
      </c>
      <c r="K853" s="62">
        <v>475</v>
      </c>
      <c r="L853" s="62">
        <v>475</v>
      </c>
      <c r="M853" s="62"/>
      <c r="N853" s="55" t="s">
        <v>1344</v>
      </c>
      <c r="O853" s="61" t="s">
        <v>52</v>
      </c>
      <c r="P853" s="66"/>
      <c r="Q853" s="66"/>
      <c r="R853" s="66"/>
      <c r="S853" s="66"/>
      <c r="T853" s="66"/>
      <c r="U853" s="66"/>
      <c r="V853" s="66"/>
    </row>
    <row r="854" spans="1:22" s="64" customFormat="1" x14ac:dyDescent="0.25">
      <c r="A854" s="61" t="s">
        <v>1412</v>
      </c>
      <c r="B854" s="511" t="s">
        <v>1438</v>
      </c>
      <c r="C854" s="511"/>
      <c r="D854" s="511"/>
      <c r="E854" s="61" t="s">
        <v>1437</v>
      </c>
      <c r="F854" s="61" t="s">
        <v>54</v>
      </c>
      <c r="G854" s="61" t="s">
        <v>55</v>
      </c>
      <c r="H854" s="61"/>
      <c r="I854" s="61" t="s">
        <v>1366</v>
      </c>
      <c r="J854" s="62">
        <v>90</v>
      </c>
      <c r="K854" s="62">
        <v>100</v>
      </c>
      <c r="L854" s="62">
        <v>100</v>
      </c>
      <c r="M854" s="62">
        <v>130</v>
      </c>
      <c r="N854" s="55" t="s">
        <v>1344</v>
      </c>
      <c r="O854" s="61" t="s">
        <v>52</v>
      </c>
      <c r="P854" s="66"/>
      <c r="Q854" s="66"/>
      <c r="R854" s="66"/>
      <c r="S854" s="66"/>
      <c r="T854" s="66"/>
      <c r="U854" s="66"/>
      <c r="V854" s="66"/>
    </row>
    <row r="855" spans="1:22" s="64" customFormat="1" x14ac:dyDescent="0.25">
      <c r="A855" s="61" t="s">
        <v>1522</v>
      </c>
      <c r="B855" s="511" t="s">
        <v>1523</v>
      </c>
      <c r="C855" s="511"/>
      <c r="D855" s="511"/>
      <c r="E855" s="61" t="s">
        <v>1430</v>
      </c>
      <c r="F855" s="61" t="s">
        <v>54</v>
      </c>
      <c r="G855" s="61" t="s">
        <v>55</v>
      </c>
      <c r="H855" s="61"/>
      <c r="I855" s="61" t="s">
        <v>1366</v>
      </c>
      <c r="J855" s="62">
        <v>900</v>
      </c>
      <c r="K855" s="62">
        <v>1000</v>
      </c>
      <c r="L855" s="62">
        <v>1000</v>
      </c>
      <c r="M855" s="62">
        <v>1270</v>
      </c>
      <c r="N855" s="55" t="s">
        <v>1344</v>
      </c>
      <c r="O855" s="61" t="s">
        <v>52</v>
      </c>
      <c r="P855" s="66"/>
      <c r="Q855" s="66"/>
      <c r="R855" s="66"/>
      <c r="S855" s="66"/>
      <c r="T855" s="66"/>
      <c r="U855" s="66"/>
      <c r="V855" s="66"/>
    </row>
    <row r="856" spans="1:22" s="64" customFormat="1" x14ac:dyDescent="0.25">
      <c r="A856" s="61" t="s">
        <v>1522</v>
      </c>
      <c r="B856" s="511" t="s">
        <v>1524</v>
      </c>
      <c r="C856" s="511"/>
      <c r="D856" s="511"/>
      <c r="E856" s="61" t="s">
        <v>1430</v>
      </c>
      <c r="F856" s="61" t="s">
        <v>54</v>
      </c>
      <c r="G856" s="61" t="s">
        <v>55</v>
      </c>
      <c r="H856" s="61"/>
      <c r="I856" s="61" t="s">
        <v>1366</v>
      </c>
      <c r="J856" s="62">
        <v>765</v>
      </c>
      <c r="K856" s="62">
        <v>850</v>
      </c>
      <c r="L856" s="62">
        <v>850</v>
      </c>
      <c r="M856" s="62">
        <v>1080</v>
      </c>
      <c r="N856" s="55" t="s">
        <v>1344</v>
      </c>
      <c r="O856" s="61" t="s">
        <v>52</v>
      </c>
      <c r="P856" s="66"/>
      <c r="Q856" s="66"/>
      <c r="R856" s="66"/>
      <c r="S856" s="66"/>
      <c r="T856" s="66"/>
      <c r="U856" s="66"/>
      <c r="V856" s="66"/>
    </row>
    <row r="857" spans="1:22" s="64" customFormat="1" x14ac:dyDescent="0.25">
      <c r="A857" s="61" t="s">
        <v>1522</v>
      </c>
      <c r="B857" s="511" t="s">
        <v>1525</v>
      </c>
      <c r="C857" s="511"/>
      <c r="D857" s="511"/>
      <c r="E857" s="61" t="s">
        <v>1430</v>
      </c>
      <c r="F857" s="61" t="s">
        <v>54</v>
      </c>
      <c r="G857" s="61" t="s">
        <v>55</v>
      </c>
      <c r="H857" s="61"/>
      <c r="I857" s="61" t="s">
        <v>1366</v>
      </c>
      <c r="J857" s="62">
        <v>360</v>
      </c>
      <c r="K857" s="62">
        <v>400</v>
      </c>
      <c r="L857" s="62">
        <v>400</v>
      </c>
      <c r="M857" s="62">
        <v>510</v>
      </c>
      <c r="N857" s="55" t="s">
        <v>1344</v>
      </c>
      <c r="O857" s="61" t="s">
        <v>52</v>
      </c>
      <c r="P857" s="66"/>
      <c r="Q857" s="66"/>
      <c r="R857" s="66"/>
      <c r="S857" s="66"/>
      <c r="T857" s="66"/>
      <c r="U857" s="66"/>
      <c r="V857" s="66"/>
    </row>
    <row r="858" spans="1:22" s="64" customFormat="1" x14ac:dyDescent="0.25">
      <c r="A858" s="61" t="s">
        <v>1522</v>
      </c>
      <c r="B858" s="511" t="s">
        <v>1526</v>
      </c>
      <c r="C858" s="511"/>
      <c r="D858" s="511"/>
      <c r="E858" s="61" t="s">
        <v>1430</v>
      </c>
      <c r="F858" s="61" t="s">
        <v>54</v>
      </c>
      <c r="G858" s="61" t="s">
        <v>55</v>
      </c>
      <c r="H858" s="61"/>
      <c r="I858" s="61" t="s">
        <v>1366</v>
      </c>
      <c r="J858" s="62">
        <v>540</v>
      </c>
      <c r="K858" s="62">
        <v>600</v>
      </c>
      <c r="L858" s="62">
        <v>600</v>
      </c>
      <c r="M858" s="62">
        <v>760</v>
      </c>
      <c r="N858" s="55" t="s">
        <v>1344</v>
      </c>
      <c r="O858" s="61" t="s">
        <v>52</v>
      </c>
      <c r="P858" s="66"/>
      <c r="Q858" s="66"/>
      <c r="R858" s="66"/>
      <c r="S858" s="66"/>
      <c r="T858" s="66"/>
      <c r="U858" s="66"/>
      <c r="V858" s="66"/>
    </row>
    <row r="859" spans="1:22" s="64" customFormat="1" x14ac:dyDescent="0.25">
      <c r="A859" s="61" t="s">
        <v>1522</v>
      </c>
      <c r="B859" s="511" t="s">
        <v>1527</v>
      </c>
      <c r="C859" s="511"/>
      <c r="D859" s="511"/>
      <c r="E859" s="61" t="s">
        <v>1430</v>
      </c>
      <c r="F859" s="61" t="s">
        <v>54</v>
      </c>
      <c r="G859" s="61" t="s">
        <v>55</v>
      </c>
      <c r="H859" s="61"/>
      <c r="I859" s="61" t="s">
        <v>1366</v>
      </c>
      <c r="J859" s="62">
        <v>900</v>
      </c>
      <c r="K859" s="62">
        <v>1000</v>
      </c>
      <c r="L859" s="62">
        <v>1000</v>
      </c>
      <c r="M859" s="62">
        <v>1270</v>
      </c>
      <c r="N859" s="55" t="s">
        <v>1344</v>
      </c>
      <c r="O859" s="61" t="s">
        <v>52</v>
      </c>
      <c r="P859" s="66"/>
      <c r="Q859" s="66"/>
      <c r="R859" s="66"/>
      <c r="S859" s="66"/>
      <c r="T859" s="66"/>
      <c r="U859" s="66"/>
      <c r="V859" s="66"/>
    </row>
    <row r="860" spans="1:22" s="64" customFormat="1" x14ac:dyDescent="0.25">
      <c r="A860" s="61" t="s">
        <v>1522</v>
      </c>
      <c r="B860" s="511" t="s">
        <v>1528</v>
      </c>
      <c r="C860" s="511"/>
      <c r="D860" s="511"/>
      <c r="E860" s="61" t="s">
        <v>1430</v>
      </c>
      <c r="F860" s="61" t="s">
        <v>54</v>
      </c>
      <c r="G860" s="61" t="s">
        <v>55</v>
      </c>
      <c r="H860" s="61"/>
      <c r="I860" s="61" t="s">
        <v>1366</v>
      </c>
      <c r="J860" s="62">
        <v>360</v>
      </c>
      <c r="K860" s="62">
        <v>400</v>
      </c>
      <c r="L860" s="62">
        <v>400</v>
      </c>
      <c r="M860" s="62">
        <v>510</v>
      </c>
      <c r="N860" s="55" t="s">
        <v>1344</v>
      </c>
      <c r="O860" s="61" t="s">
        <v>52</v>
      </c>
      <c r="P860" s="66"/>
      <c r="Q860" s="66"/>
      <c r="R860" s="66"/>
      <c r="S860" s="66"/>
      <c r="T860" s="66"/>
      <c r="U860" s="66"/>
      <c r="V860" s="66"/>
    </row>
    <row r="861" spans="1:22" s="64" customFormat="1" x14ac:dyDescent="0.25">
      <c r="A861" s="61" t="s">
        <v>1522</v>
      </c>
      <c r="B861" s="511" t="s">
        <v>1529</v>
      </c>
      <c r="C861" s="511"/>
      <c r="D861" s="511"/>
      <c r="E861" s="61" t="s">
        <v>1430</v>
      </c>
      <c r="F861" s="61" t="s">
        <v>54</v>
      </c>
      <c r="G861" s="61" t="s">
        <v>55</v>
      </c>
      <c r="H861" s="61"/>
      <c r="I861" s="61" t="s">
        <v>1366</v>
      </c>
      <c r="J861" s="62">
        <v>0</v>
      </c>
      <c r="K861" s="62">
        <v>0</v>
      </c>
      <c r="L861" s="62">
        <v>0</v>
      </c>
      <c r="M861" s="62">
        <v>0</v>
      </c>
      <c r="N861" s="55" t="s">
        <v>1344</v>
      </c>
      <c r="O861" s="61" t="s">
        <v>52</v>
      </c>
      <c r="P861" s="66"/>
      <c r="Q861" s="66"/>
      <c r="R861" s="66"/>
      <c r="S861" s="66"/>
      <c r="T861" s="66"/>
      <c r="U861" s="66"/>
      <c r="V861" s="66"/>
    </row>
    <row r="862" spans="1:22" s="64" customFormat="1" x14ac:dyDescent="0.25">
      <c r="A862" s="61" t="s">
        <v>1522</v>
      </c>
      <c r="B862" s="511" t="s">
        <v>1530</v>
      </c>
      <c r="C862" s="511"/>
      <c r="D862" s="511"/>
      <c r="E862" s="61" t="s">
        <v>1430</v>
      </c>
      <c r="F862" s="61" t="s">
        <v>54</v>
      </c>
      <c r="G862" s="61" t="s">
        <v>55</v>
      </c>
      <c r="H862" s="61"/>
      <c r="I862" s="61" t="s">
        <v>1366</v>
      </c>
      <c r="J862" s="62">
        <v>585</v>
      </c>
      <c r="K862" s="62">
        <v>650</v>
      </c>
      <c r="L862" s="62">
        <v>650</v>
      </c>
      <c r="M862" s="62">
        <v>825</v>
      </c>
      <c r="N862" s="55" t="s">
        <v>1344</v>
      </c>
      <c r="O862" s="61" t="s">
        <v>52</v>
      </c>
      <c r="P862" s="66"/>
      <c r="Q862" s="66"/>
      <c r="R862" s="66"/>
      <c r="S862" s="66"/>
      <c r="T862" s="66"/>
      <c r="U862" s="66"/>
      <c r="V862" s="66"/>
    </row>
    <row r="863" spans="1:22" s="64" customFormat="1" x14ac:dyDescent="0.25">
      <c r="A863" s="61" t="s">
        <v>1522</v>
      </c>
      <c r="B863" s="511" t="s">
        <v>1531</v>
      </c>
      <c r="C863" s="511"/>
      <c r="D863" s="511"/>
      <c r="E863" s="61" t="s">
        <v>1430</v>
      </c>
      <c r="F863" s="61" t="s">
        <v>54</v>
      </c>
      <c r="G863" s="61" t="s">
        <v>55</v>
      </c>
      <c r="H863" s="61"/>
      <c r="I863" s="61" t="s">
        <v>1366</v>
      </c>
      <c r="J863" s="62">
        <v>1170</v>
      </c>
      <c r="K863" s="62">
        <v>1300</v>
      </c>
      <c r="L863" s="62">
        <v>1300</v>
      </c>
      <c r="M863" s="62">
        <v>1650</v>
      </c>
      <c r="N863" s="55" t="s">
        <v>1344</v>
      </c>
      <c r="O863" s="61" t="s">
        <v>52</v>
      </c>
      <c r="P863" s="66"/>
      <c r="Q863" s="66"/>
      <c r="R863" s="66"/>
      <c r="S863" s="66"/>
      <c r="T863" s="66"/>
      <c r="U863" s="66"/>
      <c r="V863" s="66"/>
    </row>
    <row r="864" spans="1:22" s="64" customFormat="1" x14ac:dyDescent="0.25">
      <c r="A864" s="61" t="s">
        <v>1522</v>
      </c>
      <c r="B864" s="511" t="s">
        <v>1532</v>
      </c>
      <c r="C864" s="511"/>
      <c r="D864" s="511"/>
      <c r="E864" s="61" t="s">
        <v>1430</v>
      </c>
      <c r="F864" s="61" t="s">
        <v>54</v>
      </c>
      <c r="G864" s="61" t="s">
        <v>55</v>
      </c>
      <c r="H864" s="61"/>
      <c r="I864" s="61" t="s">
        <v>1366</v>
      </c>
      <c r="J864" s="62">
        <v>810</v>
      </c>
      <c r="K864" s="62">
        <v>900</v>
      </c>
      <c r="L864" s="62">
        <v>900</v>
      </c>
      <c r="M864" s="62">
        <v>1145</v>
      </c>
      <c r="N864" s="55" t="s">
        <v>1344</v>
      </c>
      <c r="O864" s="61" t="s">
        <v>52</v>
      </c>
      <c r="P864" s="66"/>
      <c r="Q864" s="66"/>
      <c r="R864" s="66"/>
      <c r="S864" s="66"/>
      <c r="T864" s="66"/>
      <c r="U864" s="66"/>
      <c r="V864" s="66"/>
    </row>
    <row r="865" spans="1:22" s="64" customFormat="1" x14ac:dyDescent="0.25">
      <c r="A865" s="61" t="s">
        <v>1522</v>
      </c>
      <c r="B865" s="511" t="s">
        <v>1533</v>
      </c>
      <c r="C865" s="511"/>
      <c r="D865" s="511"/>
      <c r="E865" s="61" t="s">
        <v>1430</v>
      </c>
      <c r="F865" s="61" t="s">
        <v>54</v>
      </c>
      <c r="G865" s="61" t="s">
        <v>55</v>
      </c>
      <c r="H865" s="61"/>
      <c r="I865" s="61" t="s">
        <v>1366</v>
      </c>
      <c r="J865" s="62">
        <v>945</v>
      </c>
      <c r="K865" s="62">
        <v>1050</v>
      </c>
      <c r="L865" s="62">
        <v>1050</v>
      </c>
      <c r="M865" s="62">
        <v>1330</v>
      </c>
      <c r="N865" s="55" t="s">
        <v>1344</v>
      </c>
      <c r="O865" s="61" t="s">
        <v>52</v>
      </c>
      <c r="P865" s="66"/>
      <c r="Q865" s="66"/>
      <c r="R865" s="66"/>
      <c r="S865" s="66"/>
      <c r="T865" s="66"/>
      <c r="U865" s="66"/>
      <c r="V865" s="66"/>
    </row>
    <row r="866" spans="1:22" s="64" customFormat="1" x14ac:dyDescent="0.25">
      <c r="A866" s="61" t="s">
        <v>1522</v>
      </c>
      <c r="B866" s="511" t="s">
        <v>1534</v>
      </c>
      <c r="C866" s="511"/>
      <c r="D866" s="511"/>
      <c r="E866" s="61" t="s">
        <v>1430</v>
      </c>
      <c r="F866" s="61" t="s">
        <v>54</v>
      </c>
      <c r="G866" s="61" t="s">
        <v>55</v>
      </c>
      <c r="H866" s="61"/>
      <c r="I866" s="61" t="s">
        <v>1366</v>
      </c>
      <c r="J866" s="62">
        <v>450</v>
      </c>
      <c r="K866" s="62">
        <v>500</v>
      </c>
      <c r="L866" s="62">
        <v>500</v>
      </c>
      <c r="M866" s="62">
        <v>635</v>
      </c>
      <c r="N866" s="55" t="s">
        <v>1344</v>
      </c>
      <c r="O866" s="61" t="s">
        <v>52</v>
      </c>
      <c r="P866" s="66"/>
      <c r="Q866" s="66"/>
      <c r="R866" s="66"/>
      <c r="S866" s="66"/>
      <c r="T866" s="66"/>
      <c r="U866" s="66"/>
      <c r="V866" s="66"/>
    </row>
    <row r="867" spans="1:22" s="64" customFormat="1" x14ac:dyDescent="0.25">
      <c r="A867" s="61" t="s">
        <v>1522</v>
      </c>
      <c r="B867" s="511" t="s">
        <v>1535</v>
      </c>
      <c r="C867" s="511"/>
      <c r="D867" s="511"/>
      <c r="E867" s="61" t="s">
        <v>1430</v>
      </c>
      <c r="F867" s="61" t="s">
        <v>54</v>
      </c>
      <c r="G867" s="61" t="s">
        <v>55</v>
      </c>
      <c r="H867" s="61"/>
      <c r="I867" s="61" t="s">
        <v>1366</v>
      </c>
      <c r="J867" s="62">
        <v>675</v>
      </c>
      <c r="K867" s="62">
        <v>750</v>
      </c>
      <c r="L867" s="62">
        <v>750</v>
      </c>
      <c r="M867" s="62">
        <v>955</v>
      </c>
      <c r="N867" s="55" t="s">
        <v>1344</v>
      </c>
      <c r="O867" s="61" t="s">
        <v>52</v>
      </c>
      <c r="P867" s="66"/>
      <c r="Q867" s="66"/>
      <c r="R867" s="66"/>
      <c r="S867" s="66"/>
      <c r="T867" s="66"/>
      <c r="U867" s="66"/>
      <c r="V867" s="66"/>
    </row>
    <row r="868" spans="1:22" s="64" customFormat="1" x14ac:dyDescent="0.25">
      <c r="A868" s="61" t="s">
        <v>1522</v>
      </c>
      <c r="B868" s="511" t="s">
        <v>1536</v>
      </c>
      <c r="C868" s="511"/>
      <c r="D868" s="511"/>
      <c r="E868" s="61" t="s">
        <v>1430</v>
      </c>
      <c r="F868" s="61" t="s">
        <v>54</v>
      </c>
      <c r="G868" s="61" t="s">
        <v>55</v>
      </c>
      <c r="H868" s="61"/>
      <c r="I868" s="61" t="s">
        <v>1366</v>
      </c>
      <c r="J868" s="62">
        <v>360</v>
      </c>
      <c r="K868" s="62">
        <v>400</v>
      </c>
      <c r="L868" s="62">
        <v>400</v>
      </c>
      <c r="M868" s="62">
        <v>510</v>
      </c>
      <c r="N868" s="55" t="s">
        <v>1344</v>
      </c>
      <c r="O868" s="61" t="s">
        <v>52</v>
      </c>
      <c r="P868" s="66"/>
      <c r="Q868" s="66"/>
      <c r="R868" s="66"/>
      <c r="S868" s="66"/>
      <c r="T868" s="66"/>
      <c r="U868" s="66"/>
      <c r="V868" s="66"/>
    </row>
    <row r="869" spans="1:22" s="64" customFormat="1" x14ac:dyDescent="0.25">
      <c r="A869" s="61" t="s">
        <v>1522</v>
      </c>
      <c r="B869" s="511" t="s">
        <v>1537</v>
      </c>
      <c r="C869" s="511"/>
      <c r="D869" s="511"/>
      <c r="E869" s="61" t="s">
        <v>1430</v>
      </c>
      <c r="F869" s="61" t="s">
        <v>54</v>
      </c>
      <c r="G869" s="61" t="s">
        <v>55</v>
      </c>
      <c r="H869" s="61"/>
      <c r="I869" s="61" t="s">
        <v>1366</v>
      </c>
      <c r="J869" s="62">
        <v>585</v>
      </c>
      <c r="K869" s="62">
        <v>650</v>
      </c>
      <c r="L869" s="62">
        <v>650</v>
      </c>
      <c r="M869" s="62">
        <v>825</v>
      </c>
      <c r="N869" s="55" t="s">
        <v>1344</v>
      </c>
      <c r="O869" s="61" t="s">
        <v>52</v>
      </c>
      <c r="P869" s="66"/>
      <c r="Q869" s="66"/>
      <c r="R869" s="66"/>
      <c r="S869" s="66"/>
      <c r="T869" s="66"/>
      <c r="U869" s="66"/>
      <c r="V869" s="66"/>
    </row>
    <row r="870" spans="1:22" s="64" customFormat="1" x14ac:dyDescent="0.25">
      <c r="A870" s="61" t="s">
        <v>1522</v>
      </c>
      <c r="B870" s="511" t="s">
        <v>1538</v>
      </c>
      <c r="C870" s="511"/>
      <c r="D870" s="511"/>
      <c r="E870" s="61" t="s">
        <v>1430</v>
      </c>
      <c r="F870" s="61" t="s">
        <v>54</v>
      </c>
      <c r="G870" s="61" t="s">
        <v>55</v>
      </c>
      <c r="H870" s="61"/>
      <c r="I870" s="61" t="s">
        <v>1366</v>
      </c>
      <c r="J870" s="62">
        <v>855</v>
      </c>
      <c r="K870" s="62">
        <v>950</v>
      </c>
      <c r="L870" s="62">
        <v>950</v>
      </c>
      <c r="M870" s="62">
        <v>1205</v>
      </c>
      <c r="N870" s="55" t="s">
        <v>1344</v>
      </c>
      <c r="O870" s="61" t="s">
        <v>52</v>
      </c>
      <c r="P870" s="66"/>
      <c r="Q870" s="66"/>
      <c r="R870" s="66"/>
      <c r="S870" s="66"/>
      <c r="T870" s="66"/>
      <c r="U870" s="66"/>
      <c r="V870" s="66"/>
    </row>
    <row r="871" spans="1:22" s="64" customFormat="1" x14ac:dyDescent="0.25">
      <c r="A871" s="61" t="s">
        <v>1522</v>
      </c>
      <c r="B871" s="511" t="s">
        <v>1539</v>
      </c>
      <c r="C871" s="511"/>
      <c r="D871" s="511"/>
      <c r="E871" s="61" t="s">
        <v>1430</v>
      </c>
      <c r="F871" s="61" t="s">
        <v>54</v>
      </c>
      <c r="G871" s="61" t="s">
        <v>55</v>
      </c>
      <c r="H871" s="61"/>
      <c r="I871" s="61" t="s">
        <v>1366</v>
      </c>
      <c r="J871" s="62">
        <v>0</v>
      </c>
      <c r="K871" s="62">
        <v>0</v>
      </c>
      <c r="L871" s="62">
        <v>0</v>
      </c>
      <c r="M871" s="62">
        <v>0</v>
      </c>
      <c r="N871" s="55" t="s">
        <v>1344</v>
      </c>
      <c r="O871" s="61" t="s">
        <v>52</v>
      </c>
      <c r="P871" s="66"/>
      <c r="Q871" s="66"/>
      <c r="R871" s="66"/>
      <c r="S871" s="66"/>
      <c r="T871" s="66"/>
      <c r="U871" s="66"/>
      <c r="V871" s="66"/>
    </row>
    <row r="872" spans="1:22" s="64" customFormat="1" x14ac:dyDescent="0.25">
      <c r="A872" s="61" t="s">
        <v>1522</v>
      </c>
      <c r="B872" s="511" t="s">
        <v>1540</v>
      </c>
      <c r="C872" s="511"/>
      <c r="D872" s="511"/>
      <c r="E872" s="61" t="s">
        <v>1430</v>
      </c>
      <c r="F872" s="61" t="s">
        <v>54</v>
      </c>
      <c r="G872" s="61" t="s">
        <v>55</v>
      </c>
      <c r="H872" s="61"/>
      <c r="I872" s="61" t="s">
        <v>1366</v>
      </c>
      <c r="J872" s="62">
        <v>0</v>
      </c>
      <c r="K872" s="62">
        <v>0</v>
      </c>
      <c r="L872" s="62">
        <v>0</v>
      </c>
      <c r="M872" s="62">
        <v>0</v>
      </c>
      <c r="N872" s="55" t="s">
        <v>1344</v>
      </c>
      <c r="O872" s="61" t="s">
        <v>52</v>
      </c>
      <c r="P872" s="66"/>
      <c r="Q872" s="66"/>
      <c r="R872" s="66"/>
      <c r="S872" s="66"/>
      <c r="T872" s="66"/>
      <c r="U872" s="66"/>
      <c r="V872" s="66"/>
    </row>
    <row r="873" spans="1:22" s="64" customFormat="1" x14ac:dyDescent="0.25">
      <c r="A873" s="61" t="s">
        <v>1522</v>
      </c>
      <c r="B873" s="511" t="s">
        <v>1541</v>
      </c>
      <c r="C873" s="511"/>
      <c r="D873" s="511"/>
      <c r="E873" s="61" t="s">
        <v>1430</v>
      </c>
      <c r="F873" s="61" t="s">
        <v>54</v>
      </c>
      <c r="G873" s="61" t="s">
        <v>55</v>
      </c>
      <c r="H873" s="61"/>
      <c r="I873" s="61" t="s">
        <v>1366</v>
      </c>
      <c r="J873" s="62">
        <v>1080</v>
      </c>
      <c r="K873" s="62">
        <v>1200</v>
      </c>
      <c r="L873" s="62">
        <v>1200</v>
      </c>
      <c r="M873" s="62">
        <v>1525</v>
      </c>
      <c r="N873" s="55" t="s">
        <v>1344</v>
      </c>
      <c r="O873" s="61" t="s">
        <v>52</v>
      </c>
      <c r="P873" s="66"/>
      <c r="Q873" s="66"/>
      <c r="R873" s="66"/>
      <c r="S873" s="66"/>
      <c r="T873" s="66"/>
      <c r="U873" s="66"/>
      <c r="V873" s="66"/>
    </row>
    <row r="874" spans="1:22" s="64" customFormat="1" x14ac:dyDescent="0.25">
      <c r="A874" s="61" t="s">
        <v>1550</v>
      </c>
      <c r="B874" s="511" t="s">
        <v>1551</v>
      </c>
      <c r="C874" s="511"/>
      <c r="D874" s="511"/>
      <c r="E874" s="61" t="s">
        <v>1438</v>
      </c>
      <c r="F874" s="61" t="s">
        <v>54</v>
      </c>
      <c r="G874" s="61" t="s">
        <v>55</v>
      </c>
      <c r="H874" s="61"/>
      <c r="I874" s="61" t="s">
        <v>1366</v>
      </c>
      <c r="J874" s="62">
        <v>450</v>
      </c>
      <c r="K874" s="62">
        <v>500</v>
      </c>
      <c r="L874" s="62">
        <v>500</v>
      </c>
      <c r="M874" s="62">
        <v>635</v>
      </c>
      <c r="N874" s="55" t="s">
        <v>1344</v>
      </c>
      <c r="O874" s="61" t="s">
        <v>52</v>
      </c>
      <c r="P874" s="66"/>
      <c r="Q874" s="66"/>
      <c r="R874" s="66"/>
      <c r="S874" s="66"/>
      <c r="T874" s="66"/>
      <c r="U874" s="66"/>
      <c r="V874" s="66"/>
    </row>
    <row r="875" spans="1:22" s="64" customFormat="1" x14ac:dyDescent="0.25">
      <c r="A875" s="61" t="s">
        <v>1552</v>
      </c>
      <c r="B875" s="511" t="s">
        <v>1553</v>
      </c>
      <c r="C875" s="511"/>
      <c r="D875" s="511"/>
      <c r="E875" s="61" t="s">
        <v>1554</v>
      </c>
      <c r="F875" s="61" t="s">
        <v>54</v>
      </c>
      <c r="G875" s="61" t="s">
        <v>55</v>
      </c>
      <c r="H875" s="61"/>
      <c r="I875" s="61" t="s">
        <v>1366</v>
      </c>
      <c r="J875" s="62">
        <v>765</v>
      </c>
      <c r="K875" s="62">
        <v>850</v>
      </c>
      <c r="L875" s="62">
        <v>850</v>
      </c>
      <c r="M875" s="62">
        <v>1080</v>
      </c>
      <c r="N875" s="55" t="s">
        <v>1344</v>
      </c>
      <c r="O875" s="61" t="s">
        <v>52</v>
      </c>
      <c r="P875" s="66"/>
      <c r="Q875" s="66"/>
      <c r="R875" s="66"/>
      <c r="S875" s="66"/>
      <c r="T875" s="66"/>
      <c r="U875" s="66"/>
      <c r="V875" s="66"/>
    </row>
    <row r="876" spans="1:22" s="64" customFormat="1" x14ac:dyDescent="0.25">
      <c r="A876" s="61" t="s">
        <v>1552</v>
      </c>
      <c r="B876" s="511" t="s">
        <v>1555</v>
      </c>
      <c r="C876" s="511"/>
      <c r="D876" s="511"/>
      <c r="E876" s="61" t="s">
        <v>1554</v>
      </c>
      <c r="F876" s="61" t="s">
        <v>54</v>
      </c>
      <c r="G876" s="61" t="s">
        <v>55</v>
      </c>
      <c r="H876" s="61"/>
      <c r="I876" s="61" t="s">
        <v>1366</v>
      </c>
      <c r="J876" s="62">
        <v>315</v>
      </c>
      <c r="K876" s="62">
        <v>350</v>
      </c>
      <c r="L876" s="62">
        <v>350</v>
      </c>
      <c r="M876" s="62">
        <v>445</v>
      </c>
      <c r="N876" s="55" t="s">
        <v>1344</v>
      </c>
      <c r="O876" s="61" t="s">
        <v>52</v>
      </c>
      <c r="P876" s="66"/>
      <c r="Q876" s="66"/>
      <c r="R876" s="66"/>
      <c r="S876" s="66"/>
      <c r="T876" s="66"/>
      <c r="U876" s="66"/>
      <c r="V876" s="66"/>
    </row>
    <row r="877" spans="1:22" s="64" customFormat="1" x14ac:dyDescent="0.25">
      <c r="A877" s="61" t="s">
        <v>1552</v>
      </c>
      <c r="B877" s="511" t="s">
        <v>1556</v>
      </c>
      <c r="C877" s="511"/>
      <c r="D877" s="511"/>
      <c r="E877" s="61" t="s">
        <v>1554</v>
      </c>
      <c r="F877" s="61" t="s">
        <v>54</v>
      </c>
      <c r="G877" s="61" t="s">
        <v>55</v>
      </c>
      <c r="H877" s="61"/>
      <c r="I877" s="61" t="s">
        <v>1366</v>
      </c>
      <c r="J877" s="62">
        <v>180</v>
      </c>
      <c r="K877" s="62">
        <v>200</v>
      </c>
      <c r="L877" s="62">
        <v>200</v>
      </c>
      <c r="M877" s="62">
        <v>255</v>
      </c>
      <c r="N877" s="55" t="s">
        <v>1344</v>
      </c>
      <c r="O877" s="61" t="s">
        <v>52</v>
      </c>
      <c r="P877" s="66"/>
      <c r="Q877" s="66"/>
      <c r="R877" s="66"/>
      <c r="S877" s="66"/>
      <c r="T877" s="66"/>
      <c r="U877" s="66"/>
      <c r="V877" s="66"/>
    </row>
    <row r="878" spans="1:22" s="64" customFormat="1" x14ac:dyDescent="0.25">
      <c r="A878" s="61" t="s">
        <v>1552</v>
      </c>
      <c r="B878" s="511" t="s">
        <v>1557</v>
      </c>
      <c r="C878" s="511"/>
      <c r="D878" s="511"/>
      <c r="E878" s="61" t="s">
        <v>1554</v>
      </c>
      <c r="F878" s="61" t="s">
        <v>54</v>
      </c>
      <c r="G878" s="61" t="s">
        <v>55</v>
      </c>
      <c r="H878" s="61"/>
      <c r="I878" s="61" t="s">
        <v>1366</v>
      </c>
      <c r="J878" s="62">
        <v>180</v>
      </c>
      <c r="K878" s="62">
        <v>200</v>
      </c>
      <c r="L878" s="62">
        <v>200</v>
      </c>
      <c r="M878" s="62">
        <v>255</v>
      </c>
      <c r="N878" s="55" t="s">
        <v>1344</v>
      </c>
      <c r="O878" s="61" t="s">
        <v>52</v>
      </c>
      <c r="P878" s="66"/>
      <c r="Q878" s="66"/>
      <c r="R878" s="66"/>
      <c r="S878" s="66"/>
      <c r="T878" s="66"/>
      <c r="U878" s="66"/>
      <c r="V878" s="66"/>
    </row>
    <row r="879" spans="1:22" s="64" customFormat="1" x14ac:dyDescent="0.25">
      <c r="A879" s="61" t="s">
        <v>1552</v>
      </c>
      <c r="B879" s="511" t="s">
        <v>1557</v>
      </c>
      <c r="C879" s="511"/>
      <c r="D879" s="511"/>
      <c r="E879" s="61" t="s">
        <v>1554</v>
      </c>
      <c r="F879" s="61" t="s">
        <v>56</v>
      </c>
      <c r="G879" s="61" t="s">
        <v>55</v>
      </c>
      <c r="H879" s="61"/>
      <c r="I879" s="61" t="s">
        <v>1366</v>
      </c>
      <c r="J879" s="62">
        <v>180</v>
      </c>
      <c r="K879" s="62">
        <v>345</v>
      </c>
      <c r="L879" s="62">
        <v>345</v>
      </c>
      <c r="M879" s="62">
        <v>345</v>
      </c>
      <c r="N879" s="55" t="s">
        <v>1344</v>
      </c>
      <c r="O879" s="61" t="s">
        <v>52</v>
      </c>
      <c r="P879" s="66"/>
      <c r="Q879" s="66"/>
      <c r="R879" s="66"/>
      <c r="S879" s="66"/>
      <c r="T879" s="66"/>
      <c r="U879" s="66"/>
      <c r="V879" s="66"/>
    </row>
    <row r="880" spans="1:22" s="64" customFormat="1" x14ac:dyDescent="0.25">
      <c r="A880" s="61" t="s">
        <v>1558</v>
      </c>
      <c r="B880" s="511" t="s">
        <v>1559</v>
      </c>
      <c r="C880" s="511"/>
      <c r="D880" s="511"/>
      <c r="E880" s="61" t="s">
        <v>1430</v>
      </c>
      <c r="F880" s="61" t="s">
        <v>54</v>
      </c>
      <c r="G880" s="61" t="s">
        <v>55</v>
      </c>
      <c r="H880" s="61"/>
      <c r="I880" s="61" t="s">
        <v>1366</v>
      </c>
      <c r="J880" s="62">
        <v>540</v>
      </c>
      <c r="K880" s="62">
        <v>600</v>
      </c>
      <c r="L880" s="62">
        <v>600</v>
      </c>
      <c r="M880" s="62">
        <v>760</v>
      </c>
      <c r="N880" s="55" t="s">
        <v>1344</v>
      </c>
      <c r="O880" s="61" t="s">
        <v>52</v>
      </c>
      <c r="P880" s="66"/>
      <c r="Q880" s="66"/>
      <c r="R880" s="66"/>
      <c r="S880" s="66"/>
      <c r="T880" s="66"/>
      <c r="U880" s="66"/>
      <c r="V880" s="66"/>
    </row>
    <row r="881" spans="1:22" s="64" customFormat="1" x14ac:dyDescent="0.25">
      <c r="A881" s="61" t="s">
        <v>1560</v>
      </c>
      <c r="B881" s="511" t="s">
        <v>1562</v>
      </c>
      <c r="C881" s="511"/>
      <c r="D881" s="511"/>
      <c r="E881" s="61" t="s">
        <v>1430</v>
      </c>
      <c r="F881" s="61" t="s">
        <v>54</v>
      </c>
      <c r="G881" s="61" t="s">
        <v>55</v>
      </c>
      <c r="H881" s="61"/>
      <c r="I881" s="61" t="s">
        <v>1366</v>
      </c>
      <c r="J881" s="62">
        <v>450</v>
      </c>
      <c r="K881" s="62">
        <v>500</v>
      </c>
      <c r="L881" s="62">
        <v>500</v>
      </c>
      <c r="M881" s="62">
        <v>635</v>
      </c>
      <c r="N881" s="55" t="s">
        <v>1344</v>
      </c>
      <c r="O881" s="61" t="s">
        <v>52</v>
      </c>
      <c r="P881" s="66"/>
      <c r="Q881" s="66"/>
      <c r="R881" s="66"/>
      <c r="S881" s="66"/>
      <c r="T881" s="66"/>
      <c r="U881" s="66"/>
      <c r="V881" s="66"/>
    </row>
    <row r="882" spans="1:22" s="64" customFormat="1" x14ac:dyDescent="0.25">
      <c r="A882" s="61" t="s">
        <v>1560</v>
      </c>
      <c r="B882" s="511" t="s">
        <v>1563</v>
      </c>
      <c r="C882" s="511"/>
      <c r="D882" s="511"/>
      <c r="E882" s="61" t="s">
        <v>1430</v>
      </c>
      <c r="F882" s="61" t="s">
        <v>54</v>
      </c>
      <c r="G882" s="61" t="s">
        <v>55</v>
      </c>
      <c r="H882" s="61"/>
      <c r="I882" s="61" t="s">
        <v>1366</v>
      </c>
      <c r="J882" s="62">
        <v>315</v>
      </c>
      <c r="K882" s="62">
        <v>350</v>
      </c>
      <c r="L882" s="62">
        <v>350</v>
      </c>
      <c r="M882" s="62">
        <v>445</v>
      </c>
      <c r="N882" s="55" t="s">
        <v>1344</v>
      </c>
      <c r="O882" s="61" t="s">
        <v>52</v>
      </c>
      <c r="P882" s="66"/>
      <c r="Q882" s="66"/>
      <c r="R882" s="66"/>
      <c r="S882" s="66"/>
      <c r="T882" s="66"/>
      <c r="U882" s="66"/>
      <c r="V882" s="66"/>
    </row>
    <row r="883" spans="1:22" s="64" customFormat="1" x14ac:dyDescent="0.25">
      <c r="A883" s="61" t="s">
        <v>1560</v>
      </c>
      <c r="B883" s="511" t="s">
        <v>1564</v>
      </c>
      <c r="C883" s="511"/>
      <c r="D883" s="511"/>
      <c r="E883" s="61" t="s">
        <v>1430</v>
      </c>
      <c r="F883" s="61" t="s">
        <v>54</v>
      </c>
      <c r="G883" s="61" t="s">
        <v>55</v>
      </c>
      <c r="H883" s="61"/>
      <c r="I883" s="61" t="s">
        <v>1366</v>
      </c>
      <c r="J883" s="62">
        <v>810</v>
      </c>
      <c r="K883" s="62">
        <v>900</v>
      </c>
      <c r="L883" s="62">
        <v>900</v>
      </c>
      <c r="M883" s="62">
        <v>1145</v>
      </c>
      <c r="N883" s="55" t="s">
        <v>1344</v>
      </c>
      <c r="O883" s="61" t="s">
        <v>52</v>
      </c>
      <c r="P883" s="66"/>
      <c r="Q883" s="66"/>
      <c r="R883" s="66"/>
      <c r="S883" s="66"/>
      <c r="T883" s="66"/>
      <c r="U883" s="66"/>
      <c r="V883" s="66"/>
    </row>
    <row r="884" spans="1:22" s="64" customFormat="1" x14ac:dyDescent="0.25">
      <c r="A884" s="61" t="s">
        <v>1560</v>
      </c>
      <c r="B884" s="511" t="s">
        <v>1565</v>
      </c>
      <c r="C884" s="511"/>
      <c r="D884" s="511"/>
      <c r="E884" s="61" t="s">
        <v>1430</v>
      </c>
      <c r="F884" s="61" t="s">
        <v>54</v>
      </c>
      <c r="G884" s="61" t="s">
        <v>55</v>
      </c>
      <c r="H884" s="61"/>
      <c r="I884" s="61" t="s">
        <v>1366</v>
      </c>
      <c r="J884" s="62">
        <v>855</v>
      </c>
      <c r="K884" s="62">
        <v>950</v>
      </c>
      <c r="L884" s="62">
        <v>950</v>
      </c>
      <c r="M884" s="62">
        <v>1205</v>
      </c>
      <c r="N884" s="55" t="s">
        <v>1344</v>
      </c>
      <c r="O884" s="61" t="s">
        <v>52</v>
      </c>
      <c r="P884" s="66"/>
      <c r="Q884" s="66"/>
      <c r="R884" s="66"/>
      <c r="S884" s="66"/>
      <c r="T884" s="66"/>
      <c r="U884" s="66"/>
      <c r="V884" s="66"/>
    </row>
    <row r="885" spans="1:22" s="64" customFormat="1" x14ac:dyDescent="0.25">
      <c r="A885" s="61" t="s">
        <v>1560</v>
      </c>
      <c r="B885" s="511" t="s">
        <v>1566</v>
      </c>
      <c r="C885" s="511"/>
      <c r="D885" s="511"/>
      <c r="E885" s="61" t="s">
        <v>1430</v>
      </c>
      <c r="F885" s="61" t="s">
        <v>54</v>
      </c>
      <c r="G885" s="61" t="s">
        <v>55</v>
      </c>
      <c r="H885" s="61"/>
      <c r="I885" s="61" t="s">
        <v>1366</v>
      </c>
      <c r="J885" s="62">
        <v>360</v>
      </c>
      <c r="K885" s="62">
        <v>400</v>
      </c>
      <c r="L885" s="62">
        <v>400</v>
      </c>
      <c r="M885" s="62">
        <v>510</v>
      </c>
      <c r="N885" s="55" t="s">
        <v>1344</v>
      </c>
      <c r="O885" s="61" t="s">
        <v>52</v>
      </c>
      <c r="P885" s="66"/>
      <c r="Q885" s="66"/>
      <c r="R885" s="66"/>
      <c r="S885" s="66"/>
      <c r="T885" s="66"/>
      <c r="U885" s="66"/>
      <c r="V885" s="66"/>
    </row>
    <row r="886" spans="1:22" s="64" customFormat="1" x14ac:dyDescent="0.25">
      <c r="A886" s="61" t="s">
        <v>1560</v>
      </c>
      <c r="B886" s="511" t="s">
        <v>1567</v>
      </c>
      <c r="C886" s="511"/>
      <c r="D886" s="511"/>
      <c r="E886" s="61" t="s">
        <v>1430</v>
      </c>
      <c r="F886" s="61" t="s">
        <v>54</v>
      </c>
      <c r="G886" s="61" t="s">
        <v>55</v>
      </c>
      <c r="H886" s="61"/>
      <c r="I886" s="61" t="s">
        <v>1366</v>
      </c>
      <c r="J886" s="62">
        <v>495</v>
      </c>
      <c r="K886" s="62">
        <v>550</v>
      </c>
      <c r="L886" s="62">
        <v>550</v>
      </c>
      <c r="M886" s="62">
        <v>700</v>
      </c>
      <c r="N886" s="55" t="s">
        <v>1344</v>
      </c>
      <c r="O886" s="61" t="s">
        <v>52</v>
      </c>
      <c r="P886" s="66"/>
      <c r="Q886" s="66"/>
      <c r="R886" s="66"/>
      <c r="S886" s="66"/>
      <c r="T886" s="66"/>
      <c r="U886" s="66"/>
      <c r="V886" s="66"/>
    </row>
    <row r="887" spans="1:22" s="64" customFormat="1" x14ac:dyDescent="0.25">
      <c r="A887" s="61" t="s">
        <v>1568</v>
      </c>
      <c r="B887" s="511" t="s">
        <v>1569</v>
      </c>
      <c r="C887" s="511"/>
      <c r="D887" s="511"/>
      <c r="E887" s="61" t="s">
        <v>1570</v>
      </c>
      <c r="F887" s="61" t="s">
        <v>54</v>
      </c>
      <c r="G887" s="61" t="s">
        <v>55</v>
      </c>
      <c r="H887" s="61"/>
      <c r="I887" s="61" t="s">
        <v>1366</v>
      </c>
      <c r="J887" s="62">
        <v>180</v>
      </c>
      <c r="K887" s="62">
        <v>200</v>
      </c>
      <c r="L887" s="62">
        <v>200</v>
      </c>
      <c r="M887" s="62">
        <v>255</v>
      </c>
      <c r="N887" s="55" t="s">
        <v>1344</v>
      </c>
      <c r="O887" s="61" t="s">
        <v>52</v>
      </c>
      <c r="P887" s="66"/>
      <c r="Q887" s="66"/>
      <c r="R887" s="66"/>
      <c r="S887" s="66"/>
      <c r="T887" s="66"/>
      <c r="U887" s="66"/>
      <c r="V887" s="66"/>
    </row>
    <row r="888" spans="1:22" s="64" customFormat="1" x14ac:dyDescent="0.25">
      <c r="A888" s="61" t="s">
        <v>1568</v>
      </c>
      <c r="B888" s="511" t="s">
        <v>1571</v>
      </c>
      <c r="C888" s="511"/>
      <c r="D888" s="511"/>
      <c r="E888" s="61" t="s">
        <v>1570</v>
      </c>
      <c r="F888" s="61" t="s">
        <v>54</v>
      </c>
      <c r="G888" s="61" t="s">
        <v>55</v>
      </c>
      <c r="H888" s="61"/>
      <c r="I888" s="61" t="s">
        <v>1366</v>
      </c>
      <c r="J888" s="62">
        <v>270</v>
      </c>
      <c r="K888" s="62">
        <v>300</v>
      </c>
      <c r="L888" s="62">
        <v>300</v>
      </c>
      <c r="M888" s="62">
        <v>380</v>
      </c>
      <c r="N888" s="55" t="s">
        <v>1344</v>
      </c>
      <c r="O888" s="61" t="s">
        <v>52</v>
      </c>
      <c r="P888" s="66"/>
      <c r="Q888" s="66"/>
      <c r="R888" s="66"/>
      <c r="S888" s="66"/>
      <c r="T888" s="66"/>
      <c r="U888" s="66"/>
      <c r="V888" s="66"/>
    </row>
    <row r="889" spans="1:22" s="64" customFormat="1" x14ac:dyDescent="0.25">
      <c r="A889" s="61" t="s">
        <v>1572</v>
      </c>
      <c r="B889" s="511" t="s">
        <v>1573</v>
      </c>
      <c r="C889" s="511"/>
      <c r="D889" s="511"/>
      <c r="E889" s="61" t="s">
        <v>1574</v>
      </c>
      <c r="F889" s="61" t="s">
        <v>481</v>
      </c>
      <c r="G889" s="61" t="s">
        <v>55</v>
      </c>
      <c r="H889" s="61"/>
      <c r="I889" s="61" t="s">
        <v>1366</v>
      </c>
      <c r="J889" s="62">
        <v>0</v>
      </c>
      <c r="K889" s="62">
        <v>0</v>
      </c>
      <c r="L889" s="62">
        <v>0</v>
      </c>
      <c r="M889" s="62">
        <v>0</v>
      </c>
      <c r="N889" s="55" t="s">
        <v>1344</v>
      </c>
      <c r="O889" s="61" t="s">
        <v>52</v>
      </c>
      <c r="P889" s="66"/>
      <c r="Q889" s="66"/>
      <c r="R889" s="66"/>
      <c r="S889" s="66"/>
      <c r="T889" s="66"/>
      <c r="U889" s="66"/>
      <c r="V889" s="66"/>
    </row>
    <row r="890" spans="1:22" s="64" customFormat="1" x14ac:dyDescent="0.25">
      <c r="A890" s="61" t="s">
        <v>1572</v>
      </c>
      <c r="B890" s="511" t="s">
        <v>1575</v>
      </c>
      <c r="C890" s="511"/>
      <c r="D890" s="511"/>
      <c r="E890" s="61" t="s">
        <v>1573</v>
      </c>
      <c r="F890" s="61" t="s">
        <v>54</v>
      </c>
      <c r="G890" s="61" t="s">
        <v>55</v>
      </c>
      <c r="H890" s="61"/>
      <c r="I890" s="61" t="s">
        <v>1366</v>
      </c>
      <c r="J890" s="62">
        <v>90</v>
      </c>
      <c r="K890" s="62">
        <v>100</v>
      </c>
      <c r="L890" s="62">
        <v>100</v>
      </c>
      <c r="M890" s="62">
        <v>130</v>
      </c>
      <c r="N890" s="55" t="s">
        <v>1344</v>
      </c>
      <c r="O890" s="61" t="s">
        <v>52</v>
      </c>
      <c r="P890" s="66"/>
      <c r="Q890" s="66"/>
      <c r="R890" s="66"/>
      <c r="S890" s="66"/>
      <c r="T890" s="66"/>
      <c r="U890" s="66"/>
      <c r="V890" s="66"/>
    </row>
    <row r="891" spans="1:22" s="64" customFormat="1" x14ac:dyDescent="0.25">
      <c r="A891" s="61" t="s">
        <v>1572</v>
      </c>
      <c r="B891" s="511" t="s">
        <v>1575</v>
      </c>
      <c r="C891" s="511"/>
      <c r="D891" s="511"/>
      <c r="E891" s="61" t="s">
        <v>1573</v>
      </c>
      <c r="F891" s="61" t="s">
        <v>481</v>
      </c>
      <c r="G891" s="61" t="s">
        <v>55</v>
      </c>
      <c r="H891" s="61"/>
      <c r="I891" s="61" t="s">
        <v>1366</v>
      </c>
      <c r="J891" s="62">
        <v>90</v>
      </c>
      <c r="K891" s="62">
        <v>100</v>
      </c>
      <c r="L891" s="62">
        <v>100</v>
      </c>
      <c r="M891" s="62">
        <v>130</v>
      </c>
      <c r="N891" s="55" t="s">
        <v>1344</v>
      </c>
      <c r="O891" s="61" t="s">
        <v>52</v>
      </c>
      <c r="P891" s="66"/>
      <c r="Q891" s="66"/>
      <c r="R891" s="66"/>
      <c r="S891" s="66"/>
      <c r="T891" s="66"/>
      <c r="U891" s="66"/>
      <c r="V891" s="66"/>
    </row>
    <row r="892" spans="1:22" s="64" customFormat="1" x14ac:dyDescent="0.25">
      <c r="A892" s="61" t="s">
        <v>1572</v>
      </c>
      <c r="B892" s="511" t="s">
        <v>1575</v>
      </c>
      <c r="C892" s="511"/>
      <c r="D892" s="511"/>
      <c r="E892" s="61" t="s">
        <v>1574</v>
      </c>
      <c r="F892" s="61" t="s">
        <v>481</v>
      </c>
      <c r="G892" s="61" t="s">
        <v>55</v>
      </c>
      <c r="H892" s="61"/>
      <c r="I892" s="61" t="s">
        <v>1366</v>
      </c>
      <c r="J892" s="62">
        <v>90</v>
      </c>
      <c r="K892" s="62">
        <v>100</v>
      </c>
      <c r="L892" s="62">
        <v>100</v>
      </c>
      <c r="M892" s="62">
        <v>130</v>
      </c>
      <c r="N892" s="55" t="s">
        <v>1344</v>
      </c>
      <c r="O892" s="61" t="s">
        <v>52</v>
      </c>
      <c r="P892" s="66"/>
      <c r="Q892" s="66"/>
      <c r="R892" s="66"/>
      <c r="S892" s="66"/>
      <c r="T892" s="66"/>
      <c r="U892" s="66"/>
      <c r="V892" s="66"/>
    </row>
    <row r="893" spans="1:22" s="64" customFormat="1" x14ac:dyDescent="0.25">
      <c r="A893" s="61" t="s">
        <v>1572</v>
      </c>
      <c r="B893" s="511" t="s">
        <v>1576</v>
      </c>
      <c r="C893" s="511"/>
      <c r="D893" s="511"/>
      <c r="E893" s="61" t="s">
        <v>1573</v>
      </c>
      <c r="F893" s="61" t="s">
        <v>54</v>
      </c>
      <c r="G893" s="61" t="s">
        <v>55</v>
      </c>
      <c r="H893" s="61"/>
      <c r="I893" s="61" t="s">
        <v>1366</v>
      </c>
      <c r="J893" s="62">
        <v>135</v>
      </c>
      <c r="K893" s="62">
        <v>150</v>
      </c>
      <c r="L893" s="62">
        <v>150</v>
      </c>
      <c r="M893" s="62">
        <v>190</v>
      </c>
      <c r="N893" s="55" t="s">
        <v>1344</v>
      </c>
      <c r="O893" s="61" t="s">
        <v>52</v>
      </c>
      <c r="P893" s="66"/>
      <c r="Q893" s="66"/>
      <c r="R893" s="66"/>
      <c r="S893" s="66"/>
      <c r="T893" s="66"/>
      <c r="U893" s="66"/>
      <c r="V893" s="66"/>
    </row>
    <row r="894" spans="1:22" s="64" customFormat="1" x14ac:dyDescent="0.25">
      <c r="A894" s="61" t="s">
        <v>1572</v>
      </c>
      <c r="B894" s="511" t="s">
        <v>1576</v>
      </c>
      <c r="C894" s="511"/>
      <c r="D894" s="511"/>
      <c r="E894" s="61" t="s">
        <v>1573</v>
      </c>
      <c r="F894" s="61" t="s">
        <v>481</v>
      </c>
      <c r="G894" s="61" t="s">
        <v>55</v>
      </c>
      <c r="H894" s="61"/>
      <c r="I894" s="61" t="s">
        <v>1366</v>
      </c>
      <c r="J894" s="62">
        <v>135</v>
      </c>
      <c r="K894" s="62">
        <v>150</v>
      </c>
      <c r="L894" s="62">
        <v>150</v>
      </c>
      <c r="M894" s="62">
        <v>190</v>
      </c>
      <c r="N894" s="55" t="s">
        <v>1344</v>
      </c>
      <c r="O894" s="61" t="s">
        <v>52</v>
      </c>
      <c r="P894" s="66"/>
      <c r="Q894" s="66"/>
      <c r="R894" s="66"/>
      <c r="S894" s="66"/>
      <c r="T894" s="66"/>
      <c r="U894" s="66"/>
      <c r="V894" s="66"/>
    </row>
    <row r="895" spans="1:22" s="64" customFormat="1" x14ac:dyDescent="0.25">
      <c r="A895" s="61" t="s">
        <v>1572</v>
      </c>
      <c r="B895" s="511" t="s">
        <v>1576</v>
      </c>
      <c r="C895" s="511"/>
      <c r="D895" s="511"/>
      <c r="E895" s="61" t="s">
        <v>1574</v>
      </c>
      <c r="F895" s="61" t="s">
        <v>481</v>
      </c>
      <c r="G895" s="61" t="s">
        <v>55</v>
      </c>
      <c r="H895" s="61"/>
      <c r="I895" s="61" t="s">
        <v>1366</v>
      </c>
      <c r="J895" s="62">
        <v>135</v>
      </c>
      <c r="K895" s="62">
        <v>150</v>
      </c>
      <c r="L895" s="62">
        <v>150</v>
      </c>
      <c r="M895" s="62">
        <v>190</v>
      </c>
      <c r="N895" s="55" t="s">
        <v>1344</v>
      </c>
      <c r="O895" s="61" t="s">
        <v>52</v>
      </c>
      <c r="P895" s="66"/>
      <c r="Q895" s="66"/>
      <c r="R895" s="66"/>
      <c r="S895" s="66"/>
      <c r="T895" s="66"/>
      <c r="U895" s="66"/>
      <c r="V895" s="66"/>
    </row>
    <row r="896" spans="1:22" s="64" customFormat="1" x14ac:dyDescent="0.25">
      <c r="A896" s="61" t="s">
        <v>1572</v>
      </c>
      <c r="B896" s="511" t="s">
        <v>1577</v>
      </c>
      <c r="C896" s="511"/>
      <c r="D896" s="511"/>
      <c r="E896" s="61" t="s">
        <v>1573</v>
      </c>
      <c r="F896" s="61" t="s">
        <v>481</v>
      </c>
      <c r="G896" s="61" t="s">
        <v>55</v>
      </c>
      <c r="H896" s="61"/>
      <c r="I896" s="61" t="s">
        <v>1366</v>
      </c>
      <c r="J896" s="62">
        <v>90</v>
      </c>
      <c r="K896" s="62">
        <v>100</v>
      </c>
      <c r="L896" s="62">
        <v>100</v>
      </c>
      <c r="M896" s="62">
        <v>130</v>
      </c>
      <c r="N896" s="55" t="s">
        <v>1344</v>
      </c>
      <c r="O896" s="61" t="s">
        <v>52</v>
      </c>
      <c r="P896" s="66"/>
      <c r="Q896" s="66"/>
      <c r="R896" s="66"/>
      <c r="S896" s="66"/>
      <c r="T896" s="66"/>
      <c r="U896" s="66"/>
      <c r="V896" s="66"/>
    </row>
    <row r="897" spans="1:22" s="64" customFormat="1" x14ac:dyDescent="0.25">
      <c r="A897" s="61" t="s">
        <v>1572</v>
      </c>
      <c r="B897" s="511" t="s">
        <v>1577</v>
      </c>
      <c r="C897" s="511"/>
      <c r="D897" s="511"/>
      <c r="E897" s="61" t="s">
        <v>1574</v>
      </c>
      <c r="F897" s="61" t="s">
        <v>481</v>
      </c>
      <c r="G897" s="61" t="s">
        <v>55</v>
      </c>
      <c r="H897" s="61"/>
      <c r="I897" s="61" t="s">
        <v>1366</v>
      </c>
      <c r="J897" s="62">
        <v>90</v>
      </c>
      <c r="K897" s="62">
        <v>100</v>
      </c>
      <c r="L897" s="62">
        <v>100</v>
      </c>
      <c r="M897" s="62">
        <v>130</v>
      </c>
      <c r="N897" s="55" t="s">
        <v>1344</v>
      </c>
      <c r="O897" s="61" t="s">
        <v>52</v>
      </c>
      <c r="P897" s="66"/>
      <c r="Q897" s="66"/>
      <c r="R897" s="66"/>
      <c r="S897" s="66"/>
      <c r="T897" s="66"/>
      <c r="U897" s="66"/>
      <c r="V897" s="66"/>
    </row>
    <row r="898" spans="1:22" s="64" customFormat="1" x14ac:dyDescent="0.25">
      <c r="A898" s="61" t="s">
        <v>1578</v>
      </c>
      <c r="B898" s="511" t="s">
        <v>1579</v>
      </c>
      <c r="C898" s="511"/>
      <c r="D898" s="511"/>
      <c r="E898" s="61" t="s">
        <v>1580</v>
      </c>
      <c r="F898" s="61" t="s">
        <v>389</v>
      </c>
      <c r="G898" s="61" t="s">
        <v>55</v>
      </c>
      <c r="H898" s="61"/>
      <c r="I898" s="61" t="s">
        <v>1366</v>
      </c>
      <c r="J898" s="62">
        <v>180</v>
      </c>
      <c r="K898" s="62">
        <v>200</v>
      </c>
      <c r="L898" s="62">
        <v>200</v>
      </c>
      <c r="M898" s="62">
        <v>255</v>
      </c>
      <c r="N898" s="55" t="s">
        <v>1344</v>
      </c>
      <c r="O898" s="61" t="s">
        <v>52</v>
      </c>
      <c r="P898" s="66"/>
      <c r="Q898" s="66"/>
      <c r="R898" s="66"/>
      <c r="S898" s="66"/>
      <c r="T898" s="66"/>
      <c r="U898" s="66"/>
      <c r="V898" s="66"/>
    </row>
    <row r="899" spans="1:22" s="64" customFormat="1" x14ac:dyDescent="0.25">
      <c r="A899" s="61" t="s">
        <v>1578</v>
      </c>
      <c r="B899" s="511" t="s">
        <v>1579</v>
      </c>
      <c r="C899" s="511"/>
      <c r="D899" s="511"/>
      <c r="E899" s="61" t="s">
        <v>1580</v>
      </c>
      <c r="F899" s="61" t="s">
        <v>481</v>
      </c>
      <c r="G899" s="61" t="s">
        <v>55</v>
      </c>
      <c r="H899" s="61"/>
      <c r="I899" s="61" t="s">
        <v>1366</v>
      </c>
      <c r="J899" s="62">
        <v>180</v>
      </c>
      <c r="K899" s="62">
        <v>200</v>
      </c>
      <c r="L899" s="62">
        <v>200</v>
      </c>
      <c r="M899" s="62">
        <v>255</v>
      </c>
      <c r="N899" s="55" t="s">
        <v>1344</v>
      </c>
      <c r="O899" s="61" t="s">
        <v>52</v>
      </c>
      <c r="P899" s="66"/>
      <c r="Q899" s="66"/>
      <c r="R899" s="66"/>
      <c r="S899" s="66"/>
      <c r="T899" s="66"/>
      <c r="U899" s="66"/>
      <c r="V899" s="66"/>
    </row>
    <row r="900" spans="1:22" s="64" customFormat="1" x14ac:dyDescent="0.25">
      <c r="A900" s="61" t="s">
        <v>1578</v>
      </c>
      <c r="B900" s="511" t="s">
        <v>1416</v>
      </c>
      <c r="C900" s="511"/>
      <c r="D900" s="511"/>
      <c r="E900" s="61" t="s">
        <v>1580</v>
      </c>
      <c r="F900" s="61" t="s">
        <v>481</v>
      </c>
      <c r="G900" s="61" t="s">
        <v>55</v>
      </c>
      <c r="H900" s="61"/>
      <c r="I900" s="61" t="s">
        <v>1366</v>
      </c>
      <c r="J900" s="62">
        <v>180</v>
      </c>
      <c r="K900" s="62">
        <v>200</v>
      </c>
      <c r="L900" s="62">
        <v>200</v>
      </c>
      <c r="M900" s="62">
        <v>255</v>
      </c>
      <c r="N900" s="55" t="s">
        <v>1344</v>
      </c>
      <c r="O900" s="61" t="s">
        <v>52</v>
      </c>
      <c r="P900" s="66"/>
      <c r="Q900" s="66"/>
      <c r="R900" s="66"/>
      <c r="S900" s="66"/>
      <c r="T900" s="66"/>
      <c r="U900" s="66"/>
      <c r="V900" s="66"/>
    </row>
    <row r="901" spans="1:22" s="64" customFormat="1" x14ac:dyDescent="0.25">
      <c r="A901" s="61" t="s">
        <v>1578</v>
      </c>
      <c r="B901" s="511" t="s">
        <v>1416</v>
      </c>
      <c r="C901" s="511"/>
      <c r="D901" s="511"/>
      <c r="E901" s="61" t="s">
        <v>1580</v>
      </c>
      <c r="F901" s="61" t="s">
        <v>58</v>
      </c>
      <c r="G901" s="61" t="s">
        <v>55</v>
      </c>
      <c r="H901" s="61"/>
      <c r="I901" s="61" t="s">
        <v>1366</v>
      </c>
      <c r="J901" s="62">
        <v>180</v>
      </c>
      <c r="K901" s="62">
        <v>200</v>
      </c>
      <c r="L901" s="62">
        <v>200</v>
      </c>
      <c r="M901" s="62">
        <v>255</v>
      </c>
      <c r="N901" s="55" t="s">
        <v>1344</v>
      </c>
      <c r="O901" s="61" t="s">
        <v>52</v>
      </c>
      <c r="P901" s="66"/>
      <c r="Q901" s="66"/>
      <c r="R901" s="66"/>
      <c r="S901" s="66"/>
      <c r="T901" s="66"/>
      <c r="U901" s="66"/>
      <c r="V901" s="66"/>
    </row>
    <row r="902" spans="1:22" s="64" customFormat="1" x14ac:dyDescent="0.25">
      <c r="A902" s="61" t="s">
        <v>1578</v>
      </c>
      <c r="B902" s="511" t="s">
        <v>1581</v>
      </c>
      <c r="C902" s="511"/>
      <c r="D902" s="511"/>
      <c r="E902" s="61" t="s">
        <v>1430</v>
      </c>
      <c r="F902" s="61" t="s">
        <v>54</v>
      </c>
      <c r="G902" s="61" t="s">
        <v>55</v>
      </c>
      <c r="H902" s="61"/>
      <c r="I902" s="61" t="s">
        <v>1366</v>
      </c>
      <c r="J902" s="62">
        <v>585</v>
      </c>
      <c r="K902" s="62">
        <v>650</v>
      </c>
      <c r="L902" s="62">
        <v>650</v>
      </c>
      <c r="M902" s="62">
        <v>825</v>
      </c>
      <c r="N902" s="55" t="s">
        <v>1344</v>
      </c>
      <c r="O902" s="61" t="s">
        <v>52</v>
      </c>
      <c r="P902" s="66"/>
      <c r="Q902" s="66"/>
      <c r="R902" s="66"/>
      <c r="S902" s="66"/>
      <c r="T902" s="66"/>
      <c r="U902" s="66"/>
      <c r="V902" s="66"/>
    </row>
    <row r="903" spans="1:22" s="64" customFormat="1" x14ac:dyDescent="0.25">
      <c r="A903" s="61" t="s">
        <v>1582</v>
      </c>
      <c r="B903" s="511" t="s">
        <v>1583</v>
      </c>
      <c r="C903" s="511"/>
      <c r="D903" s="511"/>
      <c r="E903" s="61" t="s">
        <v>1430</v>
      </c>
      <c r="F903" s="61" t="s">
        <v>54</v>
      </c>
      <c r="G903" s="61" t="s">
        <v>55</v>
      </c>
      <c r="H903" s="61"/>
      <c r="I903" s="61" t="s">
        <v>1366</v>
      </c>
      <c r="J903" s="62">
        <v>540</v>
      </c>
      <c r="K903" s="62">
        <v>600</v>
      </c>
      <c r="L903" s="62">
        <v>600</v>
      </c>
      <c r="M903" s="62">
        <v>760</v>
      </c>
      <c r="N903" s="55" t="s">
        <v>1344</v>
      </c>
      <c r="O903" s="61" t="s">
        <v>52</v>
      </c>
      <c r="P903" s="66"/>
      <c r="Q903" s="66"/>
      <c r="R903" s="66"/>
      <c r="S903" s="66"/>
      <c r="T903" s="66"/>
      <c r="U903" s="66"/>
      <c r="V903" s="66"/>
    </row>
    <row r="904" spans="1:22" s="64" customFormat="1" x14ac:dyDescent="0.25">
      <c r="A904" s="61" t="s">
        <v>1582</v>
      </c>
      <c r="B904" s="511" t="s">
        <v>1584</v>
      </c>
      <c r="C904" s="511"/>
      <c r="D904" s="511"/>
      <c r="E904" s="61" t="s">
        <v>1439</v>
      </c>
      <c r="F904" s="61" t="s">
        <v>54</v>
      </c>
      <c r="G904" s="61" t="s">
        <v>55</v>
      </c>
      <c r="H904" s="61"/>
      <c r="I904" s="61" t="s">
        <v>1366</v>
      </c>
      <c r="J904" s="62">
        <v>180</v>
      </c>
      <c r="K904" s="62">
        <v>200</v>
      </c>
      <c r="L904" s="62">
        <v>200</v>
      </c>
      <c r="M904" s="62">
        <v>255</v>
      </c>
      <c r="N904" s="55" t="s">
        <v>1344</v>
      </c>
      <c r="O904" s="61" t="s">
        <v>52</v>
      </c>
      <c r="P904" s="66"/>
      <c r="Q904" s="66"/>
      <c r="R904" s="66"/>
      <c r="S904" s="66"/>
      <c r="T904" s="66"/>
      <c r="U904" s="66"/>
      <c r="V904" s="66"/>
    </row>
    <row r="905" spans="1:22" s="64" customFormat="1" x14ac:dyDescent="0.25">
      <c r="A905" s="61" t="s">
        <v>1582</v>
      </c>
      <c r="B905" s="511" t="s">
        <v>1585</v>
      </c>
      <c r="C905" s="511"/>
      <c r="D905" s="511"/>
      <c r="E905" s="61" t="s">
        <v>1431</v>
      </c>
      <c r="F905" s="61" t="s">
        <v>389</v>
      </c>
      <c r="G905" s="61" t="s">
        <v>55</v>
      </c>
      <c r="H905" s="61"/>
      <c r="I905" s="61" t="s">
        <v>1366</v>
      </c>
      <c r="J905" s="62">
        <v>10</v>
      </c>
      <c r="K905" s="62">
        <v>10</v>
      </c>
      <c r="L905" s="62">
        <v>10</v>
      </c>
      <c r="M905" s="62">
        <v>15</v>
      </c>
      <c r="N905" s="55" t="s">
        <v>1344</v>
      </c>
      <c r="O905" s="61" t="s">
        <v>52</v>
      </c>
      <c r="P905" s="66"/>
      <c r="Q905" s="66"/>
      <c r="R905" s="66"/>
      <c r="S905" s="66"/>
      <c r="T905" s="66"/>
      <c r="U905" s="66"/>
      <c r="V905" s="66"/>
    </row>
    <row r="906" spans="1:22" s="64" customFormat="1" x14ac:dyDescent="0.25">
      <c r="A906" s="61" t="s">
        <v>1582</v>
      </c>
      <c r="B906" s="511" t="s">
        <v>1586</v>
      </c>
      <c r="C906" s="511"/>
      <c r="D906" s="511"/>
      <c r="E906" s="61" t="s">
        <v>1430</v>
      </c>
      <c r="F906" s="61" t="s">
        <v>54</v>
      </c>
      <c r="G906" s="61" t="s">
        <v>55</v>
      </c>
      <c r="H906" s="61"/>
      <c r="I906" s="61" t="s">
        <v>1366</v>
      </c>
      <c r="J906" s="62">
        <v>540</v>
      </c>
      <c r="K906" s="62">
        <v>600</v>
      </c>
      <c r="L906" s="62">
        <v>600</v>
      </c>
      <c r="M906" s="62">
        <v>760</v>
      </c>
      <c r="N906" s="55" t="s">
        <v>1344</v>
      </c>
      <c r="O906" s="61" t="s">
        <v>52</v>
      </c>
      <c r="P906" s="66"/>
      <c r="Q906" s="66"/>
      <c r="R906" s="66"/>
      <c r="S906" s="66"/>
      <c r="T906" s="66"/>
      <c r="U906" s="66"/>
      <c r="V906" s="66"/>
    </row>
    <row r="907" spans="1:22" s="64" customFormat="1" x14ac:dyDescent="0.25">
      <c r="A907" s="61" t="s">
        <v>1428</v>
      </c>
      <c r="B907" s="511" t="s">
        <v>1429</v>
      </c>
      <c r="C907" s="511"/>
      <c r="D907" s="511"/>
      <c r="E907" s="61" t="s">
        <v>1430</v>
      </c>
      <c r="F907" s="61" t="s">
        <v>54</v>
      </c>
      <c r="G907" s="61" t="s">
        <v>55</v>
      </c>
      <c r="H907" s="61"/>
      <c r="I907" s="61" t="s">
        <v>1366</v>
      </c>
      <c r="J907" s="62">
        <v>405</v>
      </c>
      <c r="K907" s="62">
        <v>450</v>
      </c>
      <c r="L907" s="62">
        <v>450</v>
      </c>
      <c r="M907" s="62">
        <v>570</v>
      </c>
      <c r="N907" s="55" t="s">
        <v>1345</v>
      </c>
      <c r="O907" s="61" t="s">
        <v>52</v>
      </c>
      <c r="P907" s="66"/>
      <c r="Q907" s="66"/>
      <c r="R907" s="66"/>
      <c r="S907" s="66"/>
      <c r="T907" s="66"/>
      <c r="U907" s="66"/>
      <c r="V907" s="66"/>
    </row>
    <row r="908" spans="1:22" s="64" customFormat="1" x14ac:dyDescent="0.25">
      <c r="A908" s="61" t="s">
        <v>1428</v>
      </c>
      <c r="B908" s="511" t="s">
        <v>1429</v>
      </c>
      <c r="C908" s="511"/>
      <c r="D908" s="511"/>
      <c r="E908" s="61" t="s">
        <v>1431</v>
      </c>
      <c r="F908" s="61" t="s">
        <v>389</v>
      </c>
      <c r="G908" s="61" t="s">
        <v>55</v>
      </c>
      <c r="H908" s="61"/>
      <c r="I908" s="61" t="s">
        <v>1366</v>
      </c>
      <c r="J908" s="62">
        <v>405</v>
      </c>
      <c r="K908" s="62">
        <v>450</v>
      </c>
      <c r="L908" s="62">
        <v>450</v>
      </c>
      <c r="M908" s="62">
        <v>570</v>
      </c>
      <c r="N908" s="55" t="s">
        <v>1345</v>
      </c>
      <c r="O908" s="61" t="s">
        <v>52</v>
      </c>
      <c r="P908" s="66"/>
      <c r="Q908" s="66"/>
      <c r="R908" s="66"/>
      <c r="S908" s="66"/>
      <c r="T908" s="66"/>
      <c r="U908" s="66"/>
      <c r="V908" s="66"/>
    </row>
    <row r="909" spans="1:22" s="64" customFormat="1" x14ac:dyDescent="0.25">
      <c r="A909" s="61" t="s">
        <v>1428</v>
      </c>
      <c r="B909" s="511" t="s">
        <v>1432</v>
      </c>
      <c r="C909" s="511"/>
      <c r="D909" s="511"/>
      <c r="E909" s="61" t="s">
        <v>1430</v>
      </c>
      <c r="F909" s="61" t="s">
        <v>54</v>
      </c>
      <c r="G909" s="61" t="s">
        <v>55</v>
      </c>
      <c r="H909" s="61"/>
      <c r="I909" s="61" t="s">
        <v>1366</v>
      </c>
      <c r="J909" s="62">
        <v>495</v>
      </c>
      <c r="K909" s="62">
        <v>550</v>
      </c>
      <c r="L909" s="62">
        <v>550</v>
      </c>
      <c r="M909" s="62">
        <v>700</v>
      </c>
      <c r="N909" s="55" t="s">
        <v>1345</v>
      </c>
      <c r="O909" s="61" t="s">
        <v>52</v>
      </c>
      <c r="P909" s="66"/>
      <c r="Q909" s="66"/>
      <c r="R909" s="66"/>
      <c r="S909" s="66"/>
      <c r="T909" s="66"/>
      <c r="U909" s="66"/>
      <c r="V909" s="66"/>
    </row>
    <row r="910" spans="1:22" s="64" customFormat="1" x14ac:dyDescent="0.25">
      <c r="A910" s="61" t="s">
        <v>1433</v>
      </c>
      <c r="B910" s="511" t="s">
        <v>1434</v>
      </c>
      <c r="C910" s="511"/>
      <c r="D910" s="511"/>
      <c r="E910" s="61" t="s">
        <v>1435</v>
      </c>
      <c r="F910" s="61" t="s">
        <v>54</v>
      </c>
      <c r="G910" s="61" t="s">
        <v>55</v>
      </c>
      <c r="H910" s="61"/>
      <c r="I910" s="61" t="s">
        <v>1366</v>
      </c>
      <c r="J910" s="62">
        <v>225</v>
      </c>
      <c r="K910" s="62">
        <v>250</v>
      </c>
      <c r="L910" s="62">
        <v>250</v>
      </c>
      <c r="M910" s="62">
        <v>320</v>
      </c>
      <c r="N910" s="55" t="s">
        <v>1345</v>
      </c>
      <c r="O910" s="61" t="s">
        <v>52</v>
      </c>
      <c r="P910" s="66"/>
      <c r="Q910" s="66"/>
      <c r="R910" s="66"/>
      <c r="S910" s="66"/>
      <c r="T910" s="66"/>
      <c r="U910" s="66"/>
      <c r="V910" s="66"/>
    </row>
    <row r="911" spans="1:22" s="64" customFormat="1" x14ac:dyDescent="0.25">
      <c r="A911" s="61" t="s">
        <v>1433</v>
      </c>
      <c r="B911" s="511" t="s">
        <v>1434</v>
      </c>
      <c r="C911" s="511"/>
      <c r="D911" s="511"/>
      <c r="E911" s="61" t="s">
        <v>1435</v>
      </c>
      <c r="F911" s="61" t="s">
        <v>389</v>
      </c>
      <c r="G911" s="61" t="s">
        <v>55</v>
      </c>
      <c r="H911" s="61"/>
      <c r="I911" s="61" t="s">
        <v>1366</v>
      </c>
      <c r="J911" s="62">
        <v>225</v>
      </c>
      <c r="K911" s="62">
        <v>250</v>
      </c>
      <c r="L911" s="62">
        <v>250</v>
      </c>
      <c r="M911" s="62">
        <v>320</v>
      </c>
      <c r="N911" s="55" t="s">
        <v>1345</v>
      </c>
      <c r="O911" s="61" t="s">
        <v>52</v>
      </c>
      <c r="P911" s="66"/>
      <c r="Q911" s="66"/>
      <c r="R911" s="66"/>
      <c r="S911" s="66"/>
      <c r="T911" s="66"/>
      <c r="U911" s="66"/>
      <c r="V911" s="66"/>
    </row>
    <row r="912" spans="1:22" s="64" customFormat="1" x14ac:dyDescent="0.25">
      <c r="A912" s="61" t="s">
        <v>1433</v>
      </c>
      <c r="B912" s="511" t="s">
        <v>1436</v>
      </c>
      <c r="C912" s="511"/>
      <c r="D912" s="511"/>
      <c r="E912" s="61" t="s">
        <v>1437</v>
      </c>
      <c r="F912" s="61" t="s">
        <v>54</v>
      </c>
      <c r="G912" s="61" t="s">
        <v>55</v>
      </c>
      <c r="H912" s="61"/>
      <c r="I912" s="61" t="s">
        <v>1366</v>
      </c>
      <c r="J912" s="62">
        <v>405</v>
      </c>
      <c r="K912" s="62">
        <v>450</v>
      </c>
      <c r="L912" s="62">
        <v>450</v>
      </c>
      <c r="M912" s="62">
        <v>570</v>
      </c>
      <c r="N912" s="55" t="s">
        <v>1345</v>
      </c>
      <c r="O912" s="61" t="s">
        <v>52</v>
      </c>
      <c r="P912" s="66"/>
      <c r="Q912" s="66"/>
      <c r="R912" s="66"/>
      <c r="S912" s="66"/>
      <c r="T912" s="66"/>
      <c r="U912" s="66"/>
      <c r="V912" s="66"/>
    </row>
    <row r="913" spans="1:22" s="64" customFormat="1" x14ac:dyDescent="0.25">
      <c r="A913" s="61" t="s">
        <v>1433</v>
      </c>
      <c r="B913" s="511" t="s">
        <v>1436</v>
      </c>
      <c r="C913" s="511"/>
      <c r="D913" s="511"/>
      <c r="E913" s="61" t="s">
        <v>1438</v>
      </c>
      <c r="F913" s="61" t="s">
        <v>389</v>
      </c>
      <c r="G913" s="61" t="s">
        <v>55</v>
      </c>
      <c r="H913" s="61"/>
      <c r="I913" s="61" t="s">
        <v>1366</v>
      </c>
      <c r="J913" s="62">
        <v>405</v>
      </c>
      <c r="K913" s="62">
        <v>450</v>
      </c>
      <c r="L913" s="62">
        <v>450</v>
      </c>
      <c r="M913" s="62">
        <v>570</v>
      </c>
      <c r="N913" s="55" t="s">
        <v>1345</v>
      </c>
      <c r="O913" s="61" t="s">
        <v>52</v>
      </c>
      <c r="P913" s="66"/>
      <c r="Q913" s="66"/>
      <c r="R913" s="66"/>
      <c r="S913" s="66"/>
      <c r="T913" s="66"/>
      <c r="U913" s="66"/>
      <c r="V913" s="66"/>
    </row>
    <row r="914" spans="1:22" s="64" customFormat="1" x14ac:dyDescent="0.25">
      <c r="A914" s="61" t="s">
        <v>1433</v>
      </c>
      <c r="B914" s="511" t="s">
        <v>1436</v>
      </c>
      <c r="C914" s="511"/>
      <c r="D914" s="511"/>
      <c r="E914" s="61" t="s">
        <v>1439</v>
      </c>
      <c r="F914" s="61" t="s">
        <v>389</v>
      </c>
      <c r="G914" s="61" t="s">
        <v>55</v>
      </c>
      <c r="H914" s="61"/>
      <c r="I914" s="61" t="s">
        <v>1366</v>
      </c>
      <c r="J914" s="62">
        <v>405</v>
      </c>
      <c r="K914" s="62">
        <v>450</v>
      </c>
      <c r="L914" s="62">
        <v>450</v>
      </c>
      <c r="M914" s="62">
        <v>570</v>
      </c>
      <c r="N914" s="55" t="s">
        <v>1345</v>
      </c>
      <c r="O914" s="61" t="s">
        <v>52</v>
      </c>
      <c r="P914" s="66"/>
      <c r="Q914" s="66"/>
      <c r="R914" s="66"/>
      <c r="S914" s="66"/>
      <c r="T914" s="66"/>
      <c r="U914" s="66"/>
      <c r="V914" s="66"/>
    </row>
    <row r="915" spans="1:22" s="64" customFormat="1" x14ac:dyDescent="0.25">
      <c r="A915" s="61" t="s">
        <v>1433</v>
      </c>
      <c r="B915" s="511" t="s">
        <v>1436</v>
      </c>
      <c r="C915" s="511"/>
      <c r="D915" s="511"/>
      <c r="E915" s="61" t="s">
        <v>1437</v>
      </c>
      <c r="F915" s="61" t="s">
        <v>389</v>
      </c>
      <c r="G915" s="61" t="s">
        <v>55</v>
      </c>
      <c r="H915" s="61"/>
      <c r="I915" s="61" t="s">
        <v>1366</v>
      </c>
      <c r="J915" s="62">
        <v>405</v>
      </c>
      <c r="K915" s="62">
        <v>450</v>
      </c>
      <c r="L915" s="62">
        <v>450</v>
      </c>
      <c r="M915" s="62">
        <v>570</v>
      </c>
      <c r="N915" s="55" t="s">
        <v>1345</v>
      </c>
      <c r="O915" s="61" t="s">
        <v>52</v>
      </c>
      <c r="P915" s="66"/>
      <c r="Q915" s="66"/>
      <c r="R915" s="66"/>
      <c r="S915" s="66"/>
      <c r="T915" s="66"/>
      <c r="U915" s="66"/>
      <c r="V915" s="66"/>
    </row>
    <row r="916" spans="1:22" s="64" customFormat="1" x14ac:dyDescent="0.25">
      <c r="A916" s="61" t="s">
        <v>1433</v>
      </c>
      <c r="B916" s="511" t="s">
        <v>1441</v>
      </c>
      <c r="C916" s="511"/>
      <c r="D916" s="511"/>
      <c r="E916" s="61" t="s">
        <v>1435</v>
      </c>
      <c r="F916" s="61" t="s">
        <v>54</v>
      </c>
      <c r="G916" s="61" t="s">
        <v>55</v>
      </c>
      <c r="H916" s="61"/>
      <c r="I916" s="61" t="s">
        <v>1366</v>
      </c>
      <c r="J916" s="62">
        <v>450</v>
      </c>
      <c r="K916" s="62">
        <v>500</v>
      </c>
      <c r="L916" s="62">
        <v>500</v>
      </c>
      <c r="M916" s="62">
        <v>635</v>
      </c>
      <c r="N916" s="55" t="s">
        <v>1345</v>
      </c>
      <c r="O916" s="61" t="s">
        <v>52</v>
      </c>
      <c r="P916" s="66"/>
      <c r="Q916" s="66"/>
      <c r="R916" s="66"/>
      <c r="S916" s="66"/>
      <c r="T916" s="66"/>
      <c r="U916" s="66"/>
      <c r="V916" s="66"/>
    </row>
    <row r="917" spans="1:22" s="64" customFormat="1" x14ac:dyDescent="0.25">
      <c r="A917" s="61" t="s">
        <v>1433</v>
      </c>
      <c r="B917" s="511" t="s">
        <v>1441</v>
      </c>
      <c r="C917" s="511"/>
      <c r="D917" s="511"/>
      <c r="E917" s="61" t="s">
        <v>1435</v>
      </c>
      <c r="F917" s="61" t="s">
        <v>389</v>
      </c>
      <c r="G917" s="61" t="s">
        <v>55</v>
      </c>
      <c r="H917" s="61"/>
      <c r="I917" s="61" t="s">
        <v>1366</v>
      </c>
      <c r="J917" s="62">
        <v>450</v>
      </c>
      <c r="K917" s="62">
        <v>500</v>
      </c>
      <c r="L917" s="62">
        <v>500</v>
      </c>
      <c r="M917" s="62">
        <v>635</v>
      </c>
      <c r="N917" s="55" t="s">
        <v>1345</v>
      </c>
      <c r="O917" s="61" t="s">
        <v>52</v>
      </c>
      <c r="P917" s="66"/>
      <c r="Q917" s="66"/>
      <c r="R917" s="66"/>
      <c r="S917" s="66"/>
      <c r="T917" s="66"/>
      <c r="U917" s="66"/>
      <c r="V917" s="66"/>
    </row>
    <row r="918" spans="1:22" s="64" customFormat="1" x14ac:dyDescent="0.25">
      <c r="A918" s="61" t="s">
        <v>1433</v>
      </c>
      <c r="B918" s="511" t="s">
        <v>1441</v>
      </c>
      <c r="C918" s="511"/>
      <c r="D918" s="511"/>
      <c r="E918" s="61" t="s">
        <v>1439</v>
      </c>
      <c r="F918" s="61" t="s">
        <v>56</v>
      </c>
      <c r="G918" s="61" t="s">
        <v>55</v>
      </c>
      <c r="H918" s="61"/>
      <c r="I918" s="61" t="s">
        <v>1366</v>
      </c>
      <c r="J918" s="62">
        <v>465</v>
      </c>
      <c r="K918" s="62">
        <v>590</v>
      </c>
      <c r="L918" s="62">
        <v>590</v>
      </c>
      <c r="M918" s="62"/>
      <c r="N918" s="55" t="s">
        <v>1345</v>
      </c>
      <c r="O918" s="61" t="s">
        <v>52</v>
      </c>
      <c r="P918" s="66"/>
      <c r="Q918" s="66"/>
      <c r="R918" s="66"/>
      <c r="S918" s="66"/>
      <c r="T918" s="66"/>
      <c r="U918" s="66"/>
      <c r="V918" s="66"/>
    </row>
    <row r="919" spans="1:22" s="64" customFormat="1" x14ac:dyDescent="0.25">
      <c r="A919" s="61" t="s">
        <v>1433</v>
      </c>
      <c r="B919" s="511" t="s">
        <v>1441</v>
      </c>
      <c r="C919" s="511"/>
      <c r="D919" s="511"/>
      <c r="E919" s="61" t="s">
        <v>1437</v>
      </c>
      <c r="F919" s="61" t="s">
        <v>56</v>
      </c>
      <c r="G919" s="61" t="s">
        <v>55</v>
      </c>
      <c r="H919" s="61"/>
      <c r="I919" s="61" t="s">
        <v>1366</v>
      </c>
      <c r="J919" s="62">
        <v>385</v>
      </c>
      <c r="K919" s="62">
        <v>575</v>
      </c>
      <c r="L919" s="62">
        <v>575</v>
      </c>
      <c r="M919" s="62"/>
      <c r="N919" s="55" t="s">
        <v>1345</v>
      </c>
      <c r="O919" s="61" t="s">
        <v>52</v>
      </c>
      <c r="P919" s="66"/>
      <c r="Q919" s="66"/>
      <c r="R919" s="66"/>
      <c r="S919" s="66"/>
      <c r="T919" s="66"/>
      <c r="U919" s="66"/>
      <c r="V919" s="66"/>
    </row>
    <row r="920" spans="1:22" s="64" customFormat="1" x14ac:dyDescent="0.25">
      <c r="A920" s="61" t="s">
        <v>1433</v>
      </c>
      <c r="B920" s="511" t="s">
        <v>1442</v>
      </c>
      <c r="C920" s="511"/>
      <c r="D920" s="511"/>
      <c r="E920" s="61" t="s">
        <v>1435</v>
      </c>
      <c r="F920" s="61" t="s">
        <v>54</v>
      </c>
      <c r="G920" s="61" t="s">
        <v>55</v>
      </c>
      <c r="H920" s="61"/>
      <c r="I920" s="61" t="s">
        <v>1366</v>
      </c>
      <c r="J920" s="62">
        <v>225</v>
      </c>
      <c r="K920" s="62">
        <v>250</v>
      </c>
      <c r="L920" s="62">
        <v>250</v>
      </c>
      <c r="M920" s="62">
        <v>320</v>
      </c>
      <c r="N920" s="55" t="s">
        <v>1345</v>
      </c>
      <c r="O920" s="61" t="s">
        <v>52</v>
      </c>
      <c r="P920" s="66"/>
      <c r="Q920" s="66"/>
      <c r="R920" s="66"/>
      <c r="S920" s="66"/>
      <c r="T920" s="66"/>
      <c r="U920" s="66"/>
      <c r="V920" s="66"/>
    </row>
    <row r="921" spans="1:22" s="64" customFormat="1" x14ac:dyDescent="0.25">
      <c r="A921" s="61" t="s">
        <v>1433</v>
      </c>
      <c r="B921" s="511" t="s">
        <v>1442</v>
      </c>
      <c r="C921" s="511"/>
      <c r="D921" s="511"/>
      <c r="E921" s="61" t="s">
        <v>1435</v>
      </c>
      <c r="F921" s="61" t="s">
        <v>389</v>
      </c>
      <c r="G921" s="61" t="s">
        <v>55</v>
      </c>
      <c r="H921" s="61"/>
      <c r="I921" s="61" t="s">
        <v>1366</v>
      </c>
      <c r="J921" s="62">
        <v>225</v>
      </c>
      <c r="K921" s="62">
        <v>250</v>
      </c>
      <c r="L921" s="62">
        <v>250</v>
      </c>
      <c r="M921" s="62">
        <v>320</v>
      </c>
      <c r="N921" s="55" t="s">
        <v>1345</v>
      </c>
      <c r="O921" s="61" t="s">
        <v>52</v>
      </c>
      <c r="P921" s="66"/>
      <c r="Q921" s="66"/>
      <c r="R921" s="66"/>
      <c r="S921" s="66"/>
      <c r="T921" s="66"/>
      <c r="U921" s="66"/>
      <c r="V921" s="66"/>
    </row>
    <row r="922" spans="1:22" s="64" customFormat="1" x14ac:dyDescent="0.25">
      <c r="A922" s="61" t="s">
        <v>1433</v>
      </c>
      <c r="B922" s="511" t="s">
        <v>1443</v>
      </c>
      <c r="C922" s="511"/>
      <c r="D922" s="511"/>
      <c r="E922" s="61" t="s">
        <v>1435</v>
      </c>
      <c r="F922" s="61" t="s">
        <v>54</v>
      </c>
      <c r="G922" s="61" t="s">
        <v>55</v>
      </c>
      <c r="H922" s="61"/>
      <c r="I922" s="61" t="s">
        <v>1366</v>
      </c>
      <c r="J922" s="62">
        <v>225</v>
      </c>
      <c r="K922" s="62">
        <v>250</v>
      </c>
      <c r="L922" s="62">
        <v>250</v>
      </c>
      <c r="M922" s="62">
        <v>320</v>
      </c>
      <c r="N922" s="55" t="s">
        <v>1345</v>
      </c>
      <c r="O922" s="61" t="s">
        <v>52</v>
      </c>
      <c r="P922" s="66"/>
      <c r="Q922" s="66"/>
      <c r="R922" s="66"/>
      <c r="S922" s="66"/>
      <c r="T922" s="66"/>
      <c r="U922" s="66"/>
      <c r="V922" s="66"/>
    </row>
    <row r="923" spans="1:22" s="64" customFormat="1" x14ac:dyDescent="0.25">
      <c r="A923" s="61" t="s">
        <v>1433</v>
      </c>
      <c r="B923" s="511" t="s">
        <v>1443</v>
      </c>
      <c r="C923" s="511"/>
      <c r="D923" s="511"/>
      <c r="E923" s="61" t="s">
        <v>1435</v>
      </c>
      <c r="F923" s="61" t="s">
        <v>389</v>
      </c>
      <c r="G923" s="61" t="s">
        <v>55</v>
      </c>
      <c r="H923" s="61"/>
      <c r="I923" s="61" t="s">
        <v>1366</v>
      </c>
      <c r="J923" s="62">
        <v>225</v>
      </c>
      <c r="K923" s="62">
        <v>250</v>
      </c>
      <c r="L923" s="62">
        <v>250</v>
      </c>
      <c r="M923" s="62">
        <v>320</v>
      </c>
      <c r="N923" s="55" t="s">
        <v>1345</v>
      </c>
      <c r="O923" s="61" t="s">
        <v>52</v>
      </c>
      <c r="P923" s="66"/>
      <c r="Q923" s="66"/>
      <c r="R923" s="66"/>
      <c r="S923" s="66"/>
      <c r="T923" s="66"/>
      <c r="U923" s="66"/>
      <c r="V923" s="66"/>
    </row>
    <row r="924" spans="1:22" s="64" customFormat="1" x14ac:dyDescent="0.25">
      <c r="A924" s="61" t="s">
        <v>1433</v>
      </c>
      <c r="B924" s="511" t="s">
        <v>1443</v>
      </c>
      <c r="C924" s="511"/>
      <c r="D924" s="511"/>
      <c r="E924" s="61" t="s">
        <v>1435</v>
      </c>
      <c r="F924" s="61" t="s">
        <v>56</v>
      </c>
      <c r="G924" s="61" t="s">
        <v>55</v>
      </c>
      <c r="H924" s="61"/>
      <c r="I924" s="61" t="s">
        <v>1366</v>
      </c>
      <c r="J924" s="62">
        <v>450</v>
      </c>
      <c r="K924" s="62">
        <v>620</v>
      </c>
      <c r="L924" s="62">
        <v>620</v>
      </c>
      <c r="M924" s="62">
        <v>360</v>
      </c>
      <c r="N924" s="55" t="s">
        <v>1345</v>
      </c>
      <c r="O924" s="61" t="s">
        <v>52</v>
      </c>
      <c r="P924" s="66"/>
      <c r="Q924" s="66"/>
      <c r="R924" s="66"/>
      <c r="S924" s="66"/>
      <c r="T924" s="66"/>
      <c r="U924" s="66"/>
      <c r="V924" s="66"/>
    </row>
    <row r="925" spans="1:22" s="64" customFormat="1" x14ac:dyDescent="0.25">
      <c r="A925" s="61" t="s">
        <v>1433</v>
      </c>
      <c r="B925" s="511" t="s">
        <v>1444</v>
      </c>
      <c r="C925" s="511"/>
      <c r="D925" s="511"/>
      <c r="E925" s="61" t="s">
        <v>1435</v>
      </c>
      <c r="F925" s="61" t="s">
        <v>56</v>
      </c>
      <c r="G925" s="61" t="s">
        <v>55</v>
      </c>
      <c r="H925" s="61"/>
      <c r="I925" s="61" t="s">
        <v>1366</v>
      </c>
      <c r="J925" s="62">
        <v>1115</v>
      </c>
      <c r="K925" s="62">
        <v>1970</v>
      </c>
      <c r="L925" s="62">
        <v>1970</v>
      </c>
      <c r="M925" s="62"/>
      <c r="N925" s="55" t="s">
        <v>1345</v>
      </c>
      <c r="O925" s="61" t="s">
        <v>52</v>
      </c>
      <c r="P925" s="66"/>
      <c r="Q925" s="66"/>
      <c r="R925" s="66"/>
      <c r="S925" s="66"/>
      <c r="T925" s="66"/>
      <c r="U925" s="66"/>
      <c r="V925" s="66"/>
    </row>
    <row r="926" spans="1:22" s="64" customFormat="1" x14ac:dyDescent="0.25">
      <c r="A926" s="61" t="s">
        <v>1433</v>
      </c>
      <c r="B926" s="511" t="s">
        <v>1445</v>
      </c>
      <c r="C926" s="511"/>
      <c r="D926" s="511"/>
      <c r="E926" s="61" t="s">
        <v>1435</v>
      </c>
      <c r="F926" s="61" t="s">
        <v>54</v>
      </c>
      <c r="G926" s="61" t="s">
        <v>55</v>
      </c>
      <c r="H926" s="61"/>
      <c r="I926" s="61" t="s">
        <v>1366</v>
      </c>
      <c r="J926" s="62">
        <v>360</v>
      </c>
      <c r="K926" s="62">
        <v>400</v>
      </c>
      <c r="L926" s="62">
        <v>400</v>
      </c>
      <c r="M926" s="62">
        <v>510</v>
      </c>
      <c r="N926" s="55" t="s">
        <v>1345</v>
      </c>
      <c r="O926" s="61" t="s">
        <v>52</v>
      </c>
      <c r="P926" s="66"/>
      <c r="Q926" s="66"/>
      <c r="R926" s="66"/>
      <c r="S926" s="66"/>
      <c r="T926" s="66"/>
      <c r="U926" s="66"/>
      <c r="V926" s="66"/>
    </row>
    <row r="927" spans="1:22" s="64" customFormat="1" x14ac:dyDescent="0.25">
      <c r="A927" s="61" t="s">
        <v>1433</v>
      </c>
      <c r="B927" s="511" t="s">
        <v>1445</v>
      </c>
      <c r="C927" s="511"/>
      <c r="D927" s="511"/>
      <c r="E927" s="61" t="s">
        <v>1435</v>
      </c>
      <c r="F927" s="61" t="s">
        <v>389</v>
      </c>
      <c r="G927" s="61" t="s">
        <v>55</v>
      </c>
      <c r="H927" s="61"/>
      <c r="I927" s="61" t="s">
        <v>1366</v>
      </c>
      <c r="J927" s="62">
        <v>360</v>
      </c>
      <c r="K927" s="62">
        <v>400</v>
      </c>
      <c r="L927" s="62">
        <v>400</v>
      </c>
      <c r="M927" s="62">
        <v>510</v>
      </c>
      <c r="N927" s="55" t="s">
        <v>1345</v>
      </c>
      <c r="O927" s="61" t="s">
        <v>52</v>
      </c>
      <c r="P927" s="66"/>
      <c r="Q927" s="66"/>
      <c r="R927" s="66"/>
      <c r="S927" s="66"/>
      <c r="T927" s="66"/>
      <c r="U927" s="66"/>
      <c r="V927" s="66"/>
    </row>
    <row r="928" spans="1:22" s="64" customFormat="1" x14ac:dyDescent="0.25">
      <c r="A928" s="61" t="s">
        <v>1433</v>
      </c>
      <c r="B928" s="511" t="s">
        <v>1446</v>
      </c>
      <c r="C928" s="511"/>
      <c r="D928" s="511"/>
      <c r="E928" s="61" t="s">
        <v>1435</v>
      </c>
      <c r="F928" s="61" t="s">
        <v>54</v>
      </c>
      <c r="G928" s="61" t="s">
        <v>55</v>
      </c>
      <c r="H928" s="61"/>
      <c r="I928" s="61" t="s">
        <v>1366</v>
      </c>
      <c r="J928" s="62">
        <v>540</v>
      </c>
      <c r="K928" s="62">
        <v>600</v>
      </c>
      <c r="L928" s="62">
        <v>600</v>
      </c>
      <c r="M928" s="62">
        <v>760</v>
      </c>
      <c r="N928" s="55" t="s">
        <v>1345</v>
      </c>
      <c r="O928" s="61" t="s">
        <v>52</v>
      </c>
      <c r="P928" s="66"/>
      <c r="Q928" s="66"/>
      <c r="R928" s="66"/>
      <c r="S928" s="66"/>
      <c r="T928" s="66"/>
      <c r="U928" s="66"/>
      <c r="V928" s="66"/>
    </row>
    <row r="929" spans="1:22" s="64" customFormat="1" x14ac:dyDescent="0.25">
      <c r="A929" s="61" t="s">
        <v>1433</v>
      </c>
      <c r="B929" s="511" t="s">
        <v>1446</v>
      </c>
      <c r="C929" s="511"/>
      <c r="D929" s="511"/>
      <c r="E929" s="61" t="s">
        <v>1435</v>
      </c>
      <c r="F929" s="61" t="s">
        <v>389</v>
      </c>
      <c r="G929" s="61" t="s">
        <v>55</v>
      </c>
      <c r="H929" s="61"/>
      <c r="I929" s="61" t="s">
        <v>1366</v>
      </c>
      <c r="J929" s="62">
        <v>540</v>
      </c>
      <c r="K929" s="62">
        <v>600</v>
      </c>
      <c r="L929" s="62">
        <v>600</v>
      </c>
      <c r="M929" s="62">
        <v>760</v>
      </c>
      <c r="N929" s="55" t="s">
        <v>1345</v>
      </c>
      <c r="O929" s="61" t="s">
        <v>52</v>
      </c>
      <c r="P929" s="66"/>
      <c r="Q929" s="66"/>
      <c r="R929" s="66"/>
      <c r="S929" s="66"/>
      <c r="T929" s="66"/>
      <c r="U929" s="66"/>
      <c r="V929" s="66"/>
    </row>
    <row r="930" spans="1:22" s="64" customFormat="1" x14ac:dyDescent="0.25">
      <c r="A930" s="61" t="s">
        <v>1433</v>
      </c>
      <c r="B930" s="511" t="s">
        <v>1446</v>
      </c>
      <c r="C930" s="511"/>
      <c r="D930" s="511"/>
      <c r="E930" s="61" t="s">
        <v>1447</v>
      </c>
      <c r="F930" s="61" t="s">
        <v>56</v>
      </c>
      <c r="G930" s="61" t="s">
        <v>55</v>
      </c>
      <c r="H930" s="61"/>
      <c r="I930" s="61" t="s">
        <v>1366</v>
      </c>
      <c r="J930" s="62">
        <v>800</v>
      </c>
      <c r="K930" s="62">
        <v>900</v>
      </c>
      <c r="L930" s="62">
        <v>900</v>
      </c>
      <c r="M930" s="62"/>
      <c r="N930" s="55" t="s">
        <v>1345</v>
      </c>
      <c r="O930" s="61" t="s">
        <v>52</v>
      </c>
      <c r="P930" s="66"/>
      <c r="Q930" s="66"/>
      <c r="R930" s="66"/>
      <c r="S930" s="66"/>
      <c r="T930" s="66"/>
      <c r="U930" s="66"/>
      <c r="V930" s="66"/>
    </row>
    <row r="931" spans="1:22" s="64" customFormat="1" x14ac:dyDescent="0.25">
      <c r="A931" s="61" t="s">
        <v>1433</v>
      </c>
      <c r="B931" s="511" t="s">
        <v>1448</v>
      </c>
      <c r="C931" s="511"/>
      <c r="D931" s="511"/>
      <c r="E931" s="61" t="s">
        <v>1435</v>
      </c>
      <c r="F931" s="61" t="s">
        <v>56</v>
      </c>
      <c r="G931" s="61" t="s">
        <v>55</v>
      </c>
      <c r="H931" s="61"/>
      <c r="I931" s="61" t="s">
        <v>1366</v>
      </c>
      <c r="J931" s="62">
        <v>440</v>
      </c>
      <c r="K931" s="62">
        <v>505</v>
      </c>
      <c r="L931" s="62">
        <v>505</v>
      </c>
      <c r="M931" s="62"/>
      <c r="N931" s="55" t="s">
        <v>1345</v>
      </c>
      <c r="O931" s="61" t="s">
        <v>52</v>
      </c>
      <c r="P931" s="66"/>
      <c r="Q931" s="66"/>
      <c r="R931" s="66"/>
      <c r="S931" s="66"/>
      <c r="T931" s="66"/>
      <c r="U931" s="66"/>
      <c r="V931" s="66"/>
    </row>
    <row r="932" spans="1:22" s="64" customFormat="1" x14ac:dyDescent="0.25">
      <c r="A932" s="61" t="s">
        <v>1433</v>
      </c>
      <c r="B932" s="511" t="s">
        <v>1449</v>
      </c>
      <c r="C932" s="511"/>
      <c r="D932" s="511"/>
      <c r="E932" s="61" t="s">
        <v>1435</v>
      </c>
      <c r="F932" s="61" t="s">
        <v>54</v>
      </c>
      <c r="G932" s="61" t="s">
        <v>55</v>
      </c>
      <c r="H932" s="61"/>
      <c r="I932" s="61" t="s">
        <v>1366</v>
      </c>
      <c r="J932" s="62">
        <v>90</v>
      </c>
      <c r="K932" s="62">
        <v>100</v>
      </c>
      <c r="L932" s="62">
        <v>100</v>
      </c>
      <c r="M932" s="62">
        <v>130</v>
      </c>
      <c r="N932" s="55" t="s">
        <v>1345</v>
      </c>
      <c r="O932" s="61" t="s">
        <v>52</v>
      </c>
      <c r="P932" s="66"/>
      <c r="Q932" s="66"/>
      <c r="R932" s="66"/>
      <c r="S932" s="66"/>
      <c r="T932" s="66"/>
      <c r="U932" s="66"/>
      <c r="V932" s="66"/>
    </row>
    <row r="933" spans="1:22" s="64" customFormat="1" x14ac:dyDescent="0.25">
      <c r="A933" s="61" t="s">
        <v>1433</v>
      </c>
      <c r="B933" s="511" t="s">
        <v>1450</v>
      </c>
      <c r="C933" s="511"/>
      <c r="D933" s="511"/>
      <c r="E933" s="61" t="s">
        <v>1437</v>
      </c>
      <c r="F933" s="61" t="s">
        <v>54</v>
      </c>
      <c r="G933" s="61" t="s">
        <v>55</v>
      </c>
      <c r="H933" s="61"/>
      <c r="I933" s="61" t="s">
        <v>1366</v>
      </c>
      <c r="J933" s="62">
        <v>90</v>
      </c>
      <c r="K933" s="62">
        <v>100</v>
      </c>
      <c r="L933" s="62">
        <v>100</v>
      </c>
      <c r="M933" s="62">
        <v>130</v>
      </c>
      <c r="N933" s="55" t="s">
        <v>1345</v>
      </c>
      <c r="O933" s="61" t="s">
        <v>52</v>
      </c>
      <c r="P933" s="66"/>
      <c r="Q933" s="66"/>
      <c r="R933" s="66"/>
      <c r="S933" s="66"/>
      <c r="T933" s="66"/>
      <c r="U933" s="66"/>
      <c r="V933" s="66"/>
    </row>
    <row r="934" spans="1:22" s="64" customFormat="1" x14ac:dyDescent="0.25">
      <c r="A934" s="61" t="s">
        <v>1433</v>
      </c>
      <c r="B934" s="511" t="s">
        <v>1450</v>
      </c>
      <c r="C934" s="511"/>
      <c r="D934" s="511"/>
      <c r="E934" s="61" t="s">
        <v>1438</v>
      </c>
      <c r="F934" s="61" t="s">
        <v>389</v>
      </c>
      <c r="G934" s="61" t="s">
        <v>55</v>
      </c>
      <c r="H934" s="61"/>
      <c r="I934" s="61" t="s">
        <v>1366</v>
      </c>
      <c r="J934" s="62">
        <v>90</v>
      </c>
      <c r="K934" s="62">
        <v>100</v>
      </c>
      <c r="L934" s="62">
        <v>100</v>
      </c>
      <c r="M934" s="62">
        <v>130</v>
      </c>
      <c r="N934" s="55" t="s">
        <v>1345</v>
      </c>
      <c r="O934" s="61" t="s">
        <v>52</v>
      </c>
      <c r="P934" s="66"/>
      <c r="Q934" s="66"/>
      <c r="R934" s="66"/>
      <c r="S934" s="66"/>
      <c r="T934" s="66"/>
      <c r="U934" s="66"/>
      <c r="V934" s="66"/>
    </row>
    <row r="935" spans="1:22" s="64" customFormat="1" x14ac:dyDescent="0.25">
      <c r="A935" s="61" t="s">
        <v>1433</v>
      </c>
      <c r="B935" s="511" t="s">
        <v>1450</v>
      </c>
      <c r="C935" s="511"/>
      <c r="D935" s="511"/>
      <c r="E935" s="61" t="s">
        <v>1439</v>
      </c>
      <c r="F935" s="61" t="s">
        <v>389</v>
      </c>
      <c r="G935" s="61" t="s">
        <v>55</v>
      </c>
      <c r="H935" s="61"/>
      <c r="I935" s="61" t="s">
        <v>1366</v>
      </c>
      <c r="J935" s="62">
        <v>90</v>
      </c>
      <c r="K935" s="62">
        <v>100</v>
      </c>
      <c r="L935" s="62">
        <v>100</v>
      </c>
      <c r="M935" s="62">
        <v>130</v>
      </c>
      <c r="N935" s="55" t="s">
        <v>1345</v>
      </c>
      <c r="O935" s="61" t="s">
        <v>52</v>
      </c>
      <c r="P935" s="66"/>
      <c r="Q935" s="66"/>
      <c r="R935" s="66"/>
      <c r="S935" s="66"/>
      <c r="T935" s="66"/>
      <c r="U935" s="66"/>
      <c r="V935" s="66"/>
    </row>
    <row r="936" spans="1:22" s="64" customFormat="1" x14ac:dyDescent="0.25">
      <c r="A936" s="61" t="s">
        <v>1433</v>
      </c>
      <c r="B936" s="511" t="s">
        <v>1450</v>
      </c>
      <c r="C936" s="511"/>
      <c r="D936" s="511"/>
      <c r="E936" s="61" t="s">
        <v>1437</v>
      </c>
      <c r="F936" s="61" t="s">
        <v>389</v>
      </c>
      <c r="G936" s="61" t="s">
        <v>55</v>
      </c>
      <c r="H936" s="61"/>
      <c r="I936" s="61" t="s">
        <v>1366</v>
      </c>
      <c r="J936" s="62">
        <v>90</v>
      </c>
      <c r="K936" s="62">
        <v>100</v>
      </c>
      <c r="L936" s="62">
        <v>100</v>
      </c>
      <c r="M936" s="62">
        <v>130</v>
      </c>
      <c r="N936" s="55" t="s">
        <v>1345</v>
      </c>
      <c r="O936" s="61" t="s">
        <v>52</v>
      </c>
      <c r="P936" s="66"/>
      <c r="Q936" s="66"/>
      <c r="R936" s="66"/>
      <c r="S936" s="66"/>
      <c r="T936" s="66"/>
      <c r="U936" s="66"/>
      <c r="V936" s="66"/>
    </row>
    <row r="937" spans="1:22" s="64" customFormat="1" x14ac:dyDescent="0.25">
      <c r="A937" s="61" t="s">
        <v>1433</v>
      </c>
      <c r="B937" s="511" t="s">
        <v>1450</v>
      </c>
      <c r="C937" s="511"/>
      <c r="D937" s="511"/>
      <c r="E937" s="61" t="s">
        <v>1437</v>
      </c>
      <c r="F937" s="61" t="s">
        <v>56</v>
      </c>
      <c r="G937" s="61" t="s">
        <v>55</v>
      </c>
      <c r="H937" s="61"/>
      <c r="I937" s="61" t="s">
        <v>1366</v>
      </c>
      <c r="J937" s="62">
        <v>230</v>
      </c>
      <c r="K937" s="62">
        <v>255</v>
      </c>
      <c r="L937" s="62">
        <v>255</v>
      </c>
      <c r="M937" s="62">
        <v>200</v>
      </c>
      <c r="N937" s="55" t="s">
        <v>1345</v>
      </c>
      <c r="O937" s="61" t="s">
        <v>52</v>
      </c>
      <c r="P937" s="66"/>
      <c r="Q937" s="66"/>
      <c r="R937" s="66"/>
      <c r="S937" s="66"/>
      <c r="T937" s="66"/>
      <c r="U937" s="66"/>
      <c r="V937" s="66"/>
    </row>
    <row r="938" spans="1:22" s="64" customFormat="1" x14ac:dyDescent="0.25">
      <c r="A938" s="61" t="s">
        <v>1433</v>
      </c>
      <c r="B938" s="511" t="s">
        <v>1451</v>
      </c>
      <c r="C938" s="511"/>
      <c r="D938" s="511"/>
      <c r="E938" s="61" t="s">
        <v>1437</v>
      </c>
      <c r="F938" s="61" t="s">
        <v>54</v>
      </c>
      <c r="G938" s="61" t="s">
        <v>55</v>
      </c>
      <c r="H938" s="61"/>
      <c r="I938" s="61" t="s">
        <v>1366</v>
      </c>
      <c r="J938" s="62">
        <v>450</v>
      </c>
      <c r="K938" s="62">
        <v>500</v>
      </c>
      <c r="L938" s="62">
        <v>500</v>
      </c>
      <c r="M938" s="62">
        <v>635</v>
      </c>
      <c r="N938" s="55" t="s">
        <v>1345</v>
      </c>
      <c r="O938" s="61" t="s">
        <v>52</v>
      </c>
      <c r="P938" s="66"/>
      <c r="Q938" s="66"/>
      <c r="R938" s="66"/>
      <c r="S938" s="66"/>
      <c r="T938" s="66"/>
      <c r="U938" s="66"/>
      <c r="V938" s="66"/>
    </row>
    <row r="939" spans="1:22" s="64" customFormat="1" x14ac:dyDescent="0.25">
      <c r="A939" s="61" t="s">
        <v>1433</v>
      </c>
      <c r="B939" s="511" t="s">
        <v>1451</v>
      </c>
      <c r="C939" s="511"/>
      <c r="D939" s="511"/>
      <c r="E939" s="61" t="s">
        <v>1438</v>
      </c>
      <c r="F939" s="61" t="s">
        <v>389</v>
      </c>
      <c r="G939" s="61" t="s">
        <v>55</v>
      </c>
      <c r="H939" s="61"/>
      <c r="I939" s="61" t="s">
        <v>1366</v>
      </c>
      <c r="J939" s="62">
        <v>450</v>
      </c>
      <c r="K939" s="62">
        <v>500</v>
      </c>
      <c r="L939" s="62">
        <v>500</v>
      </c>
      <c r="M939" s="62">
        <v>635</v>
      </c>
      <c r="N939" s="55" t="s">
        <v>1345</v>
      </c>
      <c r="O939" s="61" t="s">
        <v>52</v>
      </c>
      <c r="P939" s="66"/>
      <c r="Q939" s="66"/>
      <c r="R939" s="66"/>
      <c r="S939" s="66"/>
      <c r="T939" s="66"/>
      <c r="U939" s="66"/>
      <c r="V939" s="66"/>
    </row>
    <row r="940" spans="1:22" s="64" customFormat="1" x14ac:dyDescent="0.25">
      <c r="A940" s="61" t="s">
        <v>1433</v>
      </c>
      <c r="B940" s="511" t="s">
        <v>1451</v>
      </c>
      <c r="C940" s="511"/>
      <c r="D940" s="511"/>
      <c r="E940" s="61" t="s">
        <v>1439</v>
      </c>
      <c r="F940" s="61" t="s">
        <v>389</v>
      </c>
      <c r="G940" s="61" t="s">
        <v>55</v>
      </c>
      <c r="H940" s="61"/>
      <c r="I940" s="61" t="s">
        <v>1366</v>
      </c>
      <c r="J940" s="62">
        <v>450</v>
      </c>
      <c r="K940" s="62">
        <v>500</v>
      </c>
      <c r="L940" s="62">
        <v>500</v>
      </c>
      <c r="M940" s="62">
        <v>635</v>
      </c>
      <c r="N940" s="55" t="s">
        <v>1345</v>
      </c>
      <c r="O940" s="61" t="s">
        <v>52</v>
      </c>
      <c r="P940" s="66"/>
      <c r="Q940" s="66"/>
      <c r="R940" s="66"/>
      <c r="S940" s="66"/>
      <c r="T940" s="66"/>
      <c r="U940" s="66"/>
      <c r="V940" s="66"/>
    </row>
    <row r="941" spans="1:22" s="64" customFormat="1" x14ac:dyDescent="0.25">
      <c r="A941" s="61" t="s">
        <v>1433</v>
      </c>
      <c r="B941" s="511" t="s">
        <v>1451</v>
      </c>
      <c r="C941" s="511"/>
      <c r="D941" s="511"/>
      <c r="E941" s="61" t="s">
        <v>1437</v>
      </c>
      <c r="F941" s="61" t="s">
        <v>389</v>
      </c>
      <c r="G941" s="61" t="s">
        <v>55</v>
      </c>
      <c r="H941" s="61"/>
      <c r="I941" s="61" t="s">
        <v>1366</v>
      </c>
      <c r="J941" s="62">
        <v>450</v>
      </c>
      <c r="K941" s="62">
        <v>500</v>
      </c>
      <c r="L941" s="62">
        <v>500</v>
      </c>
      <c r="M941" s="62">
        <v>635</v>
      </c>
      <c r="N941" s="55" t="s">
        <v>1345</v>
      </c>
      <c r="O941" s="61" t="s">
        <v>52</v>
      </c>
      <c r="P941" s="66"/>
      <c r="Q941" s="66"/>
      <c r="R941" s="66"/>
      <c r="S941" s="66"/>
      <c r="T941" s="66"/>
      <c r="U941" s="66"/>
      <c r="V941" s="66"/>
    </row>
    <row r="942" spans="1:22" s="64" customFormat="1" x14ac:dyDescent="0.25">
      <c r="A942" s="61" t="s">
        <v>1433</v>
      </c>
      <c r="B942" s="511" t="s">
        <v>1452</v>
      </c>
      <c r="C942" s="511"/>
      <c r="D942" s="511"/>
      <c r="E942" s="61" t="s">
        <v>1435</v>
      </c>
      <c r="F942" s="61" t="s">
        <v>54</v>
      </c>
      <c r="G942" s="61" t="s">
        <v>55</v>
      </c>
      <c r="H942" s="61"/>
      <c r="I942" s="61" t="s">
        <v>1366</v>
      </c>
      <c r="J942" s="62">
        <v>675</v>
      </c>
      <c r="K942" s="62">
        <v>750</v>
      </c>
      <c r="L942" s="62">
        <v>750</v>
      </c>
      <c r="M942" s="62">
        <v>955</v>
      </c>
      <c r="N942" s="55" t="s">
        <v>1345</v>
      </c>
      <c r="O942" s="61" t="s">
        <v>52</v>
      </c>
      <c r="P942" s="66"/>
      <c r="Q942" s="66"/>
      <c r="R942" s="66"/>
      <c r="S942" s="66"/>
      <c r="T942" s="66"/>
      <c r="U942" s="66"/>
      <c r="V942" s="66"/>
    </row>
    <row r="943" spans="1:22" s="64" customFormat="1" x14ac:dyDescent="0.25">
      <c r="A943" s="61" t="s">
        <v>1433</v>
      </c>
      <c r="B943" s="511" t="s">
        <v>1452</v>
      </c>
      <c r="C943" s="511"/>
      <c r="D943" s="511"/>
      <c r="E943" s="61" t="s">
        <v>1435</v>
      </c>
      <c r="F943" s="61" t="s">
        <v>389</v>
      </c>
      <c r="G943" s="61" t="s">
        <v>55</v>
      </c>
      <c r="H943" s="61"/>
      <c r="I943" s="61" t="s">
        <v>1366</v>
      </c>
      <c r="J943" s="62">
        <v>675</v>
      </c>
      <c r="K943" s="62">
        <v>750</v>
      </c>
      <c r="L943" s="62">
        <v>750</v>
      </c>
      <c r="M943" s="62">
        <v>955</v>
      </c>
      <c r="N943" s="55" t="s">
        <v>1345</v>
      </c>
      <c r="O943" s="61" t="s">
        <v>52</v>
      </c>
      <c r="P943" s="66"/>
      <c r="Q943" s="66"/>
      <c r="R943" s="66"/>
      <c r="S943" s="66"/>
      <c r="T943" s="66"/>
      <c r="U943" s="66"/>
      <c r="V943" s="66"/>
    </row>
    <row r="944" spans="1:22" s="64" customFormat="1" x14ac:dyDescent="0.25">
      <c r="A944" s="61" t="s">
        <v>1433</v>
      </c>
      <c r="B944" s="511" t="s">
        <v>1453</v>
      </c>
      <c r="C944" s="511"/>
      <c r="D944" s="511"/>
      <c r="E944" s="61" t="s">
        <v>1437</v>
      </c>
      <c r="F944" s="61" t="s">
        <v>54</v>
      </c>
      <c r="G944" s="61" t="s">
        <v>55</v>
      </c>
      <c r="H944" s="61"/>
      <c r="I944" s="61" t="s">
        <v>1366</v>
      </c>
      <c r="J944" s="62">
        <v>135</v>
      </c>
      <c r="K944" s="62">
        <v>150</v>
      </c>
      <c r="L944" s="62">
        <v>150</v>
      </c>
      <c r="M944" s="62">
        <v>190</v>
      </c>
      <c r="N944" s="55" t="s">
        <v>1345</v>
      </c>
      <c r="O944" s="61" t="s">
        <v>52</v>
      </c>
      <c r="P944" s="66"/>
      <c r="Q944" s="66"/>
      <c r="R944" s="66"/>
      <c r="S944" s="66"/>
      <c r="T944" s="66"/>
      <c r="U944" s="66"/>
      <c r="V944" s="66"/>
    </row>
    <row r="945" spans="1:22" s="64" customFormat="1" x14ac:dyDescent="0.25">
      <c r="A945" s="61" t="s">
        <v>1433</v>
      </c>
      <c r="B945" s="511" t="s">
        <v>1454</v>
      </c>
      <c r="C945" s="511"/>
      <c r="D945" s="511"/>
      <c r="E945" s="61" t="s">
        <v>1439</v>
      </c>
      <c r="F945" s="61" t="s">
        <v>56</v>
      </c>
      <c r="G945" s="61" t="s">
        <v>55</v>
      </c>
      <c r="H945" s="61"/>
      <c r="I945" s="61" t="s">
        <v>1366</v>
      </c>
      <c r="J945" s="62">
        <v>535</v>
      </c>
      <c r="K945" s="62">
        <v>685</v>
      </c>
      <c r="L945" s="62">
        <v>685</v>
      </c>
      <c r="M945" s="62"/>
      <c r="N945" s="55" t="s">
        <v>1345</v>
      </c>
      <c r="O945" s="61" t="s">
        <v>52</v>
      </c>
      <c r="P945" s="66"/>
      <c r="Q945" s="66"/>
      <c r="R945" s="66"/>
      <c r="S945" s="66"/>
      <c r="T945" s="66"/>
      <c r="U945" s="66"/>
      <c r="V945" s="66"/>
    </row>
    <row r="946" spans="1:22" s="64" customFormat="1" x14ac:dyDescent="0.25">
      <c r="A946" s="61" t="s">
        <v>1433</v>
      </c>
      <c r="B946" s="511" t="s">
        <v>1454</v>
      </c>
      <c r="C946" s="511"/>
      <c r="D946" s="511"/>
      <c r="E946" s="61" t="s">
        <v>1455</v>
      </c>
      <c r="F946" s="61" t="s">
        <v>56</v>
      </c>
      <c r="G946" s="61" t="s">
        <v>55</v>
      </c>
      <c r="H946" s="61"/>
      <c r="I946" s="61" t="s">
        <v>1366</v>
      </c>
      <c r="J946" s="62">
        <v>505</v>
      </c>
      <c r="K946" s="62">
        <v>510</v>
      </c>
      <c r="L946" s="62">
        <v>510</v>
      </c>
      <c r="M946" s="62"/>
      <c r="N946" s="55" t="s">
        <v>1345</v>
      </c>
      <c r="O946" s="61" t="s">
        <v>52</v>
      </c>
      <c r="P946" s="66"/>
      <c r="Q946" s="66"/>
      <c r="R946" s="66"/>
      <c r="S946" s="66"/>
      <c r="T946" s="66"/>
      <c r="U946" s="66"/>
      <c r="V946" s="66"/>
    </row>
    <row r="947" spans="1:22" s="64" customFormat="1" x14ac:dyDescent="0.25">
      <c r="A947" s="61" t="s">
        <v>1433</v>
      </c>
      <c r="B947" s="511" t="s">
        <v>1454</v>
      </c>
      <c r="C947" s="511"/>
      <c r="D947" s="511"/>
      <c r="E947" s="61" t="s">
        <v>1437</v>
      </c>
      <c r="F947" s="61" t="s">
        <v>56</v>
      </c>
      <c r="G947" s="61" t="s">
        <v>55</v>
      </c>
      <c r="H947" s="61"/>
      <c r="I947" s="61" t="s">
        <v>1366</v>
      </c>
      <c r="J947" s="62">
        <v>445</v>
      </c>
      <c r="K947" s="62">
        <v>595</v>
      </c>
      <c r="L947" s="62">
        <v>595</v>
      </c>
      <c r="M947" s="62"/>
      <c r="N947" s="55" t="s">
        <v>1345</v>
      </c>
      <c r="O947" s="61" t="s">
        <v>52</v>
      </c>
      <c r="P947" s="66"/>
      <c r="Q947" s="66"/>
      <c r="R947" s="66"/>
      <c r="S947" s="66"/>
      <c r="T947" s="66"/>
      <c r="U947" s="66"/>
      <c r="V947" s="66"/>
    </row>
    <row r="948" spans="1:22" s="64" customFormat="1" x14ac:dyDescent="0.25">
      <c r="A948" s="61" t="s">
        <v>1433</v>
      </c>
      <c r="B948" s="511" t="s">
        <v>1456</v>
      </c>
      <c r="C948" s="511"/>
      <c r="D948" s="511"/>
      <c r="E948" s="61" t="s">
        <v>1437</v>
      </c>
      <c r="F948" s="61" t="s">
        <v>54</v>
      </c>
      <c r="G948" s="61" t="s">
        <v>55</v>
      </c>
      <c r="H948" s="61"/>
      <c r="I948" s="61" t="s">
        <v>1366</v>
      </c>
      <c r="J948" s="62">
        <v>225</v>
      </c>
      <c r="K948" s="62">
        <v>250</v>
      </c>
      <c r="L948" s="62">
        <v>250</v>
      </c>
      <c r="M948" s="62">
        <v>320</v>
      </c>
      <c r="N948" s="55" t="s">
        <v>1345</v>
      </c>
      <c r="O948" s="61" t="s">
        <v>52</v>
      </c>
      <c r="P948" s="66"/>
      <c r="Q948" s="66"/>
      <c r="R948" s="66"/>
      <c r="S948" s="66"/>
      <c r="T948" s="66"/>
      <c r="U948" s="66"/>
      <c r="V948" s="66"/>
    </row>
    <row r="949" spans="1:22" s="64" customFormat="1" x14ac:dyDescent="0.25">
      <c r="A949" s="61" t="s">
        <v>1433</v>
      </c>
      <c r="B949" s="511" t="s">
        <v>1456</v>
      </c>
      <c r="C949" s="511"/>
      <c r="D949" s="511"/>
      <c r="E949" s="61" t="s">
        <v>1438</v>
      </c>
      <c r="F949" s="61" t="s">
        <v>389</v>
      </c>
      <c r="G949" s="61" t="s">
        <v>55</v>
      </c>
      <c r="H949" s="61"/>
      <c r="I949" s="61" t="s">
        <v>1366</v>
      </c>
      <c r="J949" s="62">
        <v>225</v>
      </c>
      <c r="K949" s="62">
        <v>250</v>
      </c>
      <c r="L949" s="62">
        <v>250</v>
      </c>
      <c r="M949" s="62">
        <v>320</v>
      </c>
      <c r="N949" s="55" t="s">
        <v>1345</v>
      </c>
      <c r="O949" s="61" t="s">
        <v>52</v>
      </c>
      <c r="P949" s="66"/>
      <c r="Q949" s="66"/>
      <c r="R949" s="66"/>
      <c r="S949" s="66"/>
      <c r="T949" s="66"/>
      <c r="U949" s="66"/>
      <c r="V949" s="66"/>
    </row>
    <row r="950" spans="1:22" s="64" customFormat="1" x14ac:dyDescent="0.25">
      <c r="A950" s="61" t="s">
        <v>1433</v>
      </c>
      <c r="B950" s="511" t="s">
        <v>1456</v>
      </c>
      <c r="C950" s="511"/>
      <c r="D950" s="511"/>
      <c r="E950" s="61" t="s">
        <v>1439</v>
      </c>
      <c r="F950" s="61" t="s">
        <v>389</v>
      </c>
      <c r="G950" s="61" t="s">
        <v>55</v>
      </c>
      <c r="H950" s="61"/>
      <c r="I950" s="61" t="s">
        <v>1366</v>
      </c>
      <c r="J950" s="62">
        <v>225</v>
      </c>
      <c r="K950" s="62">
        <v>250</v>
      </c>
      <c r="L950" s="62">
        <v>250</v>
      </c>
      <c r="M950" s="62">
        <v>320</v>
      </c>
      <c r="N950" s="55" t="s">
        <v>1345</v>
      </c>
      <c r="O950" s="61" t="s">
        <v>52</v>
      </c>
      <c r="P950" s="66"/>
      <c r="Q950" s="66"/>
      <c r="R950" s="66"/>
      <c r="S950" s="66"/>
      <c r="T950" s="66"/>
      <c r="U950" s="66"/>
      <c r="V950" s="66"/>
    </row>
    <row r="951" spans="1:22" s="64" customFormat="1" x14ac:dyDescent="0.25">
      <c r="A951" s="61" t="s">
        <v>1433</v>
      </c>
      <c r="B951" s="511" t="s">
        <v>1456</v>
      </c>
      <c r="C951" s="511"/>
      <c r="D951" s="511"/>
      <c r="E951" s="61" t="s">
        <v>1437</v>
      </c>
      <c r="F951" s="61" t="s">
        <v>389</v>
      </c>
      <c r="G951" s="61" t="s">
        <v>55</v>
      </c>
      <c r="H951" s="61"/>
      <c r="I951" s="61" t="s">
        <v>1366</v>
      </c>
      <c r="J951" s="62">
        <v>225</v>
      </c>
      <c r="K951" s="62">
        <v>250</v>
      </c>
      <c r="L951" s="62">
        <v>250</v>
      </c>
      <c r="M951" s="62">
        <v>320</v>
      </c>
      <c r="N951" s="55" t="s">
        <v>1345</v>
      </c>
      <c r="O951" s="61" t="s">
        <v>52</v>
      </c>
      <c r="P951" s="66"/>
      <c r="Q951" s="66"/>
      <c r="R951" s="66"/>
      <c r="S951" s="66"/>
      <c r="T951" s="66"/>
      <c r="U951" s="66"/>
      <c r="V951" s="66"/>
    </row>
    <row r="952" spans="1:22" s="64" customFormat="1" x14ac:dyDescent="0.25">
      <c r="A952" s="61" t="s">
        <v>1433</v>
      </c>
      <c r="B952" s="511" t="s">
        <v>1655</v>
      </c>
      <c r="C952" s="511"/>
      <c r="D952" s="511"/>
      <c r="E952" s="61" t="s">
        <v>1437</v>
      </c>
      <c r="F952" s="61" t="s">
        <v>54</v>
      </c>
      <c r="G952" s="61" t="s">
        <v>55</v>
      </c>
      <c r="H952" s="61"/>
      <c r="I952" s="61" t="s">
        <v>1366</v>
      </c>
      <c r="J952" s="62">
        <v>225</v>
      </c>
      <c r="K952" s="62">
        <v>250</v>
      </c>
      <c r="L952" s="62">
        <v>250</v>
      </c>
      <c r="M952" s="62">
        <v>320</v>
      </c>
      <c r="N952" s="55" t="s">
        <v>1345</v>
      </c>
      <c r="O952" s="61" t="s">
        <v>52</v>
      </c>
      <c r="P952" s="66"/>
      <c r="Q952" s="66"/>
      <c r="R952" s="66"/>
      <c r="S952" s="66"/>
      <c r="T952" s="66"/>
      <c r="U952" s="66"/>
      <c r="V952" s="66"/>
    </row>
    <row r="953" spans="1:22" s="64" customFormat="1" x14ac:dyDescent="0.25">
      <c r="A953" s="61" t="s">
        <v>1433</v>
      </c>
      <c r="B953" s="511" t="s">
        <v>1655</v>
      </c>
      <c r="C953" s="511"/>
      <c r="D953" s="511"/>
      <c r="E953" s="61" t="s">
        <v>1438</v>
      </c>
      <c r="F953" s="61" t="s">
        <v>389</v>
      </c>
      <c r="G953" s="61" t="s">
        <v>55</v>
      </c>
      <c r="H953" s="61"/>
      <c r="I953" s="61" t="s">
        <v>1366</v>
      </c>
      <c r="J953" s="62">
        <v>225</v>
      </c>
      <c r="K953" s="62">
        <v>250</v>
      </c>
      <c r="L953" s="62">
        <v>250</v>
      </c>
      <c r="M953" s="62">
        <v>320</v>
      </c>
      <c r="N953" s="55" t="s">
        <v>1345</v>
      </c>
      <c r="O953" s="61" t="s">
        <v>52</v>
      </c>
      <c r="P953" s="66"/>
      <c r="Q953" s="66"/>
      <c r="R953" s="66"/>
      <c r="S953" s="66"/>
      <c r="T953" s="66"/>
      <c r="U953" s="66"/>
      <c r="V953" s="66"/>
    </row>
    <row r="954" spans="1:22" s="64" customFormat="1" x14ac:dyDescent="0.25">
      <c r="A954" s="61" t="s">
        <v>1433</v>
      </c>
      <c r="B954" s="511" t="s">
        <v>1655</v>
      </c>
      <c r="C954" s="511"/>
      <c r="D954" s="511"/>
      <c r="E954" s="61" t="s">
        <v>1439</v>
      </c>
      <c r="F954" s="61" t="s">
        <v>389</v>
      </c>
      <c r="G954" s="61" t="s">
        <v>55</v>
      </c>
      <c r="H954" s="61"/>
      <c r="I954" s="61" t="s">
        <v>1366</v>
      </c>
      <c r="J954" s="62">
        <v>225</v>
      </c>
      <c r="K954" s="62">
        <v>250</v>
      </c>
      <c r="L954" s="62">
        <v>250</v>
      </c>
      <c r="M954" s="62">
        <v>320</v>
      </c>
      <c r="N954" s="55" t="s">
        <v>1345</v>
      </c>
      <c r="O954" s="61" t="s">
        <v>52</v>
      </c>
      <c r="P954" s="66"/>
      <c r="Q954" s="66"/>
      <c r="R954" s="66"/>
      <c r="S954" s="66"/>
      <c r="T954" s="66"/>
      <c r="U954" s="66"/>
      <c r="V954" s="66"/>
    </row>
    <row r="955" spans="1:22" s="64" customFormat="1" x14ac:dyDescent="0.25">
      <c r="A955" s="61" t="s">
        <v>1433</v>
      </c>
      <c r="B955" s="511" t="s">
        <v>1655</v>
      </c>
      <c r="C955" s="511"/>
      <c r="D955" s="511"/>
      <c r="E955" s="61" t="s">
        <v>1437</v>
      </c>
      <c r="F955" s="61" t="s">
        <v>389</v>
      </c>
      <c r="G955" s="61" t="s">
        <v>55</v>
      </c>
      <c r="H955" s="61"/>
      <c r="I955" s="61" t="s">
        <v>1366</v>
      </c>
      <c r="J955" s="62">
        <v>225</v>
      </c>
      <c r="K955" s="62">
        <v>250</v>
      </c>
      <c r="L955" s="62">
        <v>250</v>
      </c>
      <c r="M955" s="62">
        <v>320</v>
      </c>
      <c r="N955" s="55" t="s">
        <v>1345</v>
      </c>
      <c r="O955" s="61" t="s">
        <v>52</v>
      </c>
      <c r="P955" s="66"/>
      <c r="Q955" s="66"/>
      <c r="R955" s="66"/>
      <c r="S955" s="66"/>
      <c r="T955" s="66"/>
      <c r="U955" s="66"/>
      <c r="V955" s="66"/>
    </row>
    <row r="956" spans="1:22" s="64" customFormat="1" x14ac:dyDescent="0.25">
      <c r="A956" s="61" t="s">
        <v>1433</v>
      </c>
      <c r="B956" s="511" t="s">
        <v>1458</v>
      </c>
      <c r="C956" s="511"/>
      <c r="D956" s="511"/>
      <c r="E956" s="61" t="s">
        <v>1437</v>
      </c>
      <c r="F956" s="61" t="s">
        <v>54</v>
      </c>
      <c r="G956" s="61" t="s">
        <v>55</v>
      </c>
      <c r="H956" s="61"/>
      <c r="I956" s="61" t="s">
        <v>1366</v>
      </c>
      <c r="J956" s="62">
        <v>450</v>
      </c>
      <c r="K956" s="62">
        <v>500</v>
      </c>
      <c r="L956" s="62">
        <v>500</v>
      </c>
      <c r="M956" s="62">
        <v>635</v>
      </c>
      <c r="N956" s="55" t="s">
        <v>1345</v>
      </c>
      <c r="O956" s="61" t="s">
        <v>52</v>
      </c>
      <c r="P956" s="66"/>
      <c r="Q956" s="66"/>
      <c r="R956" s="66"/>
      <c r="S956" s="66"/>
      <c r="T956" s="66"/>
      <c r="U956" s="66"/>
      <c r="V956" s="66"/>
    </row>
    <row r="957" spans="1:22" s="64" customFormat="1" x14ac:dyDescent="0.25">
      <c r="A957" s="61" t="s">
        <v>1433</v>
      </c>
      <c r="B957" s="511" t="s">
        <v>1458</v>
      </c>
      <c r="C957" s="511"/>
      <c r="D957" s="511"/>
      <c r="E957" s="61" t="s">
        <v>1438</v>
      </c>
      <c r="F957" s="61" t="s">
        <v>389</v>
      </c>
      <c r="G957" s="61" t="s">
        <v>55</v>
      </c>
      <c r="H957" s="61"/>
      <c r="I957" s="61" t="s">
        <v>1366</v>
      </c>
      <c r="J957" s="62">
        <v>450</v>
      </c>
      <c r="K957" s="62">
        <v>500</v>
      </c>
      <c r="L957" s="62">
        <v>500</v>
      </c>
      <c r="M957" s="62">
        <v>635</v>
      </c>
      <c r="N957" s="55" t="s">
        <v>1345</v>
      </c>
      <c r="O957" s="61" t="s">
        <v>52</v>
      </c>
      <c r="P957" s="66"/>
      <c r="Q957" s="66"/>
      <c r="R957" s="66"/>
      <c r="S957" s="66"/>
      <c r="T957" s="66"/>
      <c r="U957" s="66"/>
      <c r="V957" s="66"/>
    </row>
    <row r="958" spans="1:22" s="64" customFormat="1" x14ac:dyDescent="0.25">
      <c r="A958" s="61" t="s">
        <v>1433</v>
      </c>
      <c r="B958" s="511" t="s">
        <v>1458</v>
      </c>
      <c r="C958" s="511"/>
      <c r="D958" s="511"/>
      <c r="E958" s="61" t="s">
        <v>1439</v>
      </c>
      <c r="F958" s="61" t="s">
        <v>389</v>
      </c>
      <c r="G958" s="61" t="s">
        <v>55</v>
      </c>
      <c r="H958" s="61"/>
      <c r="I958" s="61" t="s">
        <v>1366</v>
      </c>
      <c r="J958" s="62">
        <v>450</v>
      </c>
      <c r="K958" s="62">
        <v>500</v>
      </c>
      <c r="L958" s="62">
        <v>500</v>
      </c>
      <c r="M958" s="62">
        <v>635</v>
      </c>
      <c r="N958" s="55" t="s">
        <v>1345</v>
      </c>
      <c r="O958" s="61" t="s">
        <v>52</v>
      </c>
      <c r="P958" s="66"/>
      <c r="Q958" s="66"/>
      <c r="R958" s="66"/>
      <c r="S958" s="66"/>
      <c r="T958" s="66"/>
      <c r="U958" s="66"/>
      <c r="V958" s="66"/>
    </row>
    <row r="959" spans="1:22" s="64" customFormat="1" x14ac:dyDescent="0.25">
      <c r="A959" s="61" t="s">
        <v>1433</v>
      </c>
      <c r="B959" s="511" t="s">
        <v>1458</v>
      </c>
      <c r="C959" s="511"/>
      <c r="D959" s="511"/>
      <c r="E959" s="61" t="s">
        <v>1437</v>
      </c>
      <c r="F959" s="61" t="s">
        <v>389</v>
      </c>
      <c r="G959" s="61" t="s">
        <v>55</v>
      </c>
      <c r="H959" s="61"/>
      <c r="I959" s="61" t="s">
        <v>1366</v>
      </c>
      <c r="J959" s="62">
        <v>450</v>
      </c>
      <c r="K959" s="62">
        <v>500</v>
      </c>
      <c r="L959" s="62">
        <v>500</v>
      </c>
      <c r="M959" s="62">
        <v>635</v>
      </c>
      <c r="N959" s="55" t="s">
        <v>1345</v>
      </c>
      <c r="O959" s="61" t="s">
        <v>52</v>
      </c>
      <c r="P959" s="66"/>
      <c r="Q959" s="66"/>
      <c r="R959" s="66"/>
      <c r="S959" s="66"/>
      <c r="T959" s="66"/>
      <c r="U959" s="66"/>
      <c r="V959" s="66"/>
    </row>
    <row r="960" spans="1:22" s="64" customFormat="1" x14ac:dyDescent="0.25">
      <c r="A960" s="61" t="s">
        <v>1433</v>
      </c>
      <c r="B960" s="511" t="s">
        <v>1459</v>
      </c>
      <c r="C960" s="511"/>
      <c r="D960" s="511"/>
      <c r="E960" s="61" t="s">
        <v>1447</v>
      </c>
      <c r="F960" s="61" t="s">
        <v>56</v>
      </c>
      <c r="G960" s="61" t="s">
        <v>55</v>
      </c>
      <c r="H960" s="61"/>
      <c r="I960" s="61" t="s">
        <v>1366</v>
      </c>
      <c r="J960" s="62">
        <v>195</v>
      </c>
      <c r="K960" s="62">
        <v>220</v>
      </c>
      <c r="L960" s="62">
        <v>220</v>
      </c>
      <c r="M960" s="62"/>
      <c r="N960" s="55" t="s">
        <v>1345</v>
      </c>
      <c r="O960" s="61" t="s">
        <v>52</v>
      </c>
      <c r="P960" s="66"/>
      <c r="Q960" s="66"/>
      <c r="R960" s="66"/>
      <c r="S960" s="66"/>
      <c r="T960" s="66"/>
      <c r="U960" s="66"/>
      <c r="V960" s="66"/>
    </row>
    <row r="961" spans="1:22" s="64" customFormat="1" x14ac:dyDescent="0.25">
      <c r="A961" s="61" t="s">
        <v>1433</v>
      </c>
      <c r="B961" s="511" t="s">
        <v>1460</v>
      </c>
      <c r="C961" s="511"/>
      <c r="D961" s="511"/>
      <c r="E961" s="61" t="s">
        <v>1447</v>
      </c>
      <c r="F961" s="61" t="s">
        <v>56</v>
      </c>
      <c r="G961" s="61" t="s">
        <v>55</v>
      </c>
      <c r="H961" s="61"/>
      <c r="I961" s="61" t="s">
        <v>1366</v>
      </c>
      <c r="J961" s="62">
        <v>360</v>
      </c>
      <c r="K961" s="62">
        <v>330</v>
      </c>
      <c r="L961" s="62">
        <v>330</v>
      </c>
      <c r="M961" s="62"/>
      <c r="N961" s="55" t="s">
        <v>1345</v>
      </c>
      <c r="O961" s="61" t="s">
        <v>52</v>
      </c>
      <c r="P961" s="66"/>
      <c r="Q961" s="66"/>
      <c r="R961" s="66"/>
      <c r="S961" s="66"/>
      <c r="T961" s="66"/>
      <c r="U961" s="66"/>
      <c r="V961" s="66"/>
    </row>
    <row r="962" spans="1:22" s="64" customFormat="1" x14ac:dyDescent="0.25">
      <c r="A962" s="61" t="s">
        <v>1433</v>
      </c>
      <c r="B962" s="511" t="s">
        <v>1461</v>
      </c>
      <c r="C962" s="511"/>
      <c r="D962" s="511"/>
      <c r="E962" s="61" t="s">
        <v>1437</v>
      </c>
      <c r="F962" s="61" t="s">
        <v>54</v>
      </c>
      <c r="G962" s="61" t="s">
        <v>55</v>
      </c>
      <c r="H962" s="61"/>
      <c r="I962" s="61" t="s">
        <v>1366</v>
      </c>
      <c r="J962" s="62">
        <v>180</v>
      </c>
      <c r="K962" s="62">
        <v>200</v>
      </c>
      <c r="L962" s="62">
        <v>200</v>
      </c>
      <c r="M962" s="62">
        <v>250</v>
      </c>
      <c r="N962" s="55" t="s">
        <v>1345</v>
      </c>
      <c r="O962" s="61" t="s">
        <v>52</v>
      </c>
      <c r="P962" s="66"/>
      <c r="Q962" s="66"/>
      <c r="R962" s="66"/>
      <c r="S962" s="66"/>
      <c r="T962" s="66"/>
      <c r="U962" s="66"/>
      <c r="V962" s="66"/>
    </row>
    <row r="963" spans="1:22" s="64" customFormat="1" x14ac:dyDescent="0.25">
      <c r="A963" s="61" t="s">
        <v>1433</v>
      </c>
      <c r="B963" s="511" t="s">
        <v>1461</v>
      </c>
      <c r="C963" s="511"/>
      <c r="D963" s="511"/>
      <c r="E963" s="61" t="s">
        <v>1438</v>
      </c>
      <c r="F963" s="61" t="s">
        <v>389</v>
      </c>
      <c r="G963" s="61" t="s">
        <v>55</v>
      </c>
      <c r="H963" s="61"/>
      <c r="I963" s="61" t="s">
        <v>1366</v>
      </c>
      <c r="J963" s="62">
        <v>180</v>
      </c>
      <c r="K963" s="62">
        <v>200</v>
      </c>
      <c r="L963" s="62">
        <v>200</v>
      </c>
      <c r="M963" s="62">
        <v>250</v>
      </c>
      <c r="N963" s="55" t="s">
        <v>1345</v>
      </c>
      <c r="O963" s="61" t="s">
        <v>52</v>
      </c>
      <c r="P963" s="66"/>
      <c r="Q963" s="66"/>
      <c r="R963" s="66"/>
      <c r="S963" s="66"/>
      <c r="T963" s="66"/>
      <c r="U963" s="66"/>
      <c r="V963" s="66"/>
    </row>
    <row r="964" spans="1:22" s="64" customFormat="1" x14ac:dyDescent="0.25">
      <c r="A964" s="61" t="s">
        <v>1433</v>
      </c>
      <c r="B964" s="511" t="s">
        <v>1461</v>
      </c>
      <c r="C964" s="511"/>
      <c r="D964" s="511"/>
      <c r="E964" s="61" t="s">
        <v>1439</v>
      </c>
      <c r="F964" s="61" t="s">
        <v>389</v>
      </c>
      <c r="G964" s="61" t="s">
        <v>55</v>
      </c>
      <c r="H964" s="61"/>
      <c r="I964" s="61" t="s">
        <v>1366</v>
      </c>
      <c r="J964" s="62">
        <v>180</v>
      </c>
      <c r="K964" s="62">
        <v>200</v>
      </c>
      <c r="L964" s="62">
        <v>200</v>
      </c>
      <c r="M964" s="62">
        <v>250</v>
      </c>
      <c r="N964" s="55" t="s">
        <v>1345</v>
      </c>
      <c r="O964" s="61" t="s">
        <v>52</v>
      </c>
      <c r="P964" s="66"/>
      <c r="Q964" s="66"/>
      <c r="R964" s="66"/>
      <c r="S964" s="66"/>
      <c r="T964" s="66"/>
      <c r="U964" s="66"/>
      <c r="V964" s="66"/>
    </row>
    <row r="965" spans="1:22" s="64" customFormat="1" x14ac:dyDescent="0.25">
      <c r="A965" s="61" t="s">
        <v>1433</v>
      </c>
      <c r="B965" s="511" t="s">
        <v>1461</v>
      </c>
      <c r="C965" s="511"/>
      <c r="D965" s="511"/>
      <c r="E965" s="61" t="s">
        <v>1437</v>
      </c>
      <c r="F965" s="61" t="s">
        <v>389</v>
      </c>
      <c r="G965" s="61" t="s">
        <v>55</v>
      </c>
      <c r="H965" s="61"/>
      <c r="I965" s="61" t="s">
        <v>1366</v>
      </c>
      <c r="J965" s="62">
        <v>180</v>
      </c>
      <c r="K965" s="62">
        <v>200</v>
      </c>
      <c r="L965" s="62">
        <v>200</v>
      </c>
      <c r="M965" s="62">
        <v>250</v>
      </c>
      <c r="N965" s="55" t="s">
        <v>1345</v>
      </c>
      <c r="O965" s="61" t="s">
        <v>52</v>
      </c>
      <c r="P965" s="66"/>
      <c r="Q965" s="66"/>
      <c r="R965" s="66"/>
      <c r="S965" s="66"/>
      <c r="T965" s="66"/>
      <c r="U965" s="66"/>
      <c r="V965" s="66"/>
    </row>
    <row r="966" spans="1:22" s="64" customFormat="1" x14ac:dyDescent="0.25">
      <c r="A966" s="61" t="s">
        <v>1433</v>
      </c>
      <c r="B966" s="511" t="s">
        <v>1462</v>
      </c>
      <c r="C966" s="511"/>
      <c r="D966" s="511"/>
      <c r="E966" s="61" t="s">
        <v>1437</v>
      </c>
      <c r="F966" s="61" t="s">
        <v>54</v>
      </c>
      <c r="G966" s="61" t="s">
        <v>55</v>
      </c>
      <c r="H966" s="61"/>
      <c r="I966" s="61" t="s">
        <v>1366</v>
      </c>
      <c r="J966" s="62">
        <v>180</v>
      </c>
      <c r="K966" s="62">
        <v>200</v>
      </c>
      <c r="L966" s="62">
        <v>200</v>
      </c>
      <c r="M966" s="62">
        <v>250</v>
      </c>
      <c r="N966" s="55" t="s">
        <v>1345</v>
      </c>
      <c r="O966" s="61" t="s">
        <v>52</v>
      </c>
      <c r="P966" s="66"/>
      <c r="Q966" s="66"/>
      <c r="R966" s="66"/>
      <c r="S966" s="66"/>
      <c r="T966" s="66"/>
      <c r="U966" s="66"/>
      <c r="V966" s="66"/>
    </row>
    <row r="967" spans="1:22" s="64" customFormat="1" x14ac:dyDescent="0.25">
      <c r="A967" s="61" t="s">
        <v>1433</v>
      </c>
      <c r="B967" s="511" t="s">
        <v>1462</v>
      </c>
      <c r="C967" s="511"/>
      <c r="D967" s="511"/>
      <c r="E967" s="61" t="s">
        <v>1438</v>
      </c>
      <c r="F967" s="61" t="s">
        <v>389</v>
      </c>
      <c r="G967" s="61" t="s">
        <v>55</v>
      </c>
      <c r="H967" s="61"/>
      <c r="I967" s="61" t="s">
        <v>1366</v>
      </c>
      <c r="J967" s="62">
        <v>180</v>
      </c>
      <c r="K967" s="62">
        <v>200</v>
      </c>
      <c r="L967" s="62">
        <v>200</v>
      </c>
      <c r="M967" s="62">
        <v>250</v>
      </c>
      <c r="N967" s="55" t="s">
        <v>1345</v>
      </c>
      <c r="O967" s="61" t="s">
        <v>52</v>
      </c>
      <c r="P967" s="66"/>
      <c r="Q967" s="66"/>
      <c r="R967" s="66"/>
      <c r="S967" s="66"/>
      <c r="T967" s="66"/>
      <c r="U967" s="66"/>
      <c r="V967" s="66"/>
    </row>
    <row r="968" spans="1:22" s="64" customFormat="1" x14ac:dyDescent="0.25">
      <c r="A968" s="61" t="s">
        <v>1433</v>
      </c>
      <c r="B968" s="511" t="s">
        <v>1462</v>
      </c>
      <c r="C968" s="511"/>
      <c r="D968" s="511"/>
      <c r="E968" s="61" t="s">
        <v>1439</v>
      </c>
      <c r="F968" s="61" t="s">
        <v>389</v>
      </c>
      <c r="G968" s="61" t="s">
        <v>55</v>
      </c>
      <c r="H968" s="61"/>
      <c r="I968" s="61" t="s">
        <v>1366</v>
      </c>
      <c r="J968" s="62">
        <v>180</v>
      </c>
      <c r="K968" s="62">
        <v>200</v>
      </c>
      <c r="L968" s="62">
        <v>200</v>
      </c>
      <c r="M968" s="62">
        <v>250</v>
      </c>
      <c r="N968" s="55" t="s">
        <v>1345</v>
      </c>
      <c r="O968" s="61" t="s">
        <v>52</v>
      </c>
      <c r="P968" s="66"/>
      <c r="Q968" s="66"/>
      <c r="R968" s="66"/>
      <c r="S968" s="66"/>
      <c r="T968" s="66"/>
      <c r="U968" s="66"/>
      <c r="V968" s="66"/>
    </row>
    <row r="969" spans="1:22" s="64" customFormat="1" x14ac:dyDescent="0.25">
      <c r="A969" s="61" t="s">
        <v>1433</v>
      </c>
      <c r="B969" s="511" t="s">
        <v>1462</v>
      </c>
      <c r="C969" s="511"/>
      <c r="D969" s="511"/>
      <c r="E969" s="61" t="s">
        <v>1437</v>
      </c>
      <c r="F969" s="61" t="s">
        <v>389</v>
      </c>
      <c r="G969" s="61" t="s">
        <v>55</v>
      </c>
      <c r="H969" s="61"/>
      <c r="I969" s="61" t="s">
        <v>1366</v>
      </c>
      <c r="J969" s="62">
        <v>180</v>
      </c>
      <c r="K969" s="62">
        <v>200</v>
      </c>
      <c r="L969" s="62">
        <v>200</v>
      </c>
      <c r="M969" s="62">
        <v>250</v>
      </c>
      <c r="N969" s="55" t="s">
        <v>1345</v>
      </c>
      <c r="O969" s="61" t="s">
        <v>52</v>
      </c>
      <c r="P969" s="66"/>
      <c r="Q969" s="66"/>
      <c r="R969" s="66"/>
      <c r="S969" s="66"/>
      <c r="T969" s="66"/>
      <c r="U969" s="66"/>
      <c r="V969" s="66"/>
    </row>
    <row r="970" spans="1:22" s="64" customFormat="1" x14ac:dyDescent="0.25">
      <c r="A970" s="61" t="s">
        <v>1433</v>
      </c>
      <c r="B970" s="511" t="s">
        <v>1463</v>
      </c>
      <c r="C970" s="511"/>
      <c r="D970" s="511"/>
      <c r="E970" s="61" t="s">
        <v>1435</v>
      </c>
      <c r="F970" s="61" t="s">
        <v>54</v>
      </c>
      <c r="G970" s="61" t="s">
        <v>55</v>
      </c>
      <c r="H970" s="61"/>
      <c r="I970" s="61" t="s">
        <v>1366</v>
      </c>
      <c r="J970" s="62">
        <v>270</v>
      </c>
      <c r="K970" s="62">
        <v>300</v>
      </c>
      <c r="L970" s="62">
        <v>300</v>
      </c>
      <c r="M970" s="62">
        <v>385</v>
      </c>
      <c r="N970" s="55" t="s">
        <v>1345</v>
      </c>
      <c r="O970" s="61" t="s">
        <v>52</v>
      </c>
      <c r="P970" s="66"/>
      <c r="Q970" s="66"/>
      <c r="R970" s="66"/>
      <c r="S970" s="66"/>
      <c r="T970" s="66"/>
      <c r="U970" s="66"/>
      <c r="V970" s="66"/>
    </row>
    <row r="971" spans="1:22" s="64" customFormat="1" x14ac:dyDescent="0.25">
      <c r="A971" s="61" t="s">
        <v>1433</v>
      </c>
      <c r="B971" s="511" t="s">
        <v>1463</v>
      </c>
      <c r="C971" s="511"/>
      <c r="D971" s="511"/>
      <c r="E971" s="61" t="s">
        <v>1435</v>
      </c>
      <c r="F971" s="61" t="s">
        <v>389</v>
      </c>
      <c r="G971" s="61" t="s">
        <v>55</v>
      </c>
      <c r="H971" s="61"/>
      <c r="I971" s="61" t="s">
        <v>1366</v>
      </c>
      <c r="J971" s="62">
        <v>270</v>
      </c>
      <c r="K971" s="62">
        <v>300</v>
      </c>
      <c r="L971" s="62">
        <v>300</v>
      </c>
      <c r="M971" s="62">
        <v>385</v>
      </c>
      <c r="N971" s="55" t="s">
        <v>1345</v>
      </c>
      <c r="O971" s="61" t="s">
        <v>52</v>
      </c>
      <c r="P971" s="66"/>
      <c r="Q971" s="66"/>
      <c r="R971" s="66"/>
      <c r="S971" s="66"/>
      <c r="T971" s="66"/>
      <c r="U971" s="66"/>
      <c r="V971" s="66"/>
    </row>
    <row r="972" spans="1:22" s="64" customFormat="1" x14ac:dyDescent="0.25">
      <c r="A972" s="61" t="s">
        <v>1433</v>
      </c>
      <c r="B972" s="511" t="s">
        <v>1464</v>
      </c>
      <c r="C972" s="511"/>
      <c r="D972" s="511"/>
      <c r="E972" s="61" t="s">
        <v>1447</v>
      </c>
      <c r="F972" s="61" t="s">
        <v>56</v>
      </c>
      <c r="G972" s="61" t="s">
        <v>55</v>
      </c>
      <c r="H972" s="61"/>
      <c r="I972" s="61" t="s">
        <v>1366</v>
      </c>
      <c r="J972" s="62">
        <v>235</v>
      </c>
      <c r="K972" s="62">
        <v>240</v>
      </c>
      <c r="L972" s="62">
        <v>240</v>
      </c>
      <c r="M972" s="62"/>
      <c r="N972" s="55" t="s">
        <v>1345</v>
      </c>
      <c r="O972" s="61" t="s">
        <v>52</v>
      </c>
      <c r="P972" s="66"/>
      <c r="Q972" s="66"/>
      <c r="R972" s="66"/>
      <c r="S972" s="66"/>
      <c r="T972" s="66"/>
      <c r="U972" s="66"/>
      <c r="V972" s="66"/>
    </row>
    <row r="973" spans="1:22" s="64" customFormat="1" x14ac:dyDescent="0.25">
      <c r="A973" s="61" t="s">
        <v>1433</v>
      </c>
      <c r="B973" s="511" t="s">
        <v>1465</v>
      </c>
      <c r="C973" s="511"/>
      <c r="D973" s="511"/>
      <c r="E973" s="61" t="s">
        <v>1437</v>
      </c>
      <c r="F973" s="61" t="s">
        <v>54</v>
      </c>
      <c r="G973" s="61" t="s">
        <v>55</v>
      </c>
      <c r="H973" s="61"/>
      <c r="I973" s="61" t="s">
        <v>1366</v>
      </c>
      <c r="J973" s="62">
        <v>180</v>
      </c>
      <c r="K973" s="62">
        <v>200</v>
      </c>
      <c r="L973" s="62">
        <v>200</v>
      </c>
      <c r="M973" s="62">
        <v>255</v>
      </c>
      <c r="N973" s="55" t="s">
        <v>1345</v>
      </c>
      <c r="O973" s="61" t="s">
        <v>52</v>
      </c>
      <c r="P973" s="66"/>
      <c r="Q973" s="66"/>
      <c r="R973" s="66"/>
      <c r="S973" s="66"/>
      <c r="T973" s="66"/>
      <c r="U973" s="66"/>
      <c r="V973" s="66"/>
    </row>
    <row r="974" spans="1:22" s="64" customFormat="1" x14ac:dyDescent="0.25">
      <c r="A974" s="61" t="s">
        <v>1433</v>
      </c>
      <c r="B974" s="511" t="s">
        <v>1465</v>
      </c>
      <c r="C974" s="511"/>
      <c r="D974" s="511"/>
      <c r="E974" s="61" t="s">
        <v>1438</v>
      </c>
      <c r="F974" s="61" t="s">
        <v>389</v>
      </c>
      <c r="G974" s="61" t="s">
        <v>55</v>
      </c>
      <c r="H974" s="61"/>
      <c r="I974" s="61" t="s">
        <v>1366</v>
      </c>
      <c r="J974" s="62">
        <v>180</v>
      </c>
      <c r="K974" s="62">
        <v>200</v>
      </c>
      <c r="L974" s="62">
        <v>200</v>
      </c>
      <c r="M974" s="62">
        <v>255</v>
      </c>
      <c r="N974" s="55" t="s">
        <v>1345</v>
      </c>
      <c r="O974" s="61" t="s">
        <v>52</v>
      </c>
      <c r="P974" s="66"/>
      <c r="Q974" s="66"/>
      <c r="R974" s="66"/>
      <c r="S974" s="66"/>
      <c r="T974" s="66"/>
      <c r="U974" s="66"/>
      <c r="V974" s="66"/>
    </row>
    <row r="975" spans="1:22" s="64" customFormat="1" x14ac:dyDescent="0.25">
      <c r="A975" s="61" t="s">
        <v>1433</v>
      </c>
      <c r="B975" s="511" t="s">
        <v>1465</v>
      </c>
      <c r="C975" s="511"/>
      <c r="D975" s="511"/>
      <c r="E975" s="61" t="s">
        <v>1439</v>
      </c>
      <c r="F975" s="61" t="s">
        <v>389</v>
      </c>
      <c r="G975" s="61" t="s">
        <v>55</v>
      </c>
      <c r="H975" s="61"/>
      <c r="I975" s="61" t="s">
        <v>1366</v>
      </c>
      <c r="J975" s="62">
        <v>180</v>
      </c>
      <c r="K975" s="62">
        <v>200</v>
      </c>
      <c r="L975" s="62">
        <v>200</v>
      </c>
      <c r="M975" s="62">
        <v>255</v>
      </c>
      <c r="N975" s="55" t="s">
        <v>1345</v>
      </c>
      <c r="O975" s="61" t="s">
        <v>52</v>
      </c>
      <c r="P975" s="66"/>
      <c r="Q975" s="66"/>
      <c r="R975" s="66"/>
      <c r="S975" s="66"/>
      <c r="T975" s="66"/>
      <c r="U975" s="66"/>
      <c r="V975" s="66"/>
    </row>
    <row r="976" spans="1:22" s="64" customFormat="1" x14ac:dyDescent="0.25">
      <c r="A976" s="61" t="s">
        <v>1433</v>
      </c>
      <c r="B976" s="511" t="s">
        <v>1465</v>
      </c>
      <c r="C976" s="511"/>
      <c r="D976" s="511"/>
      <c r="E976" s="61" t="s">
        <v>1437</v>
      </c>
      <c r="F976" s="61" t="s">
        <v>389</v>
      </c>
      <c r="G976" s="61" t="s">
        <v>55</v>
      </c>
      <c r="H976" s="61"/>
      <c r="I976" s="61" t="s">
        <v>1366</v>
      </c>
      <c r="J976" s="62">
        <v>180</v>
      </c>
      <c r="K976" s="62">
        <v>200</v>
      </c>
      <c r="L976" s="62">
        <v>200</v>
      </c>
      <c r="M976" s="62">
        <v>255</v>
      </c>
      <c r="N976" s="55" t="s">
        <v>1345</v>
      </c>
      <c r="O976" s="61" t="s">
        <v>52</v>
      </c>
      <c r="P976" s="66"/>
      <c r="Q976" s="66"/>
      <c r="R976" s="66"/>
      <c r="S976" s="66"/>
      <c r="T976" s="66"/>
      <c r="U976" s="66"/>
      <c r="V976" s="66"/>
    </row>
    <row r="977" spans="1:22" s="64" customFormat="1" x14ac:dyDescent="0.25">
      <c r="A977" s="61" t="s">
        <v>1433</v>
      </c>
      <c r="B977" s="511" t="s">
        <v>1466</v>
      </c>
      <c r="C977" s="511"/>
      <c r="D977" s="511"/>
      <c r="E977" s="61" t="s">
        <v>1435</v>
      </c>
      <c r="F977" s="61" t="s">
        <v>54</v>
      </c>
      <c r="G977" s="61" t="s">
        <v>55</v>
      </c>
      <c r="H977" s="61"/>
      <c r="I977" s="61" t="s">
        <v>1366</v>
      </c>
      <c r="J977" s="62">
        <v>270</v>
      </c>
      <c r="K977" s="62">
        <v>300</v>
      </c>
      <c r="L977" s="62">
        <v>300</v>
      </c>
      <c r="M977" s="62">
        <v>385</v>
      </c>
      <c r="N977" s="55" t="s">
        <v>1345</v>
      </c>
      <c r="O977" s="61" t="s">
        <v>52</v>
      </c>
      <c r="P977" s="66"/>
      <c r="Q977" s="66"/>
      <c r="R977" s="66"/>
      <c r="S977" s="66"/>
      <c r="T977" s="66"/>
      <c r="U977" s="66"/>
      <c r="V977" s="66"/>
    </row>
    <row r="978" spans="1:22" s="64" customFormat="1" x14ac:dyDescent="0.25">
      <c r="A978" s="61" t="s">
        <v>1433</v>
      </c>
      <c r="B978" s="511" t="s">
        <v>1466</v>
      </c>
      <c r="C978" s="511"/>
      <c r="D978" s="511"/>
      <c r="E978" s="61" t="s">
        <v>1435</v>
      </c>
      <c r="F978" s="61" t="s">
        <v>389</v>
      </c>
      <c r="G978" s="61" t="s">
        <v>55</v>
      </c>
      <c r="H978" s="61"/>
      <c r="I978" s="61" t="s">
        <v>1366</v>
      </c>
      <c r="J978" s="62">
        <v>270</v>
      </c>
      <c r="K978" s="62">
        <v>300</v>
      </c>
      <c r="L978" s="62">
        <v>300</v>
      </c>
      <c r="M978" s="62">
        <v>385</v>
      </c>
      <c r="N978" s="55" t="s">
        <v>1345</v>
      </c>
      <c r="O978" s="61" t="s">
        <v>52</v>
      </c>
      <c r="P978" s="66"/>
      <c r="Q978" s="66"/>
      <c r="R978" s="66"/>
      <c r="S978" s="66"/>
      <c r="T978" s="66"/>
      <c r="U978" s="66"/>
      <c r="V978" s="66"/>
    </row>
    <row r="979" spans="1:22" s="64" customFormat="1" x14ac:dyDescent="0.25">
      <c r="A979" s="61" t="s">
        <v>1433</v>
      </c>
      <c r="B979" s="511" t="s">
        <v>1467</v>
      </c>
      <c r="C979" s="511"/>
      <c r="D979" s="511"/>
      <c r="E979" s="61" t="s">
        <v>1468</v>
      </c>
      <c r="F979" s="61" t="s">
        <v>56</v>
      </c>
      <c r="G979" s="61" t="s">
        <v>55</v>
      </c>
      <c r="H979" s="61"/>
      <c r="I979" s="61" t="s">
        <v>1366</v>
      </c>
      <c r="J979" s="62">
        <v>30</v>
      </c>
      <c r="K979" s="62">
        <v>55</v>
      </c>
      <c r="L979" s="62">
        <v>55</v>
      </c>
      <c r="M979" s="62"/>
      <c r="N979" s="55" t="s">
        <v>1345</v>
      </c>
      <c r="O979" s="61" t="s">
        <v>52</v>
      </c>
      <c r="P979" s="66"/>
      <c r="Q979" s="66"/>
      <c r="R979" s="66"/>
      <c r="S979" s="66"/>
      <c r="T979" s="66"/>
      <c r="U979" s="66"/>
      <c r="V979" s="66"/>
    </row>
    <row r="980" spans="1:22" s="64" customFormat="1" x14ac:dyDescent="0.25">
      <c r="A980" s="61" t="s">
        <v>1433</v>
      </c>
      <c r="B980" s="511" t="s">
        <v>1469</v>
      </c>
      <c r="C980" s="511"/>
      <c r="D980" s="511"/>
      <c r="E980" s="61" t="s">
        <v>1435</v>
      </c>
      <c r="F980" s="61" t="s">
        <v>54</v>
      </c>
      <c r="G980" s="61" t="s">
        <v>55</v>
      </c>
      <c r="H980" s="61"/>
      <c r="I980" s="61" t="s">
        <v>1366</v>
      </c>
      <c r="J980" s="62">
        <v>360</v>
      </c>
      <c r="K980" s="62">
        <v>400</v>
      </c>
      <c r="L980" s="62">
        <v>400</v>
      </c>
      <c r="M980" s="62">
        <v>510</v>
      </c>
      <c r="N980" s="55" t="s">
        <v>1345</v>
      </c>
      <c r="O980" s="61" t="s">
        <v>52</v>
      </c>
      <c r="P980" s="66"/>
      <c r="Q980" s="66"/>
      <c r="R980" s="66"/>
      <c r="S980" s="66"/>
      <c r="T980" s="66"/>
      <c r="U980" s="66"/>
      <c r="V980" s="66"/>
    </row>
    <row r="981" spans="1:22" s="64" customFormat="1" x14ac:dyDescent="0.25">
      <c r="A981" s="61" t="s">
        <v>1433</v>
      </c>
      <c r="B981" s="511" t="s">
        <v>1469</v>
      </c>
      <c r="C981" s="511"/>
      <c r="D981" s="511"/>
      <c r="E981" s="61" t="s">
        <v>1435</v>
      </c>
      <c r="F981" s="61" t="s">
        <v>389</v>
      </c>
      <c r="G981" s="61" t="s">
        <v>55</v>
      </c>
      <c r="H981" s="61"/>
      <c r="I981" s="61" t="s">
        <v>1366</v>
      </c>
      <c r="J981" s="62">
        <v>360</v>
      </c>
      <c r="K981" s="62">
        <v>400</v>
      </c>
      <c r="L981" s="62">
        <v>400</v>
      </c>
      <c r="M981" s="62">
        <v>510</v>
      </c>
      <c r="N981" s="55" t="s">
        <v>1345</v>
      </c>
      <c r="O981" s="61" t="s">
        <v>52</v>
      </c>
      <c r="P981" s="66"/>
      <c r="Q981" s="66"/>
      <c r="R981" s="66"/>
      <c r="S981" s="66"/>
      <c r="T981" s="66"/>
      <c r="U981" s="66"/>
      <c r="V981" s="66"/>
    </row>
    <row r="982" spans="1:22" s="64" customFormat="1" x14ac:dyDescent="0.25">
      <c r="A982" s="61" t="s">
        <v>1433</v>
      </c>
      <c r="B982" s="511" t="s">
        <v>1470</v>
      </c>
      <c r="C982" s="511"/>
      <c r="D982" s="511"/>
      <c r="E982" s="61" t="s">
        <v>1447</v>
      </c>
      <c r="F982" s="61" t="s">
        <v>56</v>
      </c>
      <c r="G982" s="61" t="s">
        <v>55</v>
      </c>
      <c r="H982" s="61"/>
      <c r="I982" s="61" t="s">
        <v>1366</v>
      </c>
      <c r="J982" s="62">
        <v>255</v>
      </c>
      <c r="K982" s="62">
        <v>270</v>
      </c>
      <c r="L982" s="62">
        <v>270</v>
      </c>
      <c r="M982" s="62">
        <v>320</v>
      </c>
      <c r="N982" s="55" t="s">
        <v>1345</v>
      </c>
      <c r="O982" s="61" t="s">
        <v>52</v>
      </c>
      <c r="P982" s="66"/>
      <c r="Q982" s="66"/>
      <c r="R982" s="66"/>
      <c r="S982" s="66"/>
      <c r="T982" s="66"/>
      <c r="U982" s="66"/>
      <c r="V982" s="66"/>
    </row>
    <row r="983" spans="1:22" s="64" customFormat="1" x14ac:dyDescent="0.25">
      <c r="A983" s="61" t="s">
        <v>1433</v>
      </c>
      <c r="B983" s="511" t="s">
        <v>1471</v>
      </c>
      <c r="C983" s="511"/>
      <c r="D983" s="511"/>
      <c r="E983" s="61" t="s">
        <v>1447</v>
      </c>
      <c r="F983" s="61" t="s">
        <v>56</v>
      </c>
      <c r="G983" s="61" t="s">
        <v>55</v>
      </c>
      <c r="H983" s="61"/>
      <c r="I983" s="61" t="s">
        <v>1366</v>
      </c>
      <c r="J983" s="62">
        <v>245</v>
      </c>
      <c r="K983" s="62">
        <v>280</v>
      </c>
      <c r="L983" s="62">
        <v>280</v>
      </c>
      <c r="M983" s="62"/>
      <c r="N983" s="55" t="s">
        <v>1345</v>
      </c>
      <c r="O983" s="61" t="s">
        <v>52</v>
      </c>
      <c r="P983" s="66"/>
      <c r="Q983" s="66"/>
      <c r="R983" s="66"/>
      <c r="S983" s="66"/>
      <c r="T983" s="66"/>
      <c r="U983" s="66"/>
      <c r="V983" s="66"/>
    </row>
    <row r="984" spans="1:22" s="64" customFormat="1" x14ac:dyDescent="0.25">
      <c r="A984" s="61" t="s">
        <v>1433</v>
      </c>
      <c r="B984" s="511" t="s">
        <v>1472</v>
      </c>
      <c r="C984" s="511"/>
      <c r="D984" s="511"/>
      <c r="E984" s="61" t="s">
        <v>1437</v>
      </c>
      <c r="F984" s="61" t="s">
        <v>54</v>
      </c>
      <c r="G984" s="61" t="s">
        <v>55</v>
      </c>
      <c r="H984" s="61"/>
      <c r="I984" s="61" t="s">
        <v>1366</v>
      </c>
      <c r="J984" s="62">
        <v>205</v>
      </c>
      <c r="K984" s="62">
        <v>225</v>
      </c>
      <c r="L984" s="62">
        <v>225</v>
      </c>
      <c r="M984" s="62">
        <v>285</v>
      </c>
      <c r="N984" s="55" t="s">
        <v>1345</v>
      </c>
      <c r="O984" s="61" t="s">
        <v>52</v>
      </c>
      <c r="P984" s="66"/>
      <c r="Q984" s="66"/>
      <c r="R984" s="66"/>
      <c r="S984" s="66"/>
      <c r="T984" s="66"/>
      <c r="U984" s="66"/>
      <c r="V984" s="66"/>
    </row>
    <row r="985" spans="1:22" s="64" customFormat="1" x14ac:dyDescent="0.25">
      <c r="A985" s="61" t="s">
        <v>1433</v>
      </c>
      <c r="B985" s="511" t="s">
        <v>1472</v>
      </c>
      <c r="C985" s="511"/>
      <c r="D985" s="511"/>
      <c r="E985" s="61" t="s">
        <v>1438</v>
      </c>
      <c r="F985" s="61" t="s">
        <v>389</v>
      </c>
      <c r="G985" s="61" t="s">
        <v>55</v>
      </c>
      <c r="H985" s="61"/>
      <c r="I985" s="61" t="s">
        <v>1366</v>
      </c>
      <c r="J985" s="62">
        <v>205</v>
      </c>
      <c r="K985" s="62">
        <v>225</v>
      </c>
      <c r="L985" s="62">
        <v>225</v>
      </c>
      <c r="M985" s="62">
        <v>285</v>
      </c>
      <c r="N985" s="55" t="s">
        <v>1345</v>
      </c>
      <c r="O985" s="61" t="s">
        <v>52</v>
      </c>
      <c r="P985" s="66"/>
      <c r="Q985" s="66"/>
      <c r="R985" s="66"/>
      <c r="S985" s="66"/>
      <c r="T985" s="66"/>
      <c r="U985" s="66"/>
      <c r="V985" s="66"/>
    </row>
    <row r="986" spans="1:22" s="64" customFormat="1" x14ac:dyDescent="0.25">
      <c r="A986" s="61" t="s">
        <v>1433</v>
      </c>
      <c r="B986" s="511" t="s">
        <v>1472</v>
      </c>
      <c r="C986" s="511"/>
      <c r="D986" s="511"/>
      <c r="E986" s="61" t="s">
        <v>1439</v>
      </c>
      <c r="F986" s="61" t="s">
        <v>389</v>
      </c>
      <c r="G986" s="61" t="s">
        <v>55</v>
      </c>
      <c r="H986" s="61"/>
      <c r="I986" s="61" t="s">
        <v>1366</v>
      </c>
      <c r="J986" s="62">
        <v>205</v>
      </c>
      <c r="K986" s="62">
        <v>225</v>
      </c>
      <c r="L986" s="62">
        <v>225</v>
      </c>
      <c r="M986" s="62">
        <v>285</v>
      </c>
      <c r="N986" s="55" t="s">
        <v>1345</v>
      </c>
      <c r="O986" s="61" t="s">
        <v>52</v>
      </c>
      <c r="P986" s="66"/>
      <c r="Q986" s="66"/>
      <c r="R986" s="66"/>
      <c r="S986" s="66"/>
      <c r="T986" s="66"/>
      <c r="U986" s="66"/>
      <c r="V986" s="66"/>
    </row>
    <row r="987" spans="1:22" s="64" customFormat="1" x14ac:dyDescent="0.25">
      <c r="A987" s="61" t="s">
        <v>1433</v>
      </c>
      <c r="B987" s="511" t="s">
        <v>1472</v>
      </c>
      <c r="C987" s="511"/>
      <c r="D987" s="511"/>
      <c r="E987" s="61" t="s">
        <v>1437</v>
      </c>
      <c r="F987" s="61" t="s">
        <v>389</v>
      </c>
      <c r="G987" s="61" t="s">
        <v>55</v>
      </c>
      <c r="H987" s="61"/>
      <c r="I987" s="61" t="s">
        <v>1366</v>
      </c>
      <c r="J987" s="62">
        <v>205</v>
      </c>
      <c r="K987" s="62">
        <v>225</v>
      </c>
      <c r="L987" s="62">
        <v>225</v>
      </c>
      <c r="M987" s="62">
        <v>285</v>
      </c>
      <c r="N987" s="55" t="s">
        <v>1345</v>
      </c>
      <c r="O987" s="61" t="s">
        <v>52</v>
      </c>
      <c r="P987" s="66"/>
      <c r="Q987" s="66"/>
      <c r="R987" s="66"/>
      <c r="S987" s="66"/>
      <c r="T987" s="66"/>
      <c r="U987" s="66"/>
      <c r="V987" s="66"/>
    </row>
    <row r="988" spans="1:22" s="64" customFormat="1" x14ac:dyDescent="0.25">
      <c r="A988" s="61" t="s">
        <v>1433</v>
      </c>
      <c r="B988" s="511" t="s">
        <v>1473</v>
      </c>
      <c r="C988" s="511"/>
      <c r="D988" s="511"/>
      <c r="E988" s="61" t="s">
        <v>1435</v>
      </c>
      <c r="F988" s="61" t="s">
        <v>54</v>
      </c>
      <c r="G988" s="61" t="s">
        <v>55</v>
      </c>
      <c r="H988" s="61"/>
      <c r="I988" s="61" t="s">
        <v>1366</v>
      </c>
      <c r="J988" s="62">
        <v>225</v>
      </c>
      <c r="K988" s="62">
        <v>250</v>
      </c>
      <c r="L988" s="62">
        <v>250</v>
      </c>
      <c r="M988" s="62">
        <v>320</v>
      </c>
      <c r="N988" s="55" t="s">
        <v>1345</v>
      </c>
      <c r="O988" s="61" t="s">
        <v>52</v>
      </c>
      <c r="P988" s="66"/>
      <c r="Q988" s="66"/>
      <c r="R988" s="66"/>
      <c r="S988" s="66"/>
      <c r="T988" s="66"/>
      <c r="U988" s="66"/>
      <c r="V988" s="66"/>
    </row>
    <row r="989" spans="1:22" s="64" customFormat="1" x14ac:dyDescent="0.25">
      <c r="A989" s="61" t="s">
        <v>1433</v>
      </c>
      <c r="B989" s="511" t="s">
        <v>1473</v>
      </c>
      <c r="C989" s="511"/>
      <c r="D989" s="511"/>
      <c r="E989" s="61" t="s">
        <v>1435</v>
      </c>
      <c r="F989" s="61" t="s">
        <v>389</v>
      </c>
      <c r="G989" s="61" t="s">
        <v>55</v>
      </c>
      <c r="H989" s="61"/>
      <c r="I989" s="61" t="s">
        <v>1366</v>
      </c>
      <c r="J989" s="62">
        <v>225</v>
      </c>
      <c r="K989" s="62">
        <v>250</v>
      </c>
      <c r="L989" s="62">
        <v>250</v>
      </c>
      <c r="M989" s="62">
        <v>320</v>
      </c>
      <c r="N989" s="55" t="s">
        <v>1345</v>
      </c>
      <c r="O989" s="61" t="s">
        <v>52</v>
      </c>
      <c r="P989" s="66"/>
      <c r="Q989" s="66"/>
      <c r="R989" s="66"/>
      <c r="S989" s="66"/>
      <c r="T989" s="66"/>
      <c r="U989" s="66"/>
      <c r="V989" s="66"/>
    </row>
    <row r="990" spans="1:22" s="64" customFormat="1" x14ac:dyDescent="0.25">
      <c r="A990" s="61" t="s">
        <v>1433</v>
      </c>
      <c r="B990" s="511" t="s">
        <v>1474</v>
      </c>
      <c r="C990" s="511"/>
      <c r="D990" s="511"/>
      <c r="E990" s="61" t="s">
        <v>1435</v>
      </c>
      <c r="F990" s="61" t="s">
        <v>54</v>
      </c>
      <c r="G990" s="61" t="s">
        <v>55</v>
      </c>
      <c r="H990" s="61"/>
      <c r="I990" s="61" t="s">
        <v>1366</v>
      </c>
      <c r="J990" s="62">
        <v>135</v>
      </c>
      <c r="K990" s="62">
        <v>150</v>
      </c>
      <c r="L990" s="62">
        <v>150</v>
      </c>
      <c r="M990" s="62">
        <v>190</v>
      </c>
      <c r="N990" s="55" t="s">
        <v>1345</v>
      </c>
      <c r="O990" s="61" t="s">
        <v>52</v>
      </c>
      <c r="P990" s="66"/>
      <c r="Q990" s="66"/>
      <c r="R990" s="66"/>
      <c r="S990" s="66"/>
      <c r="T990" s="66"/>
      <c r="U990" s="66"/>
      <c r="V990" s="66"/>
    </row>
    <row r="991" spans="1:22" s="64" customFormat="1" x14ac:dyDescent="0.25">
      <c r="A991" s="61" t="s">
        <v>1433</v>
      </c>
      <c r="B991" s="511" t="s">
        <v>1475</v>
      </c>
      <c r="C991" s="511"/>
      <c r="D991" s="511"/>
      <c r="E991" s="61" t="s">
        <v>1468</v>
      </c>
      <c r="F991" s="61" t="s">
        <v>56</v>
      </c>
      <c r="G991" s="61" t="s">
        <v>55</v>
      </c>
      <c r="H991" s="61"/>
      <c r="I991" s="61" t="s">
        <v>1366</v>
      </c>
      <c r="J991" s="62">
        <v>500</v>
      </c>
      <c r="K991" s="62">
        <v>735</v>
      </c>
      <c r="L991" s="62">
        <v>735</v>
      </c>
      <c r="M991" s="62"/>
      <c r="N991" s="55" t="s">
        <v>1345</v>
      </c>
      <c r="O991" s="61" t="s">
        <v>52</v>
      </c>
      <c r="P991" s="66"/>
      <c r="Q991" s="66"/>
      <c r="R991" s="66"/>
      <c r="S991" s="66"/>
      <c r="T991" s="66"/>
      <c r="U991" s="66"/>
      <c r="V991" s="66"/>
    </row>
    <row r="992" spans="1:22" s="64" customFormat="1" x14ac:dyDescent="0.25">
      <c r="A992" s="61" t="s">
        <v>1433</v>
      </c>
      <c r="B992" s="511" t="s">
        <v>1476</v>
      </c>
      <c r="C992" s="511"/>
      <c r="D992" s="511"/>
      <c r="E992" s="61" t="s">
        <v>1435</v>
      </c>
      <c r="F992" s="61" t="s">
        <v>54</v>
      </c>
      <c r="G992" s="61" t="s">
        <v>55</v>
      </c>
      <c r="H992" s="61"/>
      <c r="I992" s="61" t="s">
        <v>1366</v>
      </c>
      <c r="J992" s="62">
        <v>630</v>
      </c>
      <c r="K992" s="62">
        <v>700</v>
      </c>
      <c r="L992" s="62">
        <v>700</v>
      </c>
      <c r="M992" s="62">
        <v>890</v>
      </c>
      <c r="N992" s="55" t="s">
        <v>1345</v>
      </c>
      <c r="O992" s="61" t="s">
        <v>52</v>
      </c>
      <c r="P992" s="66"/>
      <c r="Q992" s="66"/>
      <c r="R992" s="66"/>
      <c r="S992" s="66"/>
      <c r="T992" s="66"/>
      <c r="U992" s="66"/>
      <c r="V992" s="66"/>
    </row>
    <row r="993" spans="1:22" s="64" customFormat="1" x14ac:dyDescent="0.25">
      <c r="A993" s="61" t="s">
        <v>1433</v>
      </c>
      <c r="B993" s="511" t="s">
        <v>1476</v>
      </c>
      <c r="C993" s="511"/>
      <c r="D993" s="511"/>
      <c r="E993" s="61" t="s">
        <v>1435</v>
      </c>
      <c r="F993" s="61" t="s">
        <v>389</v>
      </c>
      <c r="G993" s="61" t="s">
        <v>55</v>
      </c>
      <c r="H993" s="61"/>
      <c r="I993" s="61" t="s">
        <v>1366</v>
      </c>
      <c r="J993" s="62">
        <v>630</v>
      </c>
      <c r="K993" s="62">
        <v>700</v>
      </c>
      <c r="L993" s="62">
        <v>700</v>
      </c>
      <c r="M993" s="62">
        <v>890</v>
      </c>
      <c r="N993" s="55" t="s">
        <v>1345</v>
      </c>
      <c r="O993" s="61" t="s">
        <v>52</v>
      </c>
      <c r="P993" s="66"/>
      <c r="Q993" s="66"/>
      <c r="R993" s="66"/>
      <c r="S993" s="66"/>
      <c r="T993" s="66"/>
      <c r="U993" s="66"/>
      <c r="V993" s="66"/>
    </row>
    <row r="994" spans="1:22" s="64" customFormat="1" x14ac:dyDescent="0.25">
      <c r="A994" s="61" t="s">
        <v>1433</v>
      </c>
      <c r="B994" s="511" t="s">
        <v>1477</v>
      </c>
      <c r="C994" s="511"/>
      <c r="D994" s="511"/>
      <c r="E994" s="61" t="s">
        <v>1435</v>
      </c>
      <c r="F994" s="61" t="s">
        <v>54</v>
      </c>
      <c r="G994" s="61" t="s">
        <v>55</v>
      </c>
      <c r="H994" s="61"/>
      <c r="I994" s="61" t="s">
        <v>1366</v>
      </c>
      <c r="J994" s="62">
        <v>270</v>
      </c>
      <c r="K994" s="62">
        <v>300</v>
      </c>
      <c r="L994" s="62">
        <v>300</v>
      </c>
      <c r="M994" s="62">
        <v>385</v>
      </c>
      <c r="N994" s="55" t="s">
        <v>1345</v>
      </c>
      <c r="O994" s="61" t="s">
        <v>52</v>
      </c>
      <c r="P994" s="66"/>
      <c r="Q994" s="66"/>
      <c r="R994" s="66"/>
      <c r="S994" s="66"/>
      <c r="T994" s="66"/>
      <c r="U994" s="66"/>
      <c r="V994" s="66"/>
    </row>
    <row r="995" spans="1:22" s="64" customFormat="1" x14ac:dyDescent="0.25">
      <c r="A995" s="61" t="s">
        <v>1433</v>
      </c>
      <c r="B995" s="511" t="s">
        <v>1477</v>
      </c>
      <c r="C995" s="511"/>
      <c r="D995" s="511"/>
      <c r="E995" s="61" t="s">
        <v>1435</v>
      </c>
      <c r="F995" s="61" t="s">
        <v>389</v>
      </c>
      <c r="G995" s="61" t="s">
        <v>55</v>
      </c>
      <c r="H995" s="61"/>
      <c r="I995" s="61" t="s">
        <v>1366</v>
      </c>
      <c r="J995" s="62">
        <v>270</v>
      </c>
      <c r="K995" s="62">
        <v>300</v>
      </c>
      <c r="L995" s="62">
        <v>300</v>
      </c>
      <c r="M995" s="62">
        <v>385</v>
      </c>
      <c r="N995" s="55" t="s">
        <v>1345</v>
      </c>
      <c r="O995" s="61" t="s">
        <v>52</v>
      </c>
      <c r="P995" s="66"/>
      <c r="Q995" s="66"/>
      <c r="R995" s="66"/>
      <c r="S995" s="66"/>
      <c r="T995" s="66"/>
      <c r="U995" s="66"/>
      <c r="V995" s="66"/>
    </row>
    <row r="996" spans="1:22" s="64" customFormat="1" x14ac:dyDescent="0.25">
      <c r="A996" s="61" t="s">
        <v>1433</v>
      </c>
      <c r="B996" s="511" t="s">
        <v>1478</v>
      </c>
      <c r="C996" s="511"/>
      <c r="D996" s="511"/>
      <c r="E996" s="61" t="s">
        <v>1437</v>
      </c>
      <c r="F996" s="61" t="s">
        <v>54</v>
      </c>
      <c r="G996" s="61" t="s">
        <v>55</v>
      </c>
      <c r="H996" s="61"/>
      <c r="I996" s="61" t="s">
        <v>1366</v>
      </c>
      <c r="J996" s="62">
        <v>270</v>
      </c>
      <c r="K996" s="62">
        <v>300</v>
      </c>
      <c r="L996" s="62">
        <v>300</v>
      </c>
      <c r="M996" s="62">
        <v>380</v>
      </c>
      <c r="N996" s="55" t="s">
        <v>1345</v>
      </c>
      <c r="O996" s="61" t="s">
        <v>52</v>
      </c>
      <c r="P996" s="66"/>
      <c r="Q996" s="66"/>
      <c r="R996" s="66"/>
      <c r="S996" s="66"/>
      <c r="T996" s="66"/>
      <c r="U996" s="66"/>
      <c r="V996" s="66"/>
    </row>
    <row r="997" spans="1:22" s="64" customFormat="1" x14ac:dyDescent="0.25">
      <c r="A997" s="61" t="s">
        <v>1433</v>
      </c>
      <c r="B997" s="511" t="s">
        <v>1478</v>
      </c>
      <c r="C997" s="511"/>
      <c r="D997" s="511"/>
      <c r="E997" s="61" t="s">
        <v>1438</v>
      </c>
      <c r="F997" s="61" t="s">
        <v>389</v>
      </c>
      <c r="G997" s="61" t="s">
        <v>55</v>
      </c>
      <c r="H997" s="61"/>
      <c r="I997" s="61" t="s">
        <v>1366</v>
      </c>
      <c r="J997" s="62">
        <v>270</v>
      </c>
      <c r="K997" s="62">
        <v>300</v>
      </c>
      <c r="L997" s="62">
        <v>300</v>
      </c>
      <c r="M997" s="62">
        <v>380</v>
      </c>
      <c r="N997" s="55" t="s">
        <v>1345</v>
      </c>
      <c r="O997" s="61" t="s">
        <v>52</v>
      </c>
      <c r="P997" s="66"/>
      <c r="Q997" s="66"/>
      <c r="R997" s="66"/>
      <c r="S997" s="66"/>
      <c r="T997" s="66"/>
      <c r="U997" s="66"/>
      <c r="V997" s="66"/>
    </row>
    <row r="998" spans="1:22" s="64" customFormat="1" x14ac:dyDescent="0.25">
      <c r="A998" s="61" t="s">
        <v>1433</v>
      </c>
      <c r="B998" s="511" t="s">
        <v>1478</v>
      </c>
      <c r="C998" s="511"/>
      <c r="D998" s="511"/>
      <c r="E998" s="61" t="s">
        <v>1439</v>
      </c>
      <c r="F998" s="61" t="s">
        <v>389</v>
      </c>
      <c r="G998" s="61" t="s">
        <v>55</v>
      </c>
      <c r="H998" s="61"/>
      <c r="I998" s="61" t="s">
        <v>1366</v>
      </c>
      <c r="J998" s="62">
        <v>270</v>
      </c>
      <c r="K998" s="62">
        <v>300</v>
      </c>
      <c r="L998" s="62">
        <v>300</v>
      </c>
      <c r="M998" s="62">
        <v>380</v>
      </c>
      <c r="N998" s="55" t="s">
        <v>1345</v>
      </c>
      <c r="O998" s="61" t="s">
        <v>52</v>
      </c>
      <c r="P998" s="66"/>
      <c r="Q998" s="66"/>
      <c r="R998" s="66"/>
      <c r="S998" s="66"/>
      <c r="T998" s="66"/>
      <c r="U998" s="66"/>
      <c r="V998" s="66"/>
    </row>
    <row r="999" spans="1:22" s="64" customFormat="1" x14ac:dyDescent="0.25">
      <c r="A999" s="61" t="s">
        <v>1433</v>
      </c>
      <c r="B999" s="511" t="s">
        <v>1478</v>
      </c>
      <c r="C999" s="511"/>
      <c r="D999" s="511"/>
      <c r="E999" s="61" t="s">
        <v>1437</v>
      </c>
      <c r="F999" s="61" t="s">
        <v>389</v>
      </c>
      <c r="G999" s="61" t="s">
        <v>55</v>
      </c>
      <c r="H999" s="61"/>
      <c r="I999" s="61" t="s">
        <v>1366</v>
      </c>
      <c r="J999" s="62">
        <v>270</v>
      </c>
      <c r="K999" s="62">
        <v>300</v>
      </c>
      <c r="L999" s="62">
        <v>300</v>
      </c>
      <c r="M999" s="62">
        <v>380</v>
      </c>
      <c r="N999" s="55" t="s">
        <v>1345</v>
      </c>
      <c r="O999" s="61" t="s">
        <v>52</v>
      </c>
      <c r="P999" s="66"/>
      <c r="Q999" s="66"/>
      <c r="R999" s="66"/>
      <c r="S999" s="66"/>
      <c r="T999" s="66"/>
      <c r="U999" s="66"/>
      <c r="V999" s="66"/>
    </row>
    <row r="1000" spans="1:22" s="64" customFormat="1" x14ac:dyDescent="0.25">
      <c r="A1000" s="61" t="s">
        <v>1433</v>
      </c>
      <c r="B1000" s="511" t="s">
        <v>1479</v>
      </c>
      <c r="C1000" s="511"/>
      <c r="D1000" s="511"/>
      <c r="E1000" s="61" t="s">
        <v>1437</v>
      </c>
      <c r="F1000" s="61" t="s">
        <v>54</v>
      </c>
      <c r="G1000" s="61" t="s">
        <v>55</v>
      </c>
      <c r="H1000" s="61"/>
      <c r="I1000" s="61" t="s">
        <v>1366</v>
      </c>
      <c r="J1000" s="62">
        <v>270</v>
      </c>
      <c r="K1000" s="62">
        <v>300</v>
      </c>
      <c r="L1000" s="62">
        <v>300</v>
      </c>
      <c r="M1000" s="62">
        <v>380</v>
      </c>
      <c r="N1000" s="55" t="s">
        <v>1345</v>
      </c>
      <c r="O1000" s="61" t="s">
        <v>52</v>
      </c>
      <c r="P1000" s="66"/>
      <c r="Q1000" s="66"/>
      <c r="R1000" s="66"/>
      <c r="S1000" s="66"/>
      <c r="T1000" s="66"/>
      <c r="U1000" s="66"/>
      <c r="V1000" s="66"/>
    </row>
    <row r="1001" spans="1:22" s="64" customFormat="1" x14ac:dyDescent="0.25">
      <c r="A1001" s="61" t="s">
        <v>1433</v>
      </c>
      <c r="B1001" s="511" t="s">
        <v>1479</v>
      </c>
      <c r="C1001" s="511"/>
      <c r="D1001" s="511"/>
      <c r="E1001" s="61" t="s">
        <v>1438</v>
      </c>
      <c r="F1001" s="61" t="s">
        <v>389</v>
      </c>
      <c r="G1001" s="61" t="s">
        <v>55</v>
      </c>
      <c r="H1001" s="61"/>
      <c r="I1001" s="61" t="s">
        <v>1366</v>
      </c>
      <c r="J1001" s="62">
        <v>270</v>
      </c>
      <c r="K1001" s="62">
        <v>300</v>
      </c>
      <c r="L1001" s="62">
        <v>300</v>
      </c>
      <c r="M1001" s="62">
        <v>380</v>
      </c>
      <c r="N1001" s="55" t="s">
        <v>1345</v>
      </c>
      <c r="O1001" s="61" t="s">
        <v>52</v>
      </c>
      <c r="P1001" s="66"/>
      <c r="Q1001" s="66"/>
      <c r="R1001" s="66"/>
      <c r="S1001" s="66"/>
      <c r="T1001" s="66"/>
      <c r="U1001" s="66"/>
      <c r="V1001" s="66"/>
    </row>
    <row r="1002" spans="1:22" s="64" customFormat="1" x14ac:dyDescent="0.25">
      <c r="A1002" s="61" t="s">
        <v>1433</v>
      </c>
      <c r="B1002" s="511" t="s">
        <v>1479</v>
      </c>
      <c r="C1002" s="511"/>
      <c r="D1002" s="511"/>
      <c r="E1002" s="61" t="s">
        <v>1439</v>
      </c>
      <c r="F1002" s="61" t="s">
        <v>389</v>
      </c>
      <c r="G1002" s="61" t="s">
        <v>55</v>
      </c>
      <c r="H1002" s="61"/>
      <c r="I1002" s="61" t="s">
        <v>1366</v>
      </c>
      <c r="J1002" s="62">
        <v>270</v>
      </c>
      <c r="K1002" s="62">
        <v>300</v>
      </c>
      <c r="L1002" s="62">
        <v>300</v>
      </c>
      <c r="M1002" s="62">
        <v>380</v>
      </c>
      <c r="N1002" s="55" t="s">
        <v>1345</v>
      </c>
      <c r="O1002" s="61" t="s">
        <v>52</v>
      </c>
      <c r="P1002" s="66"/>
      <c r="Q1002" s="66"/>
      <c r="R1002" s="66"/>
      <c r="S1002" s="66"/>
      <c r="T1002" s="66"/>
      <c r="U1002" s="66"/>
      <c r="V1002" s="66"/>
    </row>
    <row r="1003" spans="1:22" s="64" customFormat="1" x14ac:dyDescent="0.25">
      <c r="A1003" s="61" t="s">
        <v>1433</v>
      </c>
      <c r="B1003" s="511" t="s">
        <v>1479</v>
      </c>
      <c r="C1003" s="511"/>
      <c r="D1003" s="511"/>
      <c r="E1003" s="61" t="s">
        <v>1437</v>
      </c>
      <c r="F1003" s="61" t="s">
        <v>389</v>
      </c>
      <c r="G1003" s="61" t="s">
        <v>55</v>
      </c>
      <c r="H1003" s="61"/>
      <c r="I1003" s="61" t="s">
        <v>1366</v>
      </c>
      <c r="J1003" s="62">
        <v>270</v>
      </c>
      <c r="K1003" s="62">
        <v>300</v>
      </c>
      <c r="L1003" s="62">
        <v>300</v>
      </c>
      <c r="M1003" s="62">
        <v>380</v>
      </c>
      <c r="N1003" s="55" t="s">
        <v>1345</v>
      </c>
      <c r="O1003" s="61" t="s">
        <v>52</v>
      </c>
      <c r="P1003" s="66"/>
      <c r="Q1003" s="66"/>
      <c r="R1003" s="66"/>
      <c r="S1003" s="66"/>
      <c r="T1003" s="66"/>
      <c r="U1003" s="66"/>
      <c r="V1003" s="66"/>
    </row>
    <row r="1004" spans="1:22" s="64" customFormat="1" x14ac:dyDescent="0.25">
      <c r="A1004" s="61" t="s">
        <v>1433</v>
      </c>
      <c r="B1004" s="511" t="s">
        <v>1480</v>
      </c>
      <c r="C1004" s="511"/>
      <c r="D1004" s="511"/>
      <c r="E1004" s="61" t="s">
        <v>1437</v>
      </c>
      <c r="F1004" s="61" t="s">
        <v>54</v>
      </c>
      <c r="G1004" s="61" t="s">
        <v>55</v>
      </c>
      <c r="H1004" s="61"/>
      <c r="I1004" s="61" t="s">
        <v>1366</v>
      </c>
      <c r="J1004" s="62">
        <v>135</v>
      </c>
      <c r="K1004" s="62">
        <v>150</v>
      </c>
      <c r="L1004" s="62">
        <v>150</v>
      </c>
      <c r="M1004" s="62">
        <v>190</v>
      </c>
      <c r="N1004" s="55" t="s">
        <v>1345</v>
      </c>
      <c r="O1004" s="61" t="s">
        <v>52</v>
      </c>
      <c r="P1004" s="66"/>
      <c r="Q1004" s="66"/>
      <c r="R1004" s="66"/>
      <c r="S1004" s="66"/>
      <c r="T1004" s="66"/>
      <c r="U1004" s="66"/>
      <c r="V1004" s="66"/>
    </row>
    <row r="1005" spans="1:22" s="64" customFormat="1" x14ac:dyDescent="0.25">
      <c r="A1005" s="61" t="s">
        <v>1433</v>
      </c>
      <c r="B1005" s="511" t="s">
        <v>1481</v>
      </c>
      <c r="C1005" s="511"/>
      <c r="D1005" s="511"/>
      <c r="E1005" s="61" t="s">
        <v>1435</v>
      </c>
      <c r="F1005" s="61" t="s">
        <v>54</v>
      </c>
      <c r="G1005" s="61" t="s">
        <v>55</v>
      </c>
      <c r="H1005" s="61"/>
      <c r="I1005" s="61" t="s">
        <v>1366</v>
      </c>
      <c r="J1005" s="62">
        <v>450</v>
      </c>
      <c r="K1005" s="62">
        <v>500</v>
      </c>
      <c r="L1005" s="62">
        <v>500</v>
      </c>
      <c r="M1005" s="62">
        <v>635</v>
      </c>
      <c r="N1005" s="55" t="s">
        <v>1345</v>
      </c>
      <c r="O1005" s="61" t="s">
        <v>52</v>
      </c>
      <c r="P1005" s="66"/>
      <c r="Q1005" s="66"/>
      <c r="R1005" s="66"/>
      <c r="S1005" s="66"/>
      <c r="T1005" s="66"/>
      <c r="U1005" s="66"/>
      <c r="V1005" s="66"/>
    </row>
    <row r="1006" spans="1:22" s="64" customFormat="1" x14ac:dyDescent="0.25">
      <c r="A1006" s="61" t="s">
        <v>1433</v>
      </c>
      <c r="B1006" s="511" t="s">
        <v>1481</v>
      </c>
      <c r="C1006" s="511"/>
      <c r="D1006" s="511"/>
      <c r="E1006" s="61" t="s">
        <v>1435</v>
      </c>
      <c r="F1006" s="61" t="s">
        <v>389</v>
      </c>
      <c r="G1006" s="61" t="s">
        <v>55</v>
      </c>
      <c r="H1006" s="61"/>
      <c r="I1006" s="61" t="s">
        <v>1366</v>
      </c>
      <c r="J1006" s="62">
        <v>450</v>
      </c>
      <c r="K1006" s="62">
        <v>500</v>
      </c>
      <c r="L1006" s="62">
        <v>500</v>
      </c>
      <c r="M1006" s="62">
        <v>635</v>
      </c>
      <c r="N1006" s="55" t="s">
        <v>1345</v>
      </c>
      <c r="O1006" s="61" t="s">
        <v>52</v>
      </c>
      <c r="P1006" s="66"/>
      <c r="Q1006" s="66"/>
      <c r="R1006" s="66"/>
      <c r="S1006" s="66"/>
      <c r="T1006" s="66"/>
      <c r="U1006" s="66"/>
      <c r="V1006" s="66"/>
    </row>
    <row r="1007" spans="1:22" s="64" customFormat="1" x14ac:dyDescent="0.25">
      <c r="A1007" s="61" t="s">
        <v>1433</v>
      </c>
      <c r="B1007" s="511" t="s">
        <v>1481</v>
      </c>
      <c r="C1007" s="511"/>
      <c r="D1007" s="511"/>
      <c r="E1007" s="61" t="s">
        <v>1447</v>
      </c>
      <c r="F1007" s="61" t="s">
        <v>56</v>
      </c>
      <c r="G1007" s="61" t="s">
        <v>55</v>
      </c>
      <c r="H1007" s="61"/>
      <c r="I1007" s="61" t="s">
        <v>1366</v>
      </c>
      <c r="J1007" s="62">
        <v>620</v>
      </c>
      <c r="K1007" s="62">
        <v>815</v>
      </c>
      <c r="L1007" s="62">
        <v>815</v>
      </c>
      <c r="M1007" s="62"/>
      <c r="N1007" s="55" t="s">
        <v>1345</v>
      </c>
      <c r="O1007" s="61" t="s">
        <v>52</v>
      </c>
      <c r="P1007" s="66"/>
      <c r="Q1007" s="66"/>
      <c r="R1007" s="66"/>
      <c r="S1007" s="66"/>
      <c r="T1007" s="66"/>
      <c r="U1007" s="66"/>
      <c r="V1007" s="66"/>
    </row>
    <row r="1008" spans="1:22" s="64" customFormat="1" x14ac:dyDescent="0.25">
      <c r="A1008" s="61" t="s">
        <v>1433</v>
      </c>
      <c r="B1008" s="511" t="s">
        <v>1481</v>
      </c>
      <c r="C1008" s="511"/>
      <c r="D1008" s="511"/>
      <c r="E1008" s="61" t="s">
        <v>1455</v>
      </c>
      <c r="F1008" s="61" t="s">
        <v>56</v>
      </c>
      <c r="G1008" s="61" t="s">
        <v>55</v>
      </c>
      <c r="H1008" s="61"/>
      <c r="I1008" s="61" t="s">
        <v>1366</v>
      </c>
      <c r="J1008" s="62">
        <v>495</v>
      </c>
      <c r="K1008" s="62">
        <v>720</v>
      </c>
      <c r="L1008" s="62">
        <v>720</v>
      </c>
      <c r="M1008" s="62"/>
      <c r="N1008" s="55" t="s">
        <v>1345</v>
      </c>
      <c r="O1008" s="61" t="s">
        <v>52</v>
      </c>
      <c r="P1008" s="66"/>
      <c r="Q1008" s="66"/>
      <c r="R1008" s="66"/>
      <c r="S1008" s="66"/>
      <c r="T1008" s="66"/>
      <c r="U1008" s="66"/>
      <c r="V1008" s="66"/>
    </row>
    <row r="1009" spans="1:22" s="64" customFormat="1" x14ac:dyDescent="0.25">
      <c r="A1009" s="61" t="s">
        <v>1433</v>
      </c>
      <c r="B1009" s="511" t="s">
        <v>1481</v>
      </c>
      <c r="C1009" s="511"/>
      <c r="D1009" s="511"/>
      <c r="E1009" s="61" t="s">
        <v>1437</v>
      </c>
      <c r="F1009" s="61" t="s">
        <v>56</v>
      </c>
      <c r="G1009" s="61" t="s">
        <v>55</v>
      </c>
      <c r="H1009" s="61"/>
      <c r="I1009" s="61" t="s">
        <v>1366</v>
      </c>
      <c r="J1009" s="62">
        <v>705</v>
      </c>
      <c r="K1009" s="62">
        <v>815</v>
      </c>
      <c r="L1009" s="62">
        <v>815</v>
      </c>
      <c r="M1009" s="62"/>
      <c r="N1009" s="55" t="s">
        <v>1345</v>
      </c>
      <c r="O1009" s="61" t="s">
        <v>52</v>
      </c>
      <c r="P1009" s="66"/>
      <c r="Q1009" s="66"/>
      <c r="R1009" s="66"/>
      <c r="S1009" s="66"/>
      <c r="T1009" s="66"/>
      <c r="U1009" s="66"/>
      <c r="V1009" s="66"/>
    </row>
    <row r="1010" spans="1:22" s="64" customFormat="1" x14ac:dyDescent="0.25">
      <c r="A1010" s="61" t="s">
        <v>1433</v>
      </c>
      <c r="B1010" s="511" t="s">
        <v>1482</v>
      </c>
      <c r="C1010" s="511"/>
      <c r="D1010" s="511"/>
      <c r="E1010" s="61" t="s">
        <v>1435</v>
      </c>
      <c r="F1010" s="61" t="s">
        <v>54</v>
      </c>
      <c r="G1010" s="61" t="s">
        <v>55</v>
      </c>
      <c r="H1010" s="61"/>
      <c r="I1010" s="61" t="s">
        <v>1366</v>
      </c>
      <c r="J1010" s="62">
        <v>90</v>
      </c>
      <c r="K1010" s="62">
        <v>100</v>
      </c>
      <c r="L1010" s="62">
        <v>100</v>
      </c>
      <c r="M1010" s="62">
        <v>130</v>
      </c>
      <c r="N1010" s="55" t="s">
        <v>1345</v>
      </c>
      <c r="O1010" s="61" t="s">
        <v>52</v>
      </c>
      <c r="P1010" s="66"/>
      <c r="Q1010" s="66"/>
      <c r="R1010" s="66"/>
      <c r="S1010" s="66"/>
      <c r="T1010" s="66"/>
      <c r="U1010" s="66"/>
      <c r="V1010" s="66"/>
    </row>
    <row r="1011" spans="1:22" s="64" customFormat="1" x14ac:dyDescent="0.25">
      <c r="A1011" s="61" t="s">
        <v>1433</v>
      </c>
      <c r="B1011" s="511" t="s">
        <v>1482</v>
      </c>
      <c r="C1011" s="511"/>
      <c r="D1011" s="511"/>
      <c r="E1011" s="61" t="s">
        <v>1435</v>
      </c>
      <c r="F1011" s="61" t="s">
        <v>389</v>
      </c>
      <c r="G1011" s="61" t="s">
        <v>55</v>
      </c>
      <c r="H1011" s="61"/>
      <c r="I1011" s="61" t="s">
        <v>1366</v>
      </c>
      <c r="J1011" s="62">
        <v>90</v>
      </c>
      <c r="K1011" s="62">
        <v>100</v>
      </c>
      <c r="L1011" s="62">
        <v>100</v>
      </c>
      <c r="M1011" s="62">
        <v>130</v>
      </c>
      <c r="N1011" s="55" t="s">
        <v>1345</v>
      </c>
      <c r="O1011" s="61" t="s">
        <v>52</v>
      </c>
      <c r="P1011" s="66"/>
      <c r="Q1011" s="66"/>
      <c r="R1011" s="66"/>
      <c r="S1011" s="66"/>
      <c r="T1011" s="66"/>
      <c r="U1011" s="66"/>
      <c r="V1011" s="66"/>
    </row>
    <row r="1012" spans="1:22" s="64" customFormat="1" x14ac:dyDescent="0.25">
      <c r="A1012" s="61" t="s">
        <v>1433</v>
      </c>
      <c r="B1012" s="511" t="s">
        <v>1482</v>
      </c>
      <c r="C1012" s="511"/>
      <c r="D1012" s="511"/>
      <c r="E1012" s="61" t="s">
        <v>1435</v>
      </c>
      <c r="F1012" s="61" t="s">
        <v>56</v>
      </c>
      <c r="G1012" s="61" t="s">
        <v>55</v>
      </c>
      <c r="H1012" s="61"/>
      <c r="I1012" s="61" t="s">
        <v>1366</v>
      </c>
      <c r="J1012" s="62">
        <v>745</v>
      </c>
      <c r="K1012" s="62">
        <v>970</v>
      </c>
      <c r="L1012" s="62">
        <v>970</v>
      </c>
      <c r="M1012" s="62">
        <v>510</v>
      </c>
      <c r="N1012" s="55" t="s">
        <v>1345</v>
      </c>
      <c r="O1012" s="61" t="s">
        <v>52</v>
      </c>
      <c r="P1012" s="66"/>
      <c r="Q1012" s="66"/>
      <c r="R1012" s="66"/>
      <c r="S1012" s="66"/>
      <c r="T1012" s="66"/>
      <c r="U1012" s="66"/>
      <c r="V1012" s="66"/>
    </row>
    <row r="1013" spans="1:22" s="64" customFormat="1" x14ac:dyDescent="0.25">
      <c r="A1013" s="61" t="s">
        <v>1433</v>
      </c>
      <c r="B1013" s="511" t="s">
        <v>1440</v>
      </c>
      <c r="C1013" s="511"/>
      <c r="D1013" s="511"/>
      <c r="E1013" s="61" t="s">
        <v>1437</v>
      </c>
      <c r="F1013" s="61" t="s">
        <v>54</v>
      </c>
      <c r="G1013" s="61" t="s">
        <v>55</v>
      </c>
      <c r="H1013" s="61"/>
      <c r="I1013" s="61" t="s">
        <v>1366</v>
      </c>
      <c r="J1013" s="62">
        <v>180</v>
      </c>
      <c r="K1013" s="62">
        <v>200</v>
      </c>
      <c r="L1013" s="62">
        <v>200</v>
      </c>
      <c r="M1013" s="62">
        <v>255</v>
      </c>
      <c r="N1013" s="55" t="s">
        <v>1345</v>
      </c>
      <c r="O1013" s="61" t="s">
        <v>52</v>
      </c>
      <c r="P1013" s="66"/>
      <c r="Q1013" s="66"/>
      <c r="R1013" s="66"/>
      <c r="S1013" s="66"/>
      <c r="T1013" s="66"/>
      <c r="U1013" s="66"/>
      <c r="V1013" s="66"/>
    </row>
    <row r="1014" spans="1:22" s="64" customFormat="1" x14ac:dyDescent="0.25">
      <c r="A1014" s="61" t="s">
        <v>1433</v>
      </c>
      <c r="B1014" s="511" t="s">
        <v>1440</v>
      </c>
      <c r="C1014" s="511"/>
      <c r="D1014" s="511"/>
      <c r="E1014" s="61" t="s">
        <v>1438</v>
      </c>
      <c r="F1014" s="61" t="s">
        <v>389</v>
      </c>
      <c r="G1014" s="61" t="s">
        <v>55</v>
      </c>
      <c r="H1014" s="61"/>
      <c r="I1014" s="61" t="s">
        <v>1366</v>
      </c>
      <c r="J1014" s="62">
        <v>180</v>
      </c>
      <c r="K1014" s="62">
        <v>200</v>
      </c>
      <c r="L1014" s="62">
        <v>200</v>
      </c>
      <c r="M1014" s="62">
        <v>255</v>
      </c>
      <c r="N1014" s="55" t="s">
        <v>1345</v>
      </c>
      <c r="O1014" s="61" t="s">
        <v>52</v>
      </c>
      <c r="P1014" s="66"/>
      <c r="Q1014" s="66"/>
      <c r="R1014" s="66"/>
      <c r="S1014" s="66"/>
      <c r="T1014" s="66"/>
      <c r="U1014" s="66"/>
      <c r="V1014" s="66"/>
    </row>
    <row r="1015" spans="1:22" s="64" customFormat="1" x14ac:dyDescent="0.25">
      <c r="A1015" s="61" t="s">
        <v>1433</v>
      </c>
      <c r="B1015" s="511" t="s">
        <v>1440</v>
      </c>
      <c r="C1015" s="511"/>
      <c r="D1015" s="511"/>
      <c r="E1015" s="61" t="s">
        <v>1439</v>
      </c>
      <c r="F1015" s="61" t="s">
        <v>389</v>
      </c>
      <c r="G1015" s="61" t="s">
        <v>55</v>
      </c>
      <c r="H1015" s="61"/>
      <c r="I1015" s="61" t="s">
        <v>1366</v>
      </c>
      <c r="J1015" s="62">
        <v>180</v>
      </c>
      <c r="K1015" s="62">
        <v>200</v>
      </c>
      <c r="L1015" s="62">
        <v>200</v>
      </c>
      <c r="M1015" s="62">
        <v>255</v>
      </c>
      <c r="N1015" s="55" t="s">
        <v>1345</v>
      </c>
      <c r="O1015" s="61" t="s">
        <v>52</v>
      </c>
      <c r="P1015" s="66"/>
      <c r="Q1015" s="66"/>
      <c r="R1015" s="66"/>
      <c r="S1015" s="66"/>
      <c r="T1015" s="66"/>
      <c r="U1015" s="66"/>
      <c r="V1015" s="66"/>
    </row>
    <row r="1016" spans="1:22" s="64" customFormat="1" x14ac:dyDescent="0.25">
      <c r="A1016" s="61" t="s">
        <v>1433</v>
      </c>
      <c r="B1016" s="511" t="s">
        <v>1440</v>
      </c>
      <c r="C1016" s="511"/>
      <c r="D1016" s="511"/>
      <c r="E1016" s="61" t="s">
        <v>1437</v>
      </c>
      <c r="F1016" s="61" t="s">
        <v>389</v>
      </c>
      <c r="G1016" s="61" t="s">
        <v>55</v>
      </c>
      <c r="H1016" s="61"/>
      <c r="I1016" s="61" t="s">
        <v>1366</v>
      </c>
      <c r="J1016" s="62">
        <v>180</v>
      </c>
      <c r="K1016" s="62">
        <v>200</v>
      </c>
      <c r="L1016" s="62">
        <v>200</v>
      </c>
      <c r="M1016" s="62">
        <v>255</v>
      </c>
      <c r="N1016" s="55" t="s">
        <v>1345</v>
      </c>
      <c r="O1016" s="61" t="s">
        <v>52</v>
      </c>
      <c r="P1016" s="66"/>
      <c r="Q1016" s="66"/>
      <c r="R1016" s="66"/>
      <c r="S1016" s="66"/>
      <c r="T1016" s="66"/>
      <c r="U1016" s="66"/>
      <c r="V1016" s="66"/>
    </row>
    <row r="1017" spans="1:22" s="64" customFormat="1" x14ac:dyDescent="0.25">
      <c r="A1017" s="61" t="s">
        <v>1433</v>
      </c>
      <c r="B1017" s="511" t="s">
        <v>1483</v>
      </c>
      <c r="C1017" s="511"/>
      <c r="D1017" s="511"/>
      <c r="E1017" s="61" t="s">
        <v>1435</v>
      </c>
      <c r="F1017" s="61" t="s">
        <v>56</v>
      </c>
      <c r="G1017" s="61" t="s">
        <v>55</v>
      </c>
      <c r="H1017" s="61"/>
      <c r="I1017" s="61" t="s">
        <v>1366</v>
      </c>
      <c r="J1017" s="62">
        <v>235</v>
      </c>
      <c r="K1017" s="62">
        <v>265</v>
      </c>
      <c r="L1017" s="62">
        <v>265</v>
      </c>
      <c r="M1017" s="62"/>
      <c r="N1017" s="55" t="s">
        <v>1345</v>
      </c>
      <c r="O1017" s="61" t="s">
        <v>52</v>
      </c>
      <c r="P1017" s="66"/>
      <c r="Q1017" s="66"/>
      <c r="R1017" s="66"/>
      <c r="S1017" s="66"/>
      <c r="T1017" s="66"/>
      <c r="U1017" s="66"/>
      <c r="V1017" s="66"/>
    </row>
    <row r="1018" spans="1:22" s="64" customFormat="1" x14ac:dyDescent="0.25">
      <c r="A1018" s="61" t="s">
        <v>1433</v>
      </c>
      <c r="B1018" s="511" t="s">
        <v>1484</v>
      </c>
      <c r="C1018" s="511"/>
      <c r="D1018" s="511"/>
      <c r="E1018" s="61" t="s">
        <v>1435</v>
      </c>
      <c r="F1018" s="61" t="s">
        <v>54</v>
      </c>
      <c r="G1018" s="61" t="s">
        <v>55</v>
      </c>
      <c r="H1018" s="61"/>
      <c r="I1018" s="61" t="s">
        <v>1366</v>
      </c>
      <c r="J1018" s="62">
        <v>180</v>
      </c>
      <c r="K1018" s="62">
        <v>200</v>
      </c>
      <c r="L1018" s="62">
        <v>200</v>
      </c>
      <c r="M1018" s="62">
        <v>250</v>
      </c>
      <c r="N1018" s="55" t="s">
        <v>1345</v>
      </c>
      <c r="O1018" s="61" t="s">
        <v>52</v>
      </c>
      <c r="P1018" s="66"/>
      <c r="Q1018" s="66"/>
      <c r="R1018" s="66"/>
      <c r="S1018" s="66"/>
      <c r="T1018" s="66"/>
      <c r="U1018" s="66"/>
      <c r="V1018" s="66"/>
    </row>
    <row r="1019" spans="1:22" s="64" customFormat="1" x14ac:dyDescent="0.25">
      <c r="A1019" s="61" t="s">
        <v>1433</v>
      </c>
      <c r="B1019" s="511" t="s">
        <v>1484</v>
      </c>
      <c r="C1019" s="511"/>
      <c r="D1019" s="511"/>
      <c r="E1019" s="61" t="s">
        <v>1435</v>
      </c>
      <c r="F1019" s="61" t="s">
        <v>389</v>
      </c>
      <c r="G1019" s="61" t="s">
        <v>55</v>
      </c>
      <c r="H1019" s="61"/>
      <c r="I1019" s="61" t="s">
        <v>1366</v>
      </c>
      <c r="J1019" s="62">
        <v>180</v>
      </c>
      <c r="K1019" s="62">
        <v>200</v>
      </c>
      <c r="L1019" s="62">
        <v>200</v>
      </c>
      <c r="M1019" s="62">
        <v>250</v>
      </c>
      <c r="N1019" s="55" t="s">
        <v>1345</v>
      </c>
      <c r="O1019" s="61" t="s">
        <v>52</v>
      </c>
      <c r="P1019" s="66"/>
      <c r="Q1019" s="66"/>
      <c r="R1019" s="66"/>
      <c r="S1019" s="66"/>
      <c r="T1019" s="66"/>
      <c r="U1019" s="66"/>
      <c r="V1019" s="66"/>
    </row>
    <row r="1020" spans="1:22" s="64" customFormat="1" x14ac:dyDescent="0.25">
      <c r="A1020" s="61" t="s">
        <v>1433</v>
      </c>
      <c r="B1020" s="511" t="s">
        <v>1468</v>
      </c>
      <c r="C1020" s="511"/>
      <c r="D1020" s="511"/>
      <c r="E1020" s="61" t="s">
        <v>1439</v>
      </c>
      <c r="F1020" s="61" t="s">
        <v>54</v>
      </c>
      <c r="G1020" s="61" t="s">
        <v>55</v>
      </c>
      <c r="H1020" s="61"/>
      <c r="I1020" s="61" t="s">
        <v>1366</v>
      </c>
      <c r="J1020" s="62">
        <v>0</v>
      </c>
      <c r="K1020" s="62">
        <v>0</v>
      </c>
      <c r="L1020" s="62">
        <v>0</v>
      </c>
      <c r="M1020" s="62">
        <v>0</v>
      </c>
      <c r="N1020" s="55" t="s">
        <v>1345</v>
      </c>
      <c r="O1020" s="61" t="s">
        <v>52</v>
      </c>
      <c r="P1020" s="66"/>
      <c r="Q1020" s="66"/>
      <c r="R1020" s="66"/>
      <c r="S1020" s="66"/>
      <c r="T1020" s="66"/>
      <c r="U1020" s="66"/>
      <c r="V1020" s="66"/>
    </row>
    <row r="1021" spans="1:22" s="64" customFormat="1" x14ac:dyDescent="0.25">
      <c r="A1021" s="61" t="s">
        <v>1433</v>
      </c>
      <c r="B1021" s="511" t="s">
        <v>1485</v>
      </c>
      <c r="C1021" s="511"/>
      <c r="D1021" s="511"/>
      <c r="E1021" s="61" t="s">
        <v>1437</v>
      </c>
      <c r="F1021" s="61" t="s">
        <v>54</v>
      </c>
      <c r="G1021" s="61" t="s">
        <v>55</v>
      </c>
      <c r="H1021" s="61"/>
      <c r="I1021" s="61" t="s">
        <v>1366</v>
      </c>
      <c r="J1021" s="62">
        <v>315</v>
      </c>
      <c r="K1021" s="62">
        <v>350</v>
      </c>
      <c r="L1021" s="62">
        <v>350</v>
      </c>
      <c r="M1021" s="62">
        <v>445</v>
      </c>
      <c r="N1021" s="55" t="s">
        <v>1345</v>
      </c>
      <c r="O1021" s="61" t="s">
        <v>52</v>
      </c>
      <c r="P1021" s="66"/>
      <c r="Q1021" s="66"/>
      <c r="R1021" s="66"/>
      <c r="S1021" s="66"/>
      <c r="T1021" s="66"/>
      <c r="U1021" s="66"/>
      <c r="V1021" s="66"/>
    </row>
    <row r="1022" spans="1:22" s="64" customFormat="1" x14ac:dyDescent="0.25">
      <c r="A1022" s="61" t="s">
        <v>1433</v>
      </c>
      <c r="B1022" s="511" t="s">
        <v>1485</v>
      </c>
      <c r="C1022" s="511"/>
      <c r="D1022" s="511"/>
      <c r="E1022" s="61" t="s">
        <v>1438</v>
      </c>
      <c r="F1022" s="61" t="s">
        <v>389</v>
      </c>
      <c r="G1022" s="61" t="s">
        <v>55</v>
      </c>
      <c r="H1022" s="61"/>
      <c r="I1022" s="61" t="s">
        <v>1366</v>
      </c>
      <c r="J1022" s="62">
        <v>315</v>
      </c>
      <c r="K1022" s="62">
        <v>350</v>
      </c>
      <c r="L1022" s="62">
        <v>350</v>
      </c>
      <c r="M1022" s="62">
        <v>445</v>
      </c>
      <c r="N1022" s="55" t="s">
        <v>1345</v>
      </c>
      <c r="O1022" s="61" t="s">
        <v>52</v>
      </c>
      <c r="P1022" s="66"/>
      <c r="Q1022" s="66"/>
      <c r="R1022" s="66"/>
      <c r="S1022" s="66"/>
      <c r="T1022" s="66"/>
      <c r="U1022" s="66"/>
      <c r="V1022" s="66"/>
    </row>
    <row r="1023" spans="1:22" s="64" customFormat="1" x14ac:dyDescent="0.25">
      <c r="A1023" s="61" t="s">
        <v>1433</v>
      </c>
      <c r="B1023" s="511" t="s">
        <v>1485</v>
      </c>
      <c r="C1023" s="511"/>
      <c r="D1023" s="511"/>
      <c r="E1023" s="61" t="s">
        <v>1439</v>
      </c>
      <c r="F1023" s="61" t="s">
        <v>389</v>
      </c>
      <c r="G1023" s="61" t="s">
        <v>55</v>
      </c>
      <c r="H1023" s="61"/>
      <c r="I1023" s="61" t="s">
        <v>1366</v>
      </c>
      <c r="J1023" s="62">
        <v>315</v>
      </c>
      <c r="K1023" s="62">
        <v>350</v>
      </c>
      <c r="L1023" s="62">
        <v>350</v>
      </c>
      <c r="M1023" s="62">
        <v>445</v>
      </c>
      <c r="N1023" s="55" t="s">
        <v>1345</v>
      </c>
      <c r="O1023" s="61" t="s">
        <v>52</v>
      </c>
      <c r="P1023" s="66"/>
      <c r="Q1023" s="66"/>
      <c r="R1023" s="66"/>
      <c r="S1023" s="66"/>
      <c r="T1023" s="66"/>
      <c r="U1023" s="66"/>
      <c r="V1023" s="66"/>
    </row>
    <row r="1024" spans="1:22" s="64" customFormat="1" x14ac:dyDescent="0.25">
      <c r="A1024" s="61" t="s">
        <v>1433</v>
      </c>
      <c r="B1024" s="511" t="s">
        <v>1485</v>
      </c>
      <c r="C1024" s="511"/>
      <c r="D1024" s="511"/>
      <c r="E1024" s="61" t="s">
        <v>1437</v>
      </c>
      <c r="F1024" s="61" t="s">
        <v>389</v>
      </c>
      <c r="G1024" s="61" t="s">
        <v>55</v>
      </c>
      <c r="H1024" s="61"/>
      <c r="I1024" s="61" t="s">
        <v>1366</v>
      </c>
      <c r="J1024" s="62">
        <v>315</v>
      </c>
      <c r="K1024" s="62">
        <v>350</v>
      </c>
      <c r="L1024" s="62">
        <v>350</v>
      </c>
      <c r="M1024" s="62">
        <v>445</v>
      </c>
      <c r="N1024" s="55" t="s">
        <v>1345</v>
      </c>
      <c r="O1024" s="61" t="s">
        <v>52</v>
      </c>
      <c r="P1024" s="66"/>
      <c r="Q1024" s="66"/>
      <c r="R1024" s="66"/>
      <c r="S1024" s="66"/>
      <c r="T1024" s="66"/>
      <c r="U1024" s="66"/>
      <c r="V1024" s="66"/>
    </row>
    <row r="1025" spans="1:22" s="64" customFormat="1" x14ac:dyDescent="0.25">
      <c r="A1025" s="61" t="s">
        <v>1433</v>
      </c>
      <c r="B1025" s="511" t="s">
        <v>1486</v>
      </c>
      <c r="C1025" s="511"/>
      <c r="D1025" s="511"/>
      <c r="E1025" s="61" t="s">
        <v>1437</v>
      </c>
      <c r="F1025" s="61" t="s">
        <v>54</v>
      </c>
      <c r="G1025" s="61" t="s">
        <v>55</v>
      </c>
      <c r="H1025" s="61"/>
      <c r="I1025" s="61" t="s">
        <v>1366</v>
      </c>
      <c r="J1025" s="62">
        <v>270</v>
      </c>
      <c r="K1025" s="62">
        <v>300</v>
      </c>
      <c r="L1025" s="62">
        <v>300</v>
      </c>
      <c r="M1025" s="62">
        <v>380</v>
      </c>
      <c r="N1025" s="55" t="s">
        <v>1345</v>
      </c>
      <c r="O1025" s="61" t="s">
        <v>52</v>
      </c>
      <c r="P1025" s="66"/>
      <c r="Q1025" s="66"/>
      <c r="R1025" s="66"/>
      <c r="S1025" s="66"/>
      <c r="T1025" s="66"/>
      <c r="U1025" s="66"/>
      <c r="V1025" s="66"/>
    </row>
    <row r="1026" spans="1:22" s="64" customFormat="1" x14ac:dyDescent="0.25">
      <c r="A1026" s="61" t="s">
        <v>1433</v>
      </c>
      <c r="B1026" s="511" t="s">
        <v>1486</v>
      </c>
      <c r="C1026" s="511"/>
      <c r="D1026" s="511"/>
      <c r="E1026" s="61" t="s">
        <v>1438</v>
      </c>
      <c r="F1026" s="61" t="s">
        <v>389</v>
      </c>
      <c r="G1026" s="61" t="s">
        <v>55</v>
      </c>
      <c r="H1026" s="61"/>
      <c r="I1026" s="61" t="s">
        <v>1366</v>
      </c>
      <c r="J1026" s="62">
        <v>270</v>
      </c>
      <c r="K1026" s="62">
        <v>300</v>
      </c>
      <c r="L1026" s="62">
        <v>300</v>
      </c>
      <c r="M1026" s="62">
        <v>380</v>
      </c>
      <c r="N1026" s="55" t="s">
        <v>1345</v>
      </c>
      <c r="O1026" s="61" t="s">
        <v>52</v>
      </c>
      <c r="P1026" s="66"/>
      <c r="Q1026" s="66"/>
      <c r="R1026" s="66"/>
      <c r="S1026" s="66"/>
      <c r="T1026" s="66"/>
      <c r="U1026" s="66"/>
      <c r="V1026" s="66"/>
    </row>
    <row r="1027" spans="1:22" s="64" customFormat="1" x14ac:dyDescent="0.25">
      <c r="A1027" s="61" t="s">
        <v>1433</v>
      </c>
      <c r="B1027" s="511" t="s">
        <v>1486</v>
      </c>
      <c r="C1027" s="511"/>
      <c r="D1027" s="511"/>
      <c r="E1027" s="61" t="s">
        <v>1439</v>
      </c>
      <c r="F1027" s="61" t="s">
        <v>389</v>
      </c>
      <c r="G1027" s="61" t="s">
        <v>55</v>
      </c>
      <c r="H1027" s="61"/>
      <c r="I1027" s="61" t="s">
        <v>1366</v>
      </c>
      <c r="J1027" s="62">
        <v>270</v>
      </c>
      <c r="K1027" s="62">
        <v>300</v>
      </c>
      <c r="L1027" s="62">
        <v>300</v>
      </c>
      <c r="M1027" s="62">
        <v>380</v>
      </c>
      <c r="N1027" s="55" t="s">
        <v>1345</v>
      </c>
      <c r="O1027" s="61" t="s">
        <v>52</v>
      </c>
      <c r="P1027" s="66"/>
      <c r="Q1027" s="66"/>
      <c r="R1027" s="66"/>
      <c r="S1027" s="66"/>
      <c r="T1027" s="66"/>
      <c r="U1027" s="66"/>
      <c r="V1027" s="66"/>
    </row>
    <row r="1028" spans="1:22" s="64" customFormat="1" x14ac:dyDescent="0.25">
      <c r="A1028" s="61" t="s">
        <v>1433</v>
      </c>
      <c r="B1028" s="511" t="s">
        <v>1486</v>
      </c>
      <c r="C1028" s="511"/>
      <c r="D1028" s="511"/>
      <c r="E1028" s="61" t="s">
        <v>1437</v>
      </c>
      <c r="F1028" s="61" t="s">
        <v>389</v>
      </c>
      <c r="G1028" s="61" t="s">
        <v>55</v>
      </c>
      <c r="H1028" s="61"/>
      <c r="I1028" s="61" t="s">
        <v>1366</v>
      </c>
      <c r="J1028" s="62">
        <v>270</v>
      </c>
      <c r="K1028" s="62">
        <v>300</v>
      </c>
      <c r="L1028" s="62">
        <v>300</v>
      </c>
      <c r="M1028" s="62">
        <v>380</v>
      </c>
      <c r="N1028" s="55" t="s">
        <v>1345</v>
      </c>
      <c r="O1028" s="61" t="s">
        <v>52</v>
      </c>
      <c r="P1028" s="66"/>
      <c r="Q1028" s="66"/>
      <c r="R1028" s="66"/>
      <c r="S1028" s="66"/>
      <c r="T1028" s="66"/>
      <c r="U1028" s="66"/>
      <c r="V1028" s="66"/>
    </row>
    <row r="1029" spans="1:22" s="64" customFormat="1" x14ac:dyDescent="0.25">
      <c r="A1029" s="61" t="s">
        <v>1433</v>
      </c>
      <c r="B1029" s="511" t="s">
        <v>1487</v>
      </c>
      <c r="C1029" s="511"/>
      <c r="D1029" s="511"/>
      <c r="E1029" s="61" t="s">
        <v>1437</v>
      </c>
      <c r="F1029" s="61" t="s">
        <v>54</v>
      </c>
      <c r="G1029" s="61" t="s">
        <v>55</v>
      </c>
      <c r="H1029" s="61"/>
      <c r="I1029" s="61" t="s">
        <v>1366</v>
      </c>
      <c r="J1029" s="62">
        <v>135</v>
      </c>
      <c r="K1029" s="62">
        <v>150</v>
      </c>
      <c r="L1029" s="62">
        <v>150</v>
      </c>
      <c r="M1029" s="62">
        <v>190</v>
      </c>
      <c r="N1029" s="55" t="s">
        <v>1345</v>
      </c>
      <c r="O1029" s="61" t="s">
        <v>52</v>
      </c>
      <c r="P1029" s="66"/>
      <c r="Q1029" s="66"/>
      <c r="R1029" s="66"/>
      <c r="S1029" s="66"/>
      <c r="T1029" s="66"/>
      <c r="U1029" s="66"/>
      <c r="V1029" s="66"/>
    </row>
    <row r="1030" spans="1:22" s="64" customFormat="1" x14ac:dyDescent="0.25">
      <c r="A1030" s="61" t="s">
        <v>1433</v>
      </c>
      <c r="B1030" s="511" t="s">
        <v>1487</v>
      </c>
      <c r="C1030" s="511"/>
      <c r="D1030" s="511"/>
      <c r="E1030" s="61" t="s">
        <v>1438</v>
      </c>
      <c r="F1030" s="61" t="s">
        <v>389</v>
      </c>
      <c r="G1030" s="61" t="s">
        <v>55</v>
      </c>
      <c r="H1030" s="61"/>
      <c r="I1030" s="61" t="s">
        <v>1366</v>
      </c>
      <c r="J1030" s="62">
        <v>135</v>
      </c>
      <c r="K1030" s="62">
        <v>150</v>
      </c>
      <c r="L1030" s="62">
        <v>150</v>
      </c>
      <c r="M1030" s="62">
        <v>190</v>
      </c>
      <c r="N1030" s="55" t="s">
        <v>1345</v>
      </c>
      <c r="O1030" s="61" t="s">
        <v>52</v>
      </c>
      <c r="P1030" s="66"/>
      <c r="Q1030" s="66"/>
      <c r="R1030" s="66"/>
      <c r="S1030" s="66"/>
      <c r="T1030" s="66"/>
      <c r="U1030" s="66"/>
      <c r="V1030" s="66"/>
    </row>
    <row r="1031" spans="1:22" s="64" customFormat="1" x14ac:dyDescent="0.25">
      <c r="A1031" s="61" t="s">
        <v>1433</v>
      </c>
      <c r="B1031" s="511" t="s">
        <v>1487</v>
      </c>
      <c r="C1031" s="511"/>
      <c r="D1031" s="511"/>
      <c r="E1031" s="61" t="s">
        <v>1439</v>
      </c>
      <c r="F1031" s="61" t="s">
        <v>389</v>
      </c>
      <c r="G1031" s="61" t="s">
        <v>55</v>
      </c>
      <c r="H1031" s="61"/>
      <c r="I1031" s="61" t="s">
        <v>1366</v>
      </c>
      <c r="J1031" s="62">
        <v>135</v>
      </c>
      <c r="K1031" s="62">
        <v>150</v>
      </c>
      <c r="L1031" s="62">
        <v>150</v>
      </c>
      <c r="M1031" s="62">
        <v>190</v>
      </c>
      <c r="N1031" s="55" t="s">
        <v>1345</v>
      </c>
      <c r="O1031" s="61" t="s">
        <v>52</v>
      </c>
      <c r="P1031" s="66"/>
      <c r="Q1031" s="66"/>
      <c r="R1031" s="66"/>
      <c r="S1031" s="66"/>
      <c r="T1031" s="66"/>
      <c r="U1031" s="66"/>
      <c r="V1031" s="66"/>
    </row>
    <row r="1032" spans="1:22" s="64" customFormat="1" x14ac:dyDescent="0.25">
      <c r="A1032" s="61" t="s">
        <v>1433</v>
      </c>
      <c r="B1032" s="511" t="s">
        <v>1487</v>
      </c>
      <c r="C1032" s="511"/>
      <c r="D1032" s="511"/>
      <c r="E1032" s="61" t="s">
        <v>1437</v>
      </c>
      <c r="F1032" s="61" t="s">
        <v>389</v>
      </c>
      <c r="G1032" s="61" t="s">
        <v>55</v>
      </c>
      <c r="H1032" s="61"/>
      <c r="I1032" s="61" t="s">
        <v>1366</v>
      </c>
      <c r="J1032" s="62">
        <v>135</v>
      </c>
      <c r="K1032" s="62">
        <v>150</v>
      </c>
      <c r="L1032" s="62">
        <v>150</v>
      </c>
      <c r="M1032" s="62">
        <v>190</v>
      </c>
      <c r="N1032" s="55" t="s">
        <v>1345</v>
      </c>
      <c r="O1032" s="61" t="s">
        <v>52</v>
      </c>
      <c r="P1032" s="66"/>
      <c r="Q1032" s="66"/>
      <c r="R1032" s="66"/>
      <c r="S1032" s="66"/>
      <c r="T1032" s="66"/>
      <c r="U1032" s="66"/>
      <c r="V1032" s="66"/>
    </row>
    <row r="1033" spans="1:22" s="64" customFormat="1" x14ac:dyDescent="0.25">
      <c r="A1033" s="61" t="s">
        <v>1433</v>
      </c>
      <c r="B1033" s="511" t="s">
        <v>1488</v>
      </c>
      <c r="C1033" s="511"/>
      <c r="D1033" s="511"/>
      <c r="E1033" s="61" t="s">
        <v>1437</v>
      </c>
      <c r="F1033" s="61" t="s">
        <v>54</v>
      </c>
      <c r="G1033" s="61" t="s">
        <v>55</v>
      </c>
      <c r="H1033" s="61"/>
      <c r="I1033" s="61" t="s">
        <v>1366</v>
      </c>
      <c r="J1033" s="62">
        <v>205</v>
      </c>
      <c r="K1033" s="62">
        <v>225</v>
      </c>
      <c r="L1033" s="62">
        <v>225</v>
      </c>
      <c r="M1033" s="62">
        <v>285</v>
      </c>
      <c r="N1033" s="55" t="s">
        <v>1345</v>
      </c>
      <c r="O1033" s="61" t="s">
        <v>52</v>
      </c>
      <c r="P1033" s="66"/>
      <c r="Q1033" s="66"/>
      <c r="R1033" s="66"/>
      <c r="S1033" s="66"/>
      <c r="T1033" s="66"/>
      <c r="U1033" s="66"/>
      <c r="V1033" s="66"/>
    </row>
    <row r="1034" spans="1:22" s="64" customFormat="1" x14ac:dyDescent="0.25">
      <c r="A1034" s="61" t="s">
        <v>1433</v>
      </c>
      <c r="B1034" s="511" t="s">
        <v>1488</v>
      </c>
      <c r="C1034" s="511"/>
      <c r="D1034" s="511"/>
      <c r="E1034" s="61" t="s">
        <v>1438</v>
      </c>
      <c r="F1034" s="61" t="s">
        <v>389</v>
      </c>
      <c r="G1034" s="61" t="s">
        <v>55</v>
      </c>
      <c r="H1034" s="61"/>
      <c r="I1034" s="61" t="s">
        <v>1366</v>
      </c>
      <c r="J1034" s="62">
        <v>205</v>
      </c>
      <c r="K1034" s="62">
        <v>225</v>
      </c>
      <c r="L1034" s="62">
        <v>225</v>
      </c>
      <c r="M1034" s="62">
        <v>285</v>
      </c>
      <c r="N1034" s="55" t="s">
        <v>1345</v>
      </c>
      <c r="O1034" s="61" t="s">
        <v>52</v>
      </c>
      <c r="P1034" s="66"/>
      <c r="Q1034" s="66"/>
      <c r="R1034" s="66"/>
      <c r="S1034" s="66"/>
      <c r="T1034" s="66"/>
      <c r="U1034" s="66"/>
      <c r="V1034" s="66"/>
    </row>
    <row r="1035" spans="1:22" s="64" customFormat="1" x14ac:dyDescent="0.25">
      <c r="A1035" s="61" t="s">
        <v>1433</v>
      </c>
      <c r="B1035" s="511" t="s">
        <v>1488</v>
      </c>
      <c r="C1035" s="511"/>
      <c r="D1035" s="511"/>
      <c r="E1035" s="61" t="s">
        <v>1439</v>
      </c>
      <c r="F1035" s="61" t="s">
        <v>389</v>
      </c>
      <c r="G1035" s="61" t="s">
        <v>55</v>
      </c>
      <c r="H1035" s="61"/>
      <c r="I1035" s="61" t="s">
        <v>1366</v>
      </c>
      <c r="J1035" s="62">
        <v>205</v>
      </c>
      <c r="K1035" s="62">
        <v>225</v>
      </c>
      <c r="L1035" s="62">
        <v>225</v>
      </c>
      <c r="M1035" s="62">
        <v>285</v>
      </c>
      <c r="N1035" s="55" t="s">
        <v>1345</v>
      </c>
      <c r="O1035" s="61" t="s">
        <v>52</v>
      </c>
      <c r="P1035" s="66"/>
      <c r="Q1035" s="66"/>
      <c r="R1035" s="66"/>
      <c r="S1035" s="66"/>
      <c r="T1035" s="66"/>
      <c r="U1035" s="66"/>
      <c r="V1035" s="66"/>
    </row>
    <row r="1036" spans="1:22" s="64" customFormat="1" x14ac:dyDescent="0.25">
      <c r="A1036" s="61" t="s">
        <v>1433</v>
      </c>
      <c r="B1036" s="511" t="s">
        <v>1488</v>
      </c>
      <c r="C1036" s="511"/>
      <c r="D1036" s="511"/>
      <c r="E1036" s="61" t="s">
        <v>1437</v>
      </c>
      <c r="F1036" s="61" t="s">
        <v>389</v>
      </c>
      <c r="G1036" s="61" t="s">
        <v>55</v>
      </c>
      <c r="H1036" s="61"/>
      <c r="I1036" s="61" t="s">
        <v>1366</v>
      </c>
      <c r="J1036" s="62">
        <v>205</v>
      </c>
      <c r="K1036" s="62">
        <v>225</v>
      </c>
      <c r="L1036" s="62">
        <v>225</v>
      </c>
      <c r="M1036" s="62">
        <v>285</v>
      </c>
      <c r="N1036" s="55" t="s">
        <v>1345</v>
      </c>
      <c r="O1036" s="61" t="s">
        <v>52</v>
      </c>
      <c r="P1036" s="66"/>
      <c r="Q1036" s="66"/>
      <c r="R1036" s="66"/>
      <c r="S1036" s="66"/>
      <c r="T1036" s="66"/>
      <c r="U1036" s="66"/>
      <c r="V1036" s="66"/>
    </row>
    <row r="1037" spans="1:22" s="64" customFormat="1" x14ac:dyDescent="0.25">
      <c r="A1037" s="61" t="s">
        <v>1433</v>
      </c>
      <c r="B1037" s="511" t="s">
        <v>1489</v>
      </c>
      <c r="C1037" s="511"/>
      <c r="D1037" s="511"/>
      <c r="E1037" s="61" t="s">
        <v>1447</v>
      </c>
      <c r="F1037" s="61" t="s">
        <v>56</v>
      </c>
      <c r="G1037" s="61" t="s">
        <v>55</v>
      </c>
      <c r="H1037" s="61"/>
      <c r="I1037" s="61" t="s">
        <v>1366</v>
      </c>
      <c r="J1037" s="62">
        <v>570</v>
      </c>
      <c r="K1037" s="62">
        <v>585</v>
      </c>
      <c r="L1037" s="62">
        <v>585</v>
      </c>
      <c r="M1037" s="62"/>
      <c r="N1037" s="55" t="s">
        <v>1345</v>
      </c>
      <c r="O1037" s="61" t="s">
        <v>52</v>
      </c>
      <c r="P1037" s="66"/>
      <c r="Q1037" s="66"/>
      <c r="R1037" s="66"/>
      <c r="S1037" s="66"/>
      <c r="T1037" s="66"/>
      <c r="U1037" s="66"/>
      <c r="V1037" s="66"/>
    </row>
    <row r="1038" spans="1:22" s="64" customFormat="1" x14ac:dyDescent="0.25">
      <c r="A1038" s="61" t="s">
        <v>1433</v>
      </c>
      <c r="B1038" s="511" t="s">
        <v>1490</v>
      </c>
      <c r="C1038" s="511"/>
      <c r="D1038" s="511"/>
      <c r="E1038" s="61" t="s">
        <v>1437</v>
      </c>
      <c r="F1038" s="61" t="s">
        <v>54</v>
      </c>
      <c r="G1038" s="61" t="s">
        <v>55</v>
      </c>
      <c r="H1038" s="61"/>
      <c r="I1038" s="61" t="s">
        <v>1366</v>
      </c>
      <c r="J1038" s="62">
        <v>135</v>
      </c>
      <c r="K1038" s="62">
        <v>150</v>
      </c>
      <c r="L1038" s="62">
        <v>150</v>
      </c>
      <c r="M1038" s="62">
        <v>190</v>
      </c>
      <c r="N1038" s="55" t="s">
        <v>1345</v>
      </c>
      <c r="O1038" s="61" t="s">
        <v>52</v>
      </c>
      <c r="P1038" s="66"/>
      <c r="Q1038" s="66"/>
      <c r="R1038" s="66"/>
      <c r="S1038" s="66"/>
      <c r="T1038" s="66"/>
      <c r="U1038" s="66"/>
      <c r="V1038" s="66"/>
    </row>
    <row r="1039" spans="1:22" s="64" customFormat="1" x14ac:dyDescent="0.25">
      <c r="A1039" s="61" t="s">
        <v>1433</v>
      </c>
      <c r="B1039" s="511" t="s">
        <v>1490</v>
      </c>
      <c r="C1039" s="511"/>
      <c r="D1039" s="511"/>
      <c r="E1039" s="61" t="s">
        <v>1438</v>
      </c>
      <c r="F1039" s="61" t="s">
        <v>389</v>
      </c>
      <c r="G1039" s="61" t="s">
        <v>55</v>
      </c>
      <c r="H1039" s="61"/>
      <c r="I1039" s="61" t="s">
        <v>1366</v>
      </c>
      <c r="J1039" s="62">
        <v>135</v>
      </c>
      <c r="K1039" s="62">
        <v>150</v>
      </c>
      <c r="L1039" s="62">
        <v>150</v>
      </c>
      <c r="M1039" s="62">
        <v>190</v>
      </c>
      <c r="N1039" s="55" t="s">
        <v>1345</v>
      </c>
      <c r="O1039" s="61" t="s">
        <v>52</v>
      </c>
      <c r="P1039" s="66"/>
      <c r="Q1039" s="66"/>
      <c r="R1039" s="66"/>
      <c r="S1039" s="66"/>
      <c r="T1039" s="66"/>
      <c r="U1039" s="66"/>
      <c r="V1039" s="66"/>
    </row>
    <row r="1040" spans="1:22" s="64" customFormat="1" x14ac:dyDescent="0.25">
      <c r="A1040" s="61" t="s">
        <v>1433</v>
      </c>
      <c r="B1040" s="511" t="s">
        <v>1490</v>
      </c>
      <c r="C1040" s="511"/>
      <c r="D1040" s="511"/>
      <c r="E1040" s="61" t="s">
        <v>1439</v>
      </c>
      <c r="F1040" s="61" t="s">
        <v>389</v>
      </c>
      <c r="G1040" s="61" t="s">
        <v>55</v>
      </c>
      <c r="H1040" s="61"/>
      <c r="I1040" s="61" t="s">
        <v>1366</v>
      </c>
      <c r="J1040" s="62">
        <v>135</v>
      </c>
      <c r="K1040" s="62">
        <v>150</v>
      </c>
      <c r="L1040" s="62">
        <v>150</v>
      </c>
      <c r="M1040" s="62">
        <v>190</v>
      </c>
      <c r="N1040" s="55" t="s">
        <v>1345</v>
      </c>
      <c r="O1040" s="61" t="s">
        <v>52</v>
      </c>
      <c r="P1040" s="66"/>
      <c r="Q1040" s="66"/>
      <c r="R1040" s="66"/>
      <c r="S1040" s="66"/>
      <c r="T1040" s="66"/>
      <c r="U1040" s="66"/>
      <c r="V1040" s="66"/>
    </row>
    <row r="1041" spans="1:22" s="64" customFormat="1" x14ac:dyDescent="0.25">
      <c r="A1041" s="61" t="s">
        <v>1433</v>
      </c>
      <c r="B1041" s="511" t="s">
        <v>1490</v>
      </c>
      <c r="C1041" s="511"/>
      <c r="D1041" s="511"/>
      <c r="E1041" s="61" t="s">
        <v>1437</v>
      </c>
      <c r="F1041" s="61" t="s">
        <v>389</v>
      </c>
      <c r="G1041" s="61" t="s">
        <v>55</v>
      </c>
      <c r="H1041" s="61"/>
      <c r="I1041" s="61" t="s">
        <v>1366</v>
      </c>
      <c r="J1041" s="62">
        <v>135</v>
      </c>
      <c r="K1041" s="62">
        <v>150</v>
      </c>
      <c r="L1041" s="62">
        <v>150</v>
      </c>
      <c r="M1041" s="62">
        <v>190</v>
      </c>
      <c r="N1041" s="55" t="s">
        <v>1345</v>
      </c>
      <c r="O1041" s="61" t="s">
        <v>52</v>
      </c>
      <c r="P1041" s="66"/>
      <c r="Q1041" s="66"/>
      <c r="R1041" s="66"/>
      <c r="S1041" s="66"/>
      <c r="T1041" s="66"/>
      <c r="U1041" s="66"/>
      <c r="V1041" s="66"/>
    </row>
    <row r="1042" spans="1:22" s="64" customFormat="1" x14ac:dyDescent="0.25">
      <c r="A1042" s="61" t="s">
        <v>1433</v>
      </c>
      <c r="B1042" s="511" t="s">
        <v>1491</v>
      </c>
      <c r="C1042" s="511"/>
      <c r="D1042" s="511"/>
      <c r="E1042" s="61" t="s">
        <v>1447</v>
      </c>
      <c r="F1042" s="61" t="s">
        <v>56</v>
      </c>
      <c r="G1042" s="61" t="s">
        <v>55</v>
      </c>
      <c r="H1042" s="61"/>
      <c r="I1042" s="61" t="s">
        <v>1366</v>
      </c>
      <c r="J1042" s="62">
        <v>340</v>
      </c>
      <c r="K1042" s="62">
        <v>520</v>
      </c>
      <c r="L1042" s="62">
        <v>520</v>
      </c>
      <c r="M1042" s="62"/>
      <c r="N1042" s="55" t="s">
        <v>1345</v>
      </c>
      <c r="O1042" s="61" t="s">
        <v>52</v>
      </c>
      <c r="P1042" s="66"/>
      <c r="Q1042" s="66"/>
      <c r="R1042" s="66"/>
      <c r="S1042" s="66"/>
      <c r="T1042" s="66"/>
      <c r="U1042" s="66"/>
      <c r="V1042" s="66"/>
    </row>
    <row r="1043" spans="1:22" s="64" customFormat="1" x14ac:dyDescent="0.25">
      <c r="A1043" s="61" t="s">
        <v>1433</v>
      </c>
      <c r="B1043" s="511" t="s">
        <v>1492</v>
      </c>
      <c r="C1043" s="511"/>
      <c r="D1043" s="511"/>
      <c r="E1043" s="61" t="s">
        <v>1435</v>
      </c>
      <c r="F1043" s="61" t="s">
        <v>54</v>
      </c>
      <c r="G1043" s="61" t="s">
        <v>55</v>
      </c>
      <c r="H1043" s="61"/>
      <c r="I1043" s="61" t="s">
        <v>1366</v>
      </c>
      <c r="J1043" s="62">
        <v>315</v>
      </c>
      <c r="K1043" s="62">
        <v>350</v>
      </c>
      <c r="L1043" s="62">
        <v>350</v>
      </c>
      <c r="M1043" s="62">
        <v>445</v>
      </c>
      <c r="N1043" s="55" t="s">
        <v>1345</v>
      </c>
      <c r="O1043" s="61" t="s">
        <v>52</v>
      </c>
      <c r="P1043" s="66"/>
      <c r="Q1043" s="66"/>
      <c r="R1043" s="66"/>
      <c r="S1043" s="66"/>
      <c r="T1043" s="66"/>
      <c r="U1043" s="66"/>
      <c r="V1043" s="66"/>
    </row>
    <row r="1044" spans="1:22" s="64" customFormat="1" x14ac:dyDescent="0.25">
      <c r="A1044" s="61" t="s">
        <v>1433</v>
      </c>
      <c r="B1044" s="511" t="s">
        <v>1492</v>
      </c>
      <c r="C1044" s="511"/>
      <c r="D1044" s="511"/>
      <c r="E1044" s="61" t="s">
        <v>1435</v>
      </c>
      <c r="F1044" s="61" t="s">
        <v>389</v>
      </c>
      <c r="G1044" s="61" t="s">
        <v>55</v>
      </c>
      <c r="H1044" s="61"/>
      <c r="I1044" s="61" t="s">
        <v>1366</v>
      </c>
      <c r="J1044" s="62">
        <v>315</v>
      </c>
      <c r="K1044" s="62">
        <v>350</v>
      </c>
      <c r="L1044" s="62">
        <v>350</v>
      </c>
      <c r="M1044" s="62">
        <v>445</v>
      </c>
      <c r="N1044" s="55" t="s">
        <v>1345</v>
      </c>
      <c r="O1044" s="61" t="s">
        <v>52</v>
      </c>
      <c r="P1044" s="66"/>
      <c r="Q1044" s="66"/>
      <c r="R1044" s="66"/>
      <c r="S1044" s="66"/>
      <c r="T1044" s="66"/>
      <c r="U1044" s="66"/>
      <c r="V1044" s="66"/>
    </row>
    <row r="1045" spans="1:22" s="64" customFormat="1" x14ac:dyDescent="0.25">
      <c r="A1045" s="61" t="s">
        <v>1433</v>
      </c>
      <c r="B1045" s="511" t="s">
        <v>1493</v>
      </c>
      <c r="C1045" s="511"/>
      <c r="D1045" s="511"/>
      <c r="E1045" s="61" t="s">
        <v>1437</v>
      </c>
      <c r="F1045" s="61" t="s">
        <v>54</v>
      </c>
      <c r="G1045" s="61" t="s">
        <v>55</v>
      </c>
      <c r="H1045" s="61"/>
      <c r="I1045" s="61" t="s">
        <v>1366</v>
      </c>
      <c r="J1045" s="62">
        <v>270</v>
      </c>
      <c r="K1045" s="62">
        <v>300</v>
      </c>
      <c r="L1045" s="62">
        <v>300</v>
      </c>
      <c r="M1045" s="62">
        <v>380</v>
      </c>
      <c r="N1045" s="55" t="s">
        <v>1345</v>
      </c>
      <c r="O1045" s="61" t="s">
        <v>52</v>
      </c>
      <c r="P1045" s="66"/>
      <c r="Q1045" s="66"/>
      <c r="R1045" s="66"/>
      <c r="S1045" s="66"/>
      <c r="T1045" s="66"/>
      <c r="U1045" s="66"/>
      <c r="V1045" s="66"/>
    </row>
    <row r="1046" spans="1:22" s="64" customFormat="1" x14ac:dyDescent="0.25">
      <c r="A1046" s="61" t="s">
        <v>1433</v>
      </c>
      <c r="B1046" s="511" t="s">
        <v>1493</v>
      </c>
      <c r="C1046" s="511"/>
      <c r="D1046" s="511"/>
      <c r="E1046" s="61" t="s">
        <v>1438</v>
      </c>
      <c r="F1046" s="61" t="s">
        <v>389</v>
      </c>
      <c r="G1046" s="61" t="s">
        <v>55</v>
      </c>
      <c r="H1046" s="61"/>
      <c r="I1046" s="61" t="s">
        <v>1366</v>
      </c>
      <c r="J1046" s="62">
        <v>270</v>
      </c>
      <c r="K1046" s="62">
        <v>300</v>
      </c>
      <c r="L1046" s="62">
        <v>300</v>
      </c>
      <c r="M1046" s="62">
        <v>380</v>
      </c>
      <c r="N1046" s="55" t="s">
        <v>1345</v>
      </c>
      <c r="O1046" s="61" t="s">
        <v>52</v>
      </c>
      <c r="P1046" s="66"/>
      <c r="Q1046" s="66"/>
      <c r="R1046" s="66"/>
      <c r="S1046" s="66"/>
      <c r="T1046" s="66"/>
      <c r="U1046" s="66"/>
      <c r="V1046" s="66"/>
    </row>
    <row r="1047" spans="1:22" s="64" customFormat="1" x14ac:dyDescent="0.25">
      <c r="A1047" s="61" t="s">
        <v>1433</v>
      </c>
      <c r="B1047" s="511" t="s">
        <v>1493</v>
      </c>
      <c r="C1047" s="511"/>
      <c r="D1047" s="511"/>
      <c r="E1047" s="61" t="s">
        <v>1439</v>
      </c>
      <c r="F1047" s="61" t="s">
        <v>389</v>
      </c>
      <c r="G1047" s="61" t="s">
        <v>55</v>
      </c>
      <c r="H1047" s="61"/>
      <c r="I1047" s="61" t="s">
        <v>1366</v>
      </c>
      <c r="J1047" s="62">
        <v>270</v>
      </c>
      <c r="K1047" s="62">
        <v>300</v>
      </c>
      <c r="L1047" s="62">
        <v>300</v>
      </c>
      <c r="M1047" s="62">
        <v>380</v>
      </c>
      <c r="N1047" s="55" t="s">
        <v>1345</v>
      </c>
      <c r="O1047" s="61" t="s">
        <v>52</v>
      </c>
      <c r="P1047" s="66"/>
      <c r="Q1047" s="66"/>
      <c r="R1047" s="66"/>
      <c r="S1047" s="66"/>
      <c r="T1047" s="66"/>
      <c r="U1047" s="66"/>
      <c r="V1047" s="66"/>
    </row>
    <row r="1048" spans="1:22" s="64" customFormat="1" x14ac:dyDescent="0.25">
      <c r="A1048" s="61" t="s">
        <v>1433</v>
      </c>
      <c r="B1048" s="511" t="s">
        <v>1493</v>
      </c>
      <c r="C1048" s="511"/>
      <c r="D1048" s="511"/>
      <c r="E1048" s="61" t="s">
        <v>1437</v>
      </c>
      <c r="F1048" s="61" t="s">
        <v>389</v>
      </c>
      <c r="G1048" s="61" t="s">
        <v>55</v>
      </c>
      <c r="H1048" s="61"/>
      <c r="I1048" s="61" t="s">
        <v>1366</v>
      </c>
      <c r="J1048" s="62">
        <v>270</v>
      </c>
      <c r="K1048" s="62">
        <v>300</v>
      </c>
      <c r="L1048" s="62">
        <v>300</v>
      </c>
      <c r="M1048" s="62">
        <v>380</v>
      </c>
      <c r="N1048" s="55" t="s">
        <v>1345</v>
      </c>
      <c r="O1048" s="61" t="s">
        <v>52</v>
      </c>
      <c r="P1048" s="66"/>
      <c r="Q1048" s="66"/>
      <c r="R1048" s="66"/>
      <c r="S1048" s="66"/>
      <c r="T1048" s="66"/>
      <c r="U1048" s="66"/>
      <c r="V1048" s="66"/>
    </row>
    <row r="1049" spans="1:22" s="64" customFormat="1" x14ac:dyDescent="0.25">
      <c r="A1049" s="61" t="s">
        <v>1433</v>
      </c>
      <c r="B1049" s="511" t="s">
        <v>1494</v>
      </c>
      <c r="C1049" s="511"/>
      <c r="D1049" s="511"/>
      <c r="E1049" s="61" t="s">
        <v>1435</v>
      </c>
      <c r="F1049" s="61" t="s">
        <v>56</v>
      </c>
      <c r="G1049" s="61" t="s">
        <v>55</v>
      </c>
      <c r="H1049" s="61"/>
      <c r="I1049" s="61" t="s">
        <v>1366</v>
      </c>
      <c r="J1049" s="62">
        <v>340</v>
      </c>
      <c r="K1049" s="62">
        <v>450</v>
      </c>
      <c r="L1049" s="62">
        <v>450</v>
      </c>
      <c r="M1049" s="62"/>
      <c r="N1049" s="55" t="s">
        <v>1345</v>
      </c>
      <c r="O1049" s="61" t="s">
        <v>52</v>
      </c>
      <c r="P1049" s="66"/>
      <c r="Q1049" s="66"/>
      <c r="R1049" s="66"/>
      <c r="S1049" s="66"/>
      <c r="T1049" s="66"/>
      <c r="U1049" s="66"/>
      <c r="V1049" s="66"/>
    </row>
    <row r="1050" spans="1:22" s="64" customFormat="1" x14ac:dyDescent="0.25">
      <c r="A1050" s="61" t="s">
        <v>1433</v>
      </c>
      <c r="B1050" s="511" t="s">
        <v>1495</v>
      </c>
      <c r="C1050" s="511"/>
      <c r="D1050" s="511"/>
      <c r="E1050" s="61" t="s">
        <v>1435</v>
      </c>
      <c r="F1050" s="61" t="s">
        <v>54</v>
      </c>
      <c r="G1050" s="61" t="s">
        <v>55</v>
      </c>
      <c r="H1050" s="61"/>
      <c r="I1050" s="61" t="s">
        <v>1366</v>
      </c>
      <c r="J1050" s="62">
        <v>180</v>
      </c>
      <c r="K1050" s="62">
        <v>200</v>
      </c>
      <c r="L1050" s="62">
        <v>200</v>
      </c>
      <c r="M1050" s="62">
        <v>255</v>
      </c>
      <c r="N1050" s="55" t="s">
        <v>1345</v>
      </c>
      <c r="O1050" s="61" t="s">
        <v>52</v>
      </c>
      <c r="P1050" s="66"/>
      <c r="Q1050" s="66"/>
      <c r="R1050" s="66"/>
      <c r="S1050" s="66"/>
      <c r="T1050" s="66"/>
      <c r="U1050" s="66"/>
      <c r="V1050" s="66"/>
    </row>
    <row r="1051" spans="1:22" s="64" customFormat="1" x14ac:dyDescent="0.25">
      <c r="A1051" s="61" t="s">
        <v>1433</v>
      </c>
      <c r="B1051" s="511" t="s">
        <v>1495</v>
      </c>
      <c r="C1051" s="511"/>
      <c r="D1051" s="511"/>
      <c r="E1051" s="61" t="s">
        <v>1435</v>
      </c>
      <c r="F1051" s="61" t="s">
        <v>389</v>
      </c>
      <c r="G1051" s="61" t="s">
        <v>55</v>
      </c>
      <c r="H1051" s="61"/>
      <c r="I1051" s="61" t="s">
        <v>1366</v>
      </c>
      <c r="J1051" s="62">
        <v>180</v>
      </c>
      <c r="K1051" s="62">
        <v>200</v>
      </c>
      <c r="L1051" s="62">
        <v>200</v>
      </c>
      <c r="M1051" s="62">
        <v>255</v>
      </c>
      <c r="N1051" s="55" t="s">
        <v>1345</v>
      </c>
      <c r="O1051" s="61" t="s">
        <v>52</v>
      </c>
      <c r="P1051" s="66"/>
      <c r="Q1051" s="66"/>
      <c r="R1051" s="66"/>
      <c r="S1051" s="66"/>
      <c r="T1051" s="66"/>
      <c r="U1051" s="66"/>
      <c r="V1051" s="66"/>
    </row>
    <row r="1052" spans="1:22" s="64" customFormat="1" x14ac:dyDescent="0.25">
      <c r="A1052" s="61" t="s">
        <v>1433</v>
      </c>
      <c r="B1052" s="511" t="s">
        <v>1496</v>
      </c>
      <c r="C1052" s="511"/>
      <c r="D1052" s="511"/>
      <c r="E1052" s="61" t="s">
        <v>1447</v>
      </c>
      <c r="F1052" s="61" t="s">
        <v>56</v>
      </c>
      <c r="G1052" s="61" t="s">
        <v>55</v>
      </c>
      <c r="H1052" s="61"/>
      <c r="I1052" s="61" t="s">
        <v>1366</v>
      </c>
      <c r="J1052" s="62">
        <v>230</v>
      </c>
      <c r="K1052" s="62">
        <v>265</v>
      </c>
      <c r="L1052" s="62">
        <v>265</v>
      </c>
      <c r="M1052" s="62"/>
      <c r="N1052" s="55" t="s">
        <v>1345</v>
      </c>
      <c r="O1052" s="61" t="s">
        <v>52</v>
      </c>
      <c r="P1052" s="66"/>
      <c r="Q1052" s="66"/>
      <c r="R1052" s="66"/>
      <c r="S1052" s="66"/>
      <c r="T1052" s="66"/>
      <c r="U1052" s="66"/>
      <c r="V1052" s="66"/>
    </row>
    <row r="1053" spans="1:22" s="64" customFormat="1" x14ac:dyDescent="0.25">
      <c r="A1053" s="61" t="s">
        <v>1433</v>
      </c>
      <c r="B1053" s="511" t="s">
        <v>1497</v>
      </c>
      <c r="C1053" s="511"/>
      <c r="D1053" s="511"/>
      <c r="E1053" s="61" t="s">
        <v>1435</v>
      </c>
      <c r="F1053" s="61" t="s">
        <v>54</v>
      </c>
      <c r="G1053" s="61" t="s">
        <v>55</v>
      </c>
      <c r="H1053" s="61"/>
      <c r="I1053" s="61" t="s">
        <v>1366</v>
      </c>
      <c r="J1053" s="62">
        <v>270</v>
      </c>
      <c r="K1053" s="62">
        <v>300</v>
      </c>
      <c r="L1053" s="62">
        <v>300</v>
      </c>
      <c r="M1053" s="62">
        <v>385</v>
      </c>
      <c r="N1053" s="55" t="s">
        <v>1345</v>
      </c>
      <c r="O1053" s="61" t="s">
        <v>52</v>
      </c>
      <c r="P1053" s="66"/>
      <c r="Q1053" s="66"/>
      <c r="R1053" s="66"/>
      <c r="S1053" s="66"/>
      <c r="T1053" s="66"/>
      <c r="U1053" s="66"/>
      <c r="V1053" s="66"/>
    </row>
    <row r="1054" spans="1:22" s="64" customFormat="1" x14ac:dyDescent="0.25">
      <c r="A1054" s="61" t="s">
        <v>1433</v>
      </c>
      <c r="B1054" s="511" t="s">
        <v>1497</v>
      </c>
      <c r="C1054" s="511"/>
      <c r="D1054" s="511"/>
      <c r="E1054" s="61" t="s">
        <v>1435</v>
      </c>
      <c r="F1054" s="61" t="s">
        <v>389</v>
      </c>
      <c r="G1054" s="61" t="s">
        <v>55</v>
      </c>
      <c r="H1054" s="61"/>
      <c r="I1054" s="61" t="s">
        <v>1366</v>
      </c>
      <c r="J1054" s="62">
        <v>270</v>
      </c>
      <c r="K1054" s="62">
        <v>300</v>
      </c>
      <c r="L1054" s="62">
        <v>300</v>
      </c>
      <c r="M1054" s="62">
        <v>385</v>
      </c>
      <c r="N1054" s="55" t="s">
        <v>1345</v>
      </c>
      <c r="O1054" s="61" t="s">
        <v>52</v>
      </c>
      <c r="P1054" s="66"/>
      <c r="Q1054" s="66"/>
      <c r="R1054" s="66"/>
      <c r="S1054" s="66"/>
      <c r="T1054" s="66"/>
      <c r="U1054" s="66"/>
      <c r="V1054" s="66"/>
    </row>
    <row r="1055" spans="1:22" s="64" customFormat="1" x14ac:dyDescent="0.25">
      <c r="A1055" s="61" t="s">
        <v>1433</v>
      </c>
      <c r="B1055" s="511" t="s">
        <v>1406</v>
      </c>
      <c r="C1055" s="511"/>
      <c r="D1055" s="511"/>
      <c r="E1055" s="61" t="s">
        <v>1439</v>
      </c>
      <c r="F1055" s="61" t="s">
        <v>54</v>
      </c>
      <c r="G1055" s="61" t="s">
        <v>55</v>
      </c>
      <c r="H1055" s="61"/>
      <c r="I1055" s="61" t="s">
        <v>1366</v>
      </c>
      <c r="J1055" s="62">
        <v>0</v>
      </c>
      <c r="K1055" s="62">
        <v>0</v>
      </c>
      <c r="L1055" s="62">
        <v>0</v>
      </c>
      <c r="M1055" s="62">
        <v>0</v>
      </c>
      <c r="N1055" s="55" t="s">
        <v>1345</v>
      </c>
      <c r="O1055" s="61" t="s">
        <v>52</v>
      </c>
      <c r="P1055" s="66"/>
      <c r="Q1055" s="66"/>
      <c r="R1055" s="66"/>
      <c r="S1055" s="66"/>
      <c r="T1055" s="66"/>
      <c r="U1055" s="66"/>
      <c r="V1055" s="66"/>
    </row>
    <row r="1056" spans="1:22" s="64" customFormat="1" x14ac:dyDescent="0.25">
      <c r="A1056" s="61" t="s">
        <v>1433</v>
      </c>
      <c r="B1056" s="511" t="s">
        <v>1498</v>
      </c>
      <c r="C1056" s="511"/>
      <c r="D1056" s="511"/>
      <c r="E1056" s="61" t="s">
        <v>1435</v>
      </c>
      <c r="F1056" s="61" t="s">
        <v>54</v>
      </c>
      <c r="G1056" s="61" t="s">
        <v>55</v>
      </c>
      <c r="H1056" s="61"/>
      <c r="I1056" s="61" t="s">
        <v>1366</v>
      </c>
      <c r="J1056" s="62">
        <v>225</v>
      </c>
      <c r="K1056" s="62">
        <v>250</v>
      </c>
      <c r="L1056" s="62">
        <v>250</v>
      </c>
      <c r="M1056" s="62">
        <v>320</v>
      </c>
      <c r="N1056" s="55" t="s">
        <v>1345</v>
      </c>
      <c r="O1056" s="61" t="s">
        <v>52</v>
      </c>
      <c r="P1056" s="66"/>
      <c r="Q1056" s="66"/>
      <c r="R1056" s="66"/>
      <c r="S1056" s="66"/>
      <c r="T1056" s="66"/>
      <c r="U1056" s="66"/>
      <c r="V1056" s="66"/>
    </row>
    <row r="1057" spans="1:22" s="64" customFormat="1" x14ac:dyDescent="0.25">
      <c r="A1057" s="61" t="s">
        <v>1433</v>
      </c>
      <c r="B1057" s="511" t="s">
        <v>1498</v>
      </c>
      <c r="C1057" s="511"/>
      <c r="D1057" s="511"/>
      <c r="E1057" s="61" t="s">
        <v>1435</v>
      </c>
      <c r="F1057" s="61" t="s">
        <v>389</v>
      </c>
      <c r="G1057" s="61" t="s">
        <v>55</v>
      </c>
      <c r="H1057" s="61"/>
      <c r="I1057" s="61" t="s">
        <v>1366</v>
      </c>
      <c r="J1057" s="62">
        <v>225</v>
      </c>
      <c r="K1057" s="62">
        <v>250</v>
      </c>
      <c r="L1057" s="62">
        <v>250</v>
      </c>
      <c r="M1057" s="62">
        <v>320</v>
      </c>
      <c r="N1057" s="55" t="s">
        <v>1345</v>
      </c>
      <c r="O1057" s="61" t="s">
        <v>52</v>
      </c>
      <c r="P1057" s="66"/>
      <c r="Q1057" s="66"/>
      <c r="R1057" s="66"/>
      <c r="S1057" s="66"/>
      <c r="T1057" s="66"/>
      <c r="U1057" s="66"/>
      <c r="V1057" s="66"/>
    </row>
    <row r="1058" spans="1:22" s="64" customFormat="1" x14ac:dyDescent="0.25">
      <c r="A1058" s="61" t="s">
        <v>1433</v>
      </c>
      <c r="B1058" s="511" t="s">
        <v>1499</v>
      </c>
      <c r="C1058" s="511"/>
      <c r="D1058" s="511"/>
      <c r="E1058" s="61" t="s">
        <v>1435</v>
      </c>
      <c r="F1058" s="61" t="s">
        <v>54</v>
      </c>
      <c r="G1058" s="61" t="s">
        <v>55</v>
      </c>
      <c r="H1058" s="61"/>
      <c r="I1058" s="61" t="s">
        <v>1366</v>
      </c>
      <c r="J1058" s="62">
        <v>675</v>
      </c>
      <c r="K1058" s="62">
        <v>750</v>
      </c>
      <c r="L1058" s="62">
        <v>750</v>
      </c>
      <c r="M1058" s="62">
        <v>955</v>
      </c>
      <c r="N1058" s="55" t="s">
        <v>1345</v>
      </c>
      <c r="O1058" s="61" t="s">
        <v>52</v>
      </c>
      <c r="P1058" s="66"/>
      <c r="Q1058" s="66"/>
      <c r="R1058" s="66"/>
      <c r="S1058" s="66"/>
      <c r="T1058" s="66"/>
      <c r="U1058" s="66"/>
      <c r="V1058" s="66"/>
    </row>
    <row r="1059" spans="1:22" s="64" customFormat="1" x14ac:dyDescent="0.25">
      <c r="A1059" s="61" t="s">
        <v>1433</v>
      </c>
      <c r="B1059" s="511" t="s">
        <v>1499</v>
      </c>
      <c r="C1059" s="511"/>
      <c r="D1059" s="511"/>
      <c r="E1059" s="61" t="s">
        <v>1435</v>
      </c>
      <c r="F1059" s="61" t="s">
        <v>389</v>
      </c>
      <c r="G1059" s="61" t="s">
        <v>55</v>
      </c>
      <c r="H1059" s="61"/>
      <c r="I1059" s="61" t="s">
        <v>1366</v>
      </c>
      <c r="J1059" s="62">
        <v>675</v>
      </c>
      <c r="K1059" s="62">
        <v>750</v>
      </c>
      <c r="L1059" s="62">
        <v>750</v>
      </c>
      <c r="M1059" s="62">
        <v>955</v>
      </c>
      <c r="N1059" s="55" t="s">
        <v>1345</v>
      </c>
      <c r="O1059" s="61" t="s">
        <v>52</v>
      </c>
      <c r="P1059" s="66"/>
      <c r="Q1059" s="66"/>
      <c r="R1059" s="66"/>
      <c r="S1059" s="66"/>
      <c r="T1059" s="66"/>
      <c r="U1059" s="66"/>
      <c r="V1059" s="66"/>
    </row>
    <row r="1060" spans="1:22" s="64" customFormat="1" x14ac:dyDescent="0.25">
      <c r="A1060" s="61" t="s">
        <v>1433</v>
      </c>
      <c r="B1060" s="511" t="s">
        <v>1500</v>
      </c>
      <c r="C1060" s="511"/>
      <c r="D1060" s="511"/>
      <c r="E1060" s="61" t="s">
        <v>1447</v>
      </c>
      <c r="F1060" s="61" t="s">
        <v>54</v>
      </c>
      <c r="G1060" s="61" t="s">
        <v>55</v>
      </c>
      <c r="H1060" s="61"/>
      <c r="I1060" s="61" t="s">
        <v>1366</v>
      </c>
      <c r="J1060" s="62">
        <v>270</v>
      </c>
      <c r="K1060" s="62">
        <v>300</v>
      </c>
      <c r="L1060" s="62">
        <v>300</v>
      </c>
      <c r="M1060" s="62">
        <v>385</v>
      </c>
      <c r="N1060" s="55" t="s">
        <v>1345</v>
      </c>
      <c r="O1060" s="61" t="s">
        <v>52</v>
      </c>
      <c r="P1060" s="66"/>
      <c r="Q1060" s="66"/>
      <c r="R1060" s="66"/>
      <c r="S1060" s="66"/>
      <c r="T1060" s="66"/>
      <c r="U1060" s="66"/>
      <c r="V1060" s="66"/>
    </row>
    <row r="1061" spans="1:22" s="64" customFormat="1" x14ac:dyDescent="0.25">
      <c r="A1061" s="61" t="s">
        <v>1433</v>
      </c>
      <c r="B1061" s="511" t="s">
        <v>1500</v>
      </c>
      <c r="C1061" s="511"/>
      <c r="D1061" s="511"/>
      <c r="E1061" s="61" t="s">
        <v>1447</v>
      </c>
      <c r="F1061" s="61" t="s">
        <v>389</v>
      </c>
      <c r="G1061" s="61" t="s">
        <v>55</v>
      </c>
      <c r="H1061" s="61"/>
      <c r="I1061" s="61" t="s">
        <v>1366</v>
      </c>
      <c r="J1061" s="62">
        <v>270</v>
      </c>
      <c r="K1061" s="62">
        <v>300</v>
      </c>
      <c r="L1061" s="62">
        <v>300</v>
      </c>
      <c r="M1061" s="62">
        <v>385</v>
      </c>
      <c r="N1061" s="55" t="s">
        <v>1345</v>
      </c>
      <c r="O1061" s="61" t="s">
        <v>52</v>
      </c>
      <c r="P1061" s="66"/>
      <c r="Q1061" s="66"/>
      <c r="R1061" s="66"/>
      <c r="S1061" s="66"/>
      <c r="T1061" s="66"/>
      <c r="U1061" s="66"/>
      <c r="V1061" s="66"/>
    </row>
    <row r="1062" spans="1:22" s="64" customFormat="1" x14ac:dyDescent="0.25">
      <c r="A1062" s="61" t="s">
        <v>1433</v>
      </c>
      <c r="B1062" s="511" t="s">
        <v>1501</v>
      </c>
      <c r="C1062" s="511"/>
      <c r="D1062" s="511"/>
      <c r="E1062" s="61" t="s">
        <v>1435</v>
      </c>
      <c r="F1062" s="61" t="s">
        <v>54</v>
      </c>
      <c r="G1062" s="61" t="s">
        <v>55</v>
      </c>
      <c r="H1062" s="61"/>
      <c r="I1062" s="61" t="s">
        <v>1366</v>
      </c>
      <c r="J1062" s="62">
        <v>180</v>
      </c>
      <c r="K1062" s="62">
        <v>200</v>
      </c>
      <c r="L1062" s="62">
        <v>200</v>
      </c>
      <c r="M1062" s="62">
        <v>255</v>
      </c>
      <c r="N1062" s="55" t="s">
        <v>1345</v>
      </c>
      <c r="O1062" s="61" t="s">
        <v>52</v>
      </c>
      <c r="P1062" s="66"/>
      <c r="Q1062" s="66"/>
      <c r="R1062" s="66"/>
      <c r="S1062" s="66"/>
      <c r="T1062" s="66"/>
      <c r="U1062" s="66"/>
      <c r="V1062" s="66"/>
    </row>
    <row r="1063" spans="1:22" s="64" customFormat="1" x14ac:dyDescent="0.25">
      <c r="A1063" s="61" t="s">
        <v>1433</v>
      </c>
      <c r="B1063" s="511" t="s">
        <v>1501</v>
      </c>
      <c r="C1063" s="511"/>
      <c r="D1063" s="511"/>
      <c r="E1063" s="61" t="s">
        <v>1435</v>
      </c>
      <c r="F1063" s="61" t="s">
        <v>389</v>
      </c>
      <c r="G1063" s="61" t="s">
        <v>55</v>
      </c>
      <c r="H1063" s="61"/>
      <c r="I1063" s="61" t="s">
        <v>1366</v>
      </c>
      <c r="J1063" s="62">
        <v>180</v>
      </c>
      <c r="K1063" s="62">
        <v>200</v>
      </c>
      <c r="L1063" s="62">
        <v>200</v>
      </c>
      <c r="M1063" s="62">
        <v>255</v>
      </c>
      <c r="N1063" s="55" t="s">
        <v>1345</v>
      </c>
      <c r="O1063" s="61" t="s">
        <v>52</v>
      </c>
      <c r="P1063" s="66"/>
      <c r="Q1063" s="66"/>
      <c r="R1063" s="66"/>
      <c r="S1063" s="66"/>
      <c r="T1063" s="66"/>
      <c r="U1063" s="66"/>
      <c r="V1063" s="66"/>
    </row>
    <row r="1064" spans="1:22" s="64" customFormat="1" x14ac:dyDescent="0.25">
      <c r="A1064" s="61" t="s">
        <v>1433</v>
      </c>
      <c r="B1064" s="511" t="s">
        <v>1501</v>
      </c>
      <c r="C1064" s="511"/>
      <c r="D1064" s="511"/>
      <c r="E1064" s="61" t="s">
        <v>1447</v>
      </c>
      <c r="F1064" s="61" t="s">
        <v>56</v>
      </c>
      <c r="G1064" s="61" t="s">
        <v>55</v>
      </c>
      <c r="H1064" s="61"/>
      <c r="I1064" s="61" t="s">
        <v>1366</v>
      </c>
      <c r="J1064" s="62">
        <v>430</v>
      </c>
      <c r="K1064" s="62">
        <v>460</v>
      </c>
      <c r="L1064" s="62">
        <v>460</v>
      </c>
      <c r="M1064" s="62"/>
      <c r="N1064" s="55" t="s">
        <v>1345</v>
      </c>
      <c r="O1064" s="61" t="s">
        <v>52</v>
      </c>
      <c r="P1064" s="66"/>
      <c r="Q1064" s="66"/>
      <c r="R1064" s="66"/>
      <c r="S1064" s="66"/>
      <c r="T1064" s="66"/>
      <c r="U1064" s="66"/>
      <c r="V1064" s="66"/>
    </row>
    <row r="1065" spans="1:22" s="64" customFormat="1" x14ac:dyDescent="0.25">
      <c r="A1065" s="61" t="s">
        <v>1433</v>
      </c>
      <c r="B1065" s="511" t="s">
        <v>1501</v>
      </c>
      <c r="C1065" s="511"/>
      <c r="D1065" s="511"/>
      <c r="E1065" s="61" t="s">
        <v>1455</v>
      </c>
      <c r="F1065" s="61" t="s">
        <v>56</v>
      </c>
      <c r="G1065" s="61" t="s">
        <v>55</v>
      </c>
      <c r="H1065" s="61"/>
      <c r="I1065" s="61" t="s">
        <v>1366</v>
      </c>
      <c r="J1065" s="62">
        <v>485</v>
      </c>
      <c r="K1065" s="62">
        <v>505</v>
      </c>
      <c r="L1065" s="62">
        <v>505</v>
      </c>
      <c r="M1065" s="62"/>
      <c r="N1065" s="55" t="s">
        <v>1345</v>
      </c>
      <c r="O1065" s="61" t="s">
        <v>52</v>
      </c>
      <c r="P1065" s="66"/>
      <c r="Q1065" s="66"/>
      <c r="R1065" s="66"/>
      <c r="S1065" s="66"/>
      <c r="T1065" s="66"/>
      <c r="U1065" s="66"/>
      <c r="V1065" s="66"/>
    </row>
    <row r="1066" spans="1:22" s="64" customFormat="1" x14ac:dyDescent="0.25">
      <c r="A1066" s="61" t="s">
        <v>1433</v>
      </c>
      <c r="B1066" s="511" t="s">
        <v>1502</v>
      </c>
      <c r="C1066" s="511"/>
      <c r="D1066" s="511"/>
      <c r="E1066" s="61" t="s">
        <v>1435</v>
      </c>
      <c r="F1066" s="61" t="s">
        <v>54</v>
      </c>
      <c r="G1066" s="61" t="s">
        <v>55</v>
      </c>
      <c r="H1066" s="61"/>
      <c r="I1066" s="61" t="s">
        <v>1366</v>
      </c>
      <c r="J1066" s="62">
        <v>270</v>
      </c>
      <c r="K1066" s="62">
        <v>300</v>
      </c>
      <c r="L1066" s="62">
        <v>300</v>
      </c>
      <c r="M1066" s="62">
        <v>380</v>
      </c>
      <c r="N1066" s="55" t="s">
        <v>1345</v>
      </c>
      <c r="O1066" s="61" t="s">
        <v>52</v>
      </c>
      <c r="P1066" s="66"/>
      <c r="Q1066" s="66"/>
      <c r="R1066" s="66"/>
      <c r="S1066" s="66"/>
      <c r="T1066" s="66"/>
      <c r="U1066" s="66"/>
      <c r="V1066" s="66"/>
    </row>
    <row r="1067" spans="1:22" s="64" customFormat="1" x14ac:dyDescent="0.25">
      <c r="A1067" s="61" t="s">
        <v>1433</v>
      </c>
      <c r="B1067" s="511" t="s">
        <v>1502</v>
      </c>
      <c r="C1067" s="511"/>
      <c r="D1067" s="511"/>
      <c r="E1067" s="61" t="s">
        <v>1435</v>
      </c>
      <c r="F1067" s="61" t="s">
        <v>389</v>
      </c>
      <c r="G1067" s="61" t="s">
        <v>55</v>
      </c>
      <c r="H1067" s="61"/>
      <c r="I1067" s="61" t="s">
        <v>1366</v>
      </c>
      <c r="J1067" s="62">
        <v>270</v>
      </c>
      <c r="K1067" s="62">
        <v>300</v>
      </c>
      <c r="L1067" s="62">
        <v>300</v>
      </c>
      <c r="M1067" s="62">
        <v>380</v>
      </c>
      <c r="N1067" s="55" t="s">
        <v>1345</v>
      </c>
      <c r="O1067" s="61" t="s">
        <v>52</v>
      </c>
      <c r="P1067" s="66"/>
      <c r="Q1067" s="66"/>
      <c r="R1067" s="66"/>
      <c r="S1067" s="66"/>
      <c r="T1067" s="66"/>
      <c r="U1067" s="66"/>
      <c r="V1067" s="66"/>
    </row>
    <row r="1068" spans="1:22" s="64" customFormat="1" x14ac:dyDescent="0.25">
      <c r="A1068" s="61" t="s">
        <v>1433</v>
      </c>
      <c r="B1068" s="511" t="s">
        <v>1503</v>
      </c>
      <c r="C1068" s="511"/>
      <c r="D1068" s="511"/>
      <c r="E1068" s="61" t="s">
        <v>1435</v>
      </c>
      <c r="F1068" s="61" t="s">
        <v>56</v>
      </c>
      <c r="G1068" s="61" t="s">
        <v>55</v>
      </c>
      <c r="H1068" s="61"/>
      <c r="I1068" s="61" t="s">
        <v>1366</v>
      </c>
      <c r="J1068" s="62">
        <v>380</v>
      </c>
      <c r="K1068" s="62">
        <v>520</v>
      </c>
      <c r="L1068" s="62">
        <v>520</v>
      </c>
      <c r="M1068" s="62"/>
      <c r="N1068" s="55" t="s">
        <v>1345</v>
      </c>
      <c r="O1068" s="61" t="s">
        <v>52</v>
      </c>
      <c r="P1068" s="66"/>
      <c r="Q1068" s="66"/>
      <c r="R1068" s="66"/>
      <c r="S1068" s="66"/>
      <c r="T1068" s="66"/>
      <c r="U1068" s="66"/>
      <c r="V1068" s="66"/>
    </row>
    <row r="1069" spans="1:22" s="64" customFormat="1" x14ac:dyDescent="0.25">
      <c r="A1069" s="61" t="s">
        <v>1433</v>
      </c>
      <c r="B1069" s="511" t="s">
        <v>1504</v>
      </c>
      <c r="C1069" s="511"/>
      <c r="D1069" s="511"/>
      <c r="E1069" s="61" t="s">
        <v>1447</v>
      </c>
      <c r="F1069" s="61" t="s">
        <v>56</v>
      </c>
      <c r="G1069" s="61" t="s">
        <v>55</v>
      </c>
      <c r="H1069" s="61"/>
      <c r="I1069" s="61" t="s">
        <v>1366</v>
      </c>
      <c r="J1069" s="62">
        <v>670</v>
      </c>
      <c r="K1069" s="62">
        <v>550</v>
      </c>
      <c r="L1069" s="62">
        <v>550</v>
      </c>
      <c r="M1069" s="62"/>
      <c r="N1069" s="55" t="s">
        <v>1345</v>
      </c>
      <c r="O1069" s="61" t="s">
        <v>52</v>
      </c>
      <c r="P1069" s="66"/>
      <c r="Q1069" s="66"/>
      <c r="R1069" s="66"/>
      <c r="S1069" s="66"/>
      <c r="T1069" s="66"/>
      <c r="U1069" s="66"/>
      <c r="V1069" s="66"/>
    </row>
    <row r="1070" spans="1:22" s="64" customFormat="1" x14ac:dyDescent="0.25">
      <c r="A1070" s="61" t="s">
        <v>1433</v>
      </c>
      <c r="B1070" s="511" t="s">
        <v>1504</v>
      </c>
      <c r="C1070" s="511"/>
      <c r="D1070" s="511"/>
      <c r="E1070" s="61" t="s">
        <v>1468</v>
      </c>
      <c r="F1070" s="61" t="s">
        <v>56</v>
      </c>
      <c r="G1070" s="61" t="s">
        <v>55</v>
      </c>
      <c r="H1070" s="61"/>
      <c r="I1070" s="61" t="s">
        <v>1366</v>
      </c>
      <c r="J1070" s="62">
        <v>520</v>
      </c>
      <c r="K1070" s="62">
        <v>430</v>
      </c>
      <c r="L1070" s="62">
        <v>430</v>
      </c>
      <c r="M1070" s="62"/>
      <c r="N1070" s="55" t="s">
        <v>1345</v>
      </c>
      <c r="O1070" s="61" t="s">
        <v>52</v>
      </c>
      <c r="P1070" s="66"/>
      <c r="Q1070" s="66"/>
      <c r="R1070" s="66"/>
      <c r="S1070" s="66"/>
      <c r="T1070" s="66"/>
      <c r="U1070" s="66"/>
      <c r="V1070" s="66"/>
    </row>
    <row r="1071" spans="1:22" s="64" customFormat="1" x14ac:dyDescent="0.25">
      <c r="A1071" s="61" t="s">
        <v>1433</v>
      </c>
      <c r="B1071" s="511" t="s">
        <v>1505</v>
      </c>
      <c r="C1071" s="511"/>
      <c r="D1071" s="511"/>
      <c r="E1071" s="61" t="s">
        <v>1437</v>
      </c>
      <c r="F1071" s="61" t="s">
        <v>54</v>
      </c>
      <c r="G1071" s="61" t="s">
        <v>55</v>
      </c>
      <c r="H1071" s="61"/>
      <c r="I1071" s="61" t="s">
        <v>1366</v>
      </c>
      <c r="J1071" s="62">
        <v>180</v>
      </c>
      <c r="K1071" s="62">
        <v>200</v>
      </c>
      <c r="L1071" s="62">
        <v>200</v>
      </c>
      <c r="M1071" s="62">
        <v>255</v>
      </c>
      <c r="N1071" s="55" t="s">
        <v>1345</v>
      </c>
      <c r="O1071" s="61" t="s">
        <v>52</v>
      </c>
      <c r="P1071" s="66"/>
      <c r="Q1071" s="66"/>
      <c r="R1071" s="66"/>
      <c r="S1071" s="66"/>
      <c r="T1071" s="66"/>
      <c r="U1071" s="66"/>
      <c r="V1071" s="66"/>
    </row>
    <row r="1072" spans="1:22" s="64" customFormat="1" x14ac:dyDescent="0.25">
      <c r="A1072" s="61" t="s">
        <v>1433</v>
      </c>
      <c r="B1072" s="511" t="s">
        <v>1505</v>
      </c>
      <c r="C1072" s="511"/>
      <c r="D1072" s="511"/>
      <c r="E1072" s="61" t="s">
        <v>1438</v>
      </c>
      <c r="F1072" s="61" t="s">
        <v>389</v>
      </c>
      <c r="G1072" s="61" t="s">
        <v>55</v>
      </c>
      <c r="H1072" s="61"/>
      <c r="I1072" s="61" t="s">
        <v>1366</v>
      </c>
      <c r="J1072" s="62">
        <v>180</v>
      </c>
      <c r="K1072" s="62">
        <v>200</v>
      </c>
      <c r="L1072" s="62">
        <v>200</v>
      </c>
      <c r="M1072" s="62">
        <v>255</v>
      </c>
      <c r="N1072" s="55" t="s">
        <v>1345</v>
      </c>
      <c r="O1072" s="61" t="s">
        <v>52</v>
      </c>
      <c r="P1072" s="66"/>
      <c r="Q1072" s="66"/>
      <c r="R1072" s="66"/>
      <c r="S1072" s="66"/>
      <c r="T1072" s="66"/>
      <c r="U1072" s="66"/>
      <c r="V1072" s="66"/>
    </row>
    <row r="1073" spans="1:22" s="64" customFormat="1" x14ac:dyDescent="0.25">
      <c r="A1073" s="61" t="s">
        <v>1433</v>
      </c>
      <c r="B1073" s="511" t="s">
        <v>1505</v>
      </c>
      <c r="C1073" s="511"/>
      <c r="D1073" s="511"/>
      <c r="E1073" s="61" t="s">
        <v>1439</v>
      </c>
      <c r="F1073" s="61" t="s">
        <v>389</v>
      </c>
      <c r="G1073" s="61" t="s">
        <v>55</v>
      </c>
      <c r="H1073" s="61"/>
      <c r="I1073" s="61" t="s">
        <v>1366</v>
      </c>
      <c r="J1073" s="62">
        <v>180</v>
      </c>
      <c r="K1073" s="62">
        <v>200</v>
      </c>
      <c r="L1073" s="62">
        <v>200</v>
      </c>
      <c r="M1073" s="62">
        <v>255</v>
      </c>
      <c r="N1073" s="55" t="s">
        <v>1345</v>
      </c>
      <c r="O1073" s="61" t="s">
        <v>52</v>
      </c>
      <c r="P1073" s="66"/>
      <c r="Q1073" s="66"/>
      <c r="R1073" s="66"/>
      <c r="S1073" s="66"/>
      <c r="T1073" s="66"/>
      <c r="U1073" s="66"/>
      <c r="V1073" s="66"/>
    </row>
    <row r="1074" spans="1:22" s="64" customFormat="1" x14ac:dyDescent="0.25">
      <c r="A1074" s="61" t="s">
        <v>1433</v>
      </c>
      <c r="B1074" s="511" t="s">
        <v>1505</v>
      </c>
      <c r="C1074" s="511"/>
      <c r="D1074" s="511"/>
      <c r="E1074" s="61" t="s">
        <v>1437</v>
      </c>
      <c r="F1074" s="61" t="s">
        <v>389</v>
      </c>
      <c r="G1074" s="61" t="s">
        <v>55</v>
      </c>
      <c r="H1074" s="61"/>
      <c r="I1074" s="61" t="s">
        <v>1366</v>
      </c>
      <c r="J1074" s="62">
        <v>180</v>
      </c>
      <c r="K1074" s="62">
        <v>200</v>
      </c>
      <c r="L1074" s="62">
        <v>200</v>
      </c>
      <c r="M1074" s="62">
        <v>255</v>
      </c>
      <c r="N1074" s="55" t="s">
        <v>1345</v>
      </c>
      <c r="O1074" s="61" t="s">
        <v>52</v>
      </c>
      <c r="P1074" s="66"/>
      <c r="Q1074" s="66"/>
      <c r="R1074" s="66"/>
      <c r="S1074" s="66"/>
      <c r="T1074" s="66"/>
      <c r="U1074" s="66"/>
      <c r="V1074" s="66"/>
    </row>
    <row r="1075" spans="1:22" s="64" customFormat="1" x14ac:dyDescent="0.25">
      <c r="A1075" s="61" t="s">
        <v>1433</v>
      </c>
      <c r="B1075" s="511" t="s">
        <v>1505</v>
      </c>
      <c r="C1075" s="511"/>
      <c r="D1075" s="511"/>
      <c r="E1075" s="61" t="s">
        <v>1437</v>
      </c>
      <c r="F1075" s="61" t="s">
        <v>56</v>
      </c>
      <c r="G1075" s="61" t="s">
        <v>55</v>
      </c>
      <c r="H1075" s="61"/>
      <c r="I1075" s="61" t="s">
        <v>1366</v>
      </c>
      <c r="J1075" s="62">
        <v>255</v>
      </c>
      <c r="K1075" s="62">
        <v>295</v>
      </c>
      <c r="L1075" s="62">
        <v>295</v>
      </c>
      <c r="M1075" s="62">
        <v>205</v>
      </c>
      <c r="N1075" s="55" t="s">
        <v>1345</v>
      </c>
      <c r="O1075" s="61" t="s">
        <v>52</v>
      </c>
      <c r="P1075" s="66"/>
      <c r="Q1075" s="66"/>
      <c r="R1075" s="66"/>
      <c r="S1075" s="66"/>
      <c r="T1075" s="66"/>
      <c r="U1075" s="66"/>
      <c r="V1075" s="66"/>
    </row>
    <row r="1076" spans="1:22" s="64" customFormat="1" x14ac:dyDescent="0.25">
      <c r="A1076" s="61" t="s">
        <v>1433</v>
      </c>
      <c r="B1076" s="511" t="s">
        <v>1506</v>
      </c>
      <c r="C1076" s="511"/>
      <c r="D1076" s="511"/>
      <c r="E1076" s="61" t="s">
        <v>1447</v>
      </c>
      <c r="F1076" s="61" t="s">
        <v>56</v>
      </c>
      <c r="G1076" s="61" t="s">
        <v>55</v>
      </c>
      <c r="H1076" s="61"/>
      <c r="I1076" s="61" t="s">
        <v>1366</v>
      </c>
      <c r="J1076" s="62">
        <v>380</v>
      </c>
      <c r="K1076" s="62">
        <v>370</v>
      </c>
      <c r="L1076" s="62">
        <v>370</v>
      </c>
      <c r="M1076" s="62"/>
      <c r="N1076" s="55" t="s">
        <v>1345</v>
      </c>
      <c r="O1076" s="61" t="s">
        <v>52</v>
      </c>
      <c r="P1076" s="66"/>
      <c r="Q1076" s="66"/>
      <c r="R1076" s="66"/>
      <c r="S1076" s="66"/>
      <c r="T1076" s="66"/>
      <c r="U1076" s="66"/>
      <c r="V1076" s="66"/>
    </row>
    <row r="1077" spans="1:22" s="64" customFormat="1" x14ac:dyDescent="0.25">
      <c r="A1077" s="61" t="s">
        <v>1433</v>
      </c>
      <c r="B1077" s="511" t="s">
        <v>1506</v>
      </c>
      <c r="C1077" s="511"/>
      <c r="D1077" s="511"/>
      <c r="E1077" s="61" t="s">
        <v>1435</v>
      </c>
      <c r="F1077" s="61" t="s">
        <v>56</v>
      </c>
      <c r="G1077" s="61" t="s">
        <v>55</v>
      </c>
      <c r="H1077" s="61"/>
      <c r="I1077" s="61" t="s">
        <v>1366</v>
      </c>
      <c r="J1077" s="62">
        <v>400</v>
      </c>
      <c r="K1077" s="62">
        <v>405</v>
      </c>
      <c r="L1077" s="62">
        <v>405</v>
      </c>
      <c r="M1077" s="62"/>
      <c r="N1077" s="55" t="s">
        <v>1345</v>
      </c>
      <c r="O1077" s="61" t="s">
        <v>52</v>
      </c>
      <c r="P1077" s="66"/>
      <c r="Q1077" s="66"/>
      <c r="R1077" s="66"/>
      <c r="S1077" s="66"/>
      <c r="T1077" s="66"/>
      <c r="U1077" s="66"/>
      <c r="V1077" s="66"/>
    </row>
    <row r="1078" spans="1:22" s="64" customFormat="1" x14ac:dyDescent="0.25">
      <c r="A1078" s="61" t="s">
        <v>1433</v>
      </c>
      <c r="B1078" s="511" t="s">
        <v>1507</v>
      </c>
      <c r="C1078" s="511"/>
      <c r="D1078" s="511"/>
      <c r="E1078" s="61" t="s">
        <v>1435</v>
      </c>
      <c r="F1078" s="61" t="s">
        <v>54</v>
      </c>
      <c r="G1078" s="61" t="s">
        <v>55</v>
      </c>
      <c r="H1078" s="61"/>
      <c r="I1078" s="61" t="s">
        <v>1366</v>
      </c>
      <c r="J1078" s="62">
        <v>405</v>
      </c>
      <c r="K1078" s="62">
        <v>450</v>
      </c>
      <c r="L1078" s="62">
        <v>450</v>
      </c>
      <c r="M1078" s="62">
        <v>570</v>
      </c>
      <c r="N1078" s="55" t="s">
        <v>1345</v>
      </c>
      <c r="O1078" s="61" t="s">
        <v>52</v>
      </c>
      <c r="P1078" s="66"/>
      <c r="Q1078" s="66"/>
      <c r="R1078" s="66"/>
      <c r="S1078" s="66"/>
      <c r="T1078" s="66"/>
      <c r="U1078" s="66"/>
      <c r="V1078" s="66"/>
    </row>
    <row r="1079" spans="1:22" s="64" customFormat="1" x14ac:dyDescent="0.25">
      <c r="A1079" s="61" t="s">
        <v>1433</v>
      </c>
      <c r="B1079" s="511" t="s">
        <v>1507</v>
      </c>
      <c r="C1079" s="511"/>
      <c r="D1079" s="511"/>
      <c r="E1079" s="61" t="s">
        <v>1435</v>
      </c>
      <c r="F1079" s="61" t="s">
        <v>389</v>
      </c>
      <c r="G1079" s="61" t="s">
        <v>55</v>
      </c>
      <c r="H1079" s="61"/>
      <c r="I1079" s="61" t="s">
        <v>1366</v>
      </c>
      <c r="J1079" s="62">
        <v>405</v>
      </c>
      <c r="K1079" s="62">
        <v>450</v>
      </c>
      <c r="L1079" s="62">
        <v>450</v>
      </c>
      <c r="M1079" s="62">
        <v>570</v>
      </c>
      <c r="N1079" s="55" t="s">
        <v>1345</v>
      </c>
      <c r="O1079" s="61" t="s">
        <v>52</v>
      </c>
      <c r="P1079" s="66"/>
      <c r="Q1079" s="66"/>
      <c r="R1079" s="66"/>
      <c r="S1079" s="66"/>
      <c r="T1079" s="66"/>
      <c r="U1079" s="66"/>
      <c r="V1079" s="66"/>
    </row>
    <row r="1080" spans="1:22" s="64" customFormat="1" x14ac:dyDescent="0.25">
      <c r="A1080" s="61" t="s">
        <v>1433</v>
      </c>
      <c r="B1080" s="511" t="s">
        <v>1508</v>
      </c>
      <c r="C1080" s="511"/>
      <c r="D1080" s="511"/>
      <c r="E1080" s="61" t="s">
        <v>1435</v>
      </c>
      <c r="F1080" s="61" t="s">
        <v>54</v>
      </c>
      <c r="G1080" s="61" t="s">
        <v>55</v>
      </c>
      <c r="H1080" s="61"/>
      <c r="I1080" s="61" t="s">
        <v>1366</v>
      </c>
      <c r="J1080" s="62">
        <v>900</v>
      </c>
      <c r="K1080" s="62">
        <v>1000</v>
      </c>
      <c r="L1080" s="62">
        <v>1000</v>
      </c>
      <c r="M1080" s="62">
        <v>1270</v>
      </c>
      <c r="N1080" s="55" t="s">
        <v>1345</v>
      </c>
      <c r="O1080" s="61" t="s">
        <v>52</v>
      </c>
      <c r="P1080" s="66"/>
      <c r="Q1080" s="66"/>
      <c r="R1080" s="66"/>
      <c r="S1080" s="66"/>
      <c r="T1080" s="66"/>
      <c r="U1080" s="66"/>
      <c r="V1080" s="66"/>
    </row>
    <row r="1081" spans="1:22" s="64" customFormat="1" x14ac:dyDescent="0.25">
      <c r="A1081" s="61" t="s">
        <v>1433</v>
      </c>
      <c r="B1081" s="511" t="s">
        <v>1508</v>
      </c>
      <c r="C1081" s="511"/>
      <c r="D1081" s="511"/>
      <c r="E1081" s="61" t="s">
        <v>1435</v>
      </c>
      <c r="F1081" s="61" t="s">
        <v>389</v>
      </c>
      <c r="G1081" s="61" t="s">
        <v>55</v>
      </c>
      <c r="H1081" s="61"/>
      <c r="I1081" s="61" t="s">
        <v>1366</v>
      </c>
      <c r="J1081" s="62">
        <v>900</v>
      </c>
      <c r="K1081" s="62">
        <v>1000</v>
      </c>
      <c r="L1081" s="62">
        <v>1000</v>
      </c>
      <c r="M1081" s="62">
        <v>1270</v>
      </c>
      <c r="N1081" s="55" t="s">
        <v>1345</v>
      </c>
      <c r="O1081" s="61" t="s">
        <v>52</v>
      </c>
      <c r="P1081" s="66"/>
      <c r="Q1081" s="66"/>
      <c r="R1081" s="66"/>
      <c r="S1081" s="66"/>
      <c r="T1081" s="66"/>
      <c r="U1081" s="66"/>
      <c r="V1081" s="66"/>
    </row>
    <row r="1082" spans="1:22" s="64" customFormat="1" x14ac:dyDescent="0.25">
      <c r="A1082" s="61" t="s">
        <v>1433</v>
      </c>
      <c r="B1082" s="511" t="s">
        <v>1509</v>
      </c>
      <c r="C1082" s="511"/>
      <c r="D1082" s="511"/>
      <c r="E1082" s="61" t="s">
        <v>1435</v>
      </c>
      <c r="F1082" s="61" t="s">
        <v>54</v>
      </c>
      <c r="G1082" s="61" t="s">
        <v>55</v>
      </c>
      <c r="H1082" s="61"/>
      <c r="I1082" s="61" t="s">
        <v>1366</v>
      </c>
      <c r="J1082" s="62">
        <v>315</v>
      </c>
      <c r="K1082" s="62">
        <v>350</v>
      </c>
      <c r="L1082" s="62">
        <v>350</v>
      </c>
      <c r="M1082" s="62">
        <v>445</v>
      </c>
      <c r="N1082" s="55" t="s">
        <v>1345</v>
      </c>
      <c r="O1082" s="61" t="s">
        <v>52</v>
      </c>
      <c r="P1082" s="66"/>
      <c r="Q1082" s="66"/>
      <c r="R1082" s="66"/>
      <c r="S1082" s="66"/>
      <c r="T1082" s="66"/>
      <c r="U1082" s="66"/>
      <c r="V1082" s="66"/>
    </row>
    <row r="1083" spans="1:22" s="64" customFormat="1" x14ac:dyDescent="0.25">
      <c r="A1083" s="61" t="s">
        <v>1433</v>
      </c>
      <c r="B1083" s="511" t="s">
        <v>1509</v>
      </c>
      <c r="C1083" s="511"/>
      <c r="D1083" s="511"/>
      <c r="E1083" s="61" t="s">
        <v>1435</v>
      </c>
      <c r="F1083" s="61" t="s">
        <v>389</v>
      </c>
      <c r="G1083" s="61" t="s">
        <v>55</v>
      </c>
      <c r="H1083" s="61"/>
      <c r="I1083" s="61" t="s">
        <v>1366</v>
      </c>
      <c r="J1083" s="62">
        <v>315</v>
      </c>
      <c r="K1083" s="62">
        <v>350</v>
      </c>
      <c r="L1083" s="62">
        <v>350</v>
      </c>
      <c r="M1083" s="62">
        <v>445</v>
      </c>
      <c r="N1083" s="55" t="s">
        <v>1345</v>
      </c>
      <c r="O1083" s="61" t="s">
        <v>52</v>
      </c>
      <c r="P1083" s="66"/>
      <c r="Q1083" s="66"/>
      <c r="R1083" s="66"/>
      <c r="S1083" s="66"/>
      <c r="T1083" s="66"/>
      <c r="U1083" s="66"/>
      <c r="V1083" s="66"/>
    </row>
    <row r="1084" spans="1:22" s="64" customFormat="1" x14ac:dyDescent="0.25">
      <c r="A1084" s="61" t="s">
        <v>1433</v>
      </c>
      <c r="B1084" s="511" t="s">
        <v>1510</v>
      </c>
      <c r="C1084" s="511"/>
      <c r="D1084" s="511"/>
      <c r="E1084" s="61" t="s">
        <v>1435</v>
      </c>
      <c r="F1084" s="61" t="s">
        <v>54</v>
      </c>
      <c r="G1084" s="61" t="s">
        <v>55</v>
      </c>
      <c r="H1084" s="61"/>
      <c r="I1084" s="61" t="s">
        <v>1366</v>
      </c>
      <c r="J1084" s="62">
        <v>315</v>
      </c>
      <c r="K1084" s="62">
        <v>350</v>
      </c>
      <c r="L1084" s="62">
        <v>350</v>
      </c>
      <c r="M1084" s="62">
        <v>445</v>
      </c>
      <c r="N1084" s="55" t="s">
        <v>1345</v>
      </c>
      <c r="O1084" s="61" t="s">
        <v>52</v>
      </c>
      <c r="P1084" s="66"/>
      <c r="Q1084" s="66"/>
      <c r="R1084" s="66"/>
      <c r="S1084" s="66"/>
      <c r="T1084" s="66"/>
      <c r="U1084" s="66"/>
      <c r="V1084" s="66"/>
    </row>
    <row r="1085" spans="1:22" s="64" customFormat="1" x14ac:dyDescent="0.25">
      <c r="A1085" s="61" t="s">
        <v>1433</v>
      </c>
      <c r="B1085" s="511" t="s">
        <v>1510</v>
      </c>
      <c r="C1085" s="511"/>
      <c r="D1085" s="511"/>
      <c r="E1085" s="61" t="s">
        <v>1435</v>
      </c>
      <c r="F1085" s="61" t="s">
        <v>389</v>
      </c>
      <c r="G1085" s="61" t="s">
        <v>55</v>
      </c>
      <c r="H1085" s="61"/>
      <c r="I1085" s="61" t="s">
        <v>1366</v>
      </c>
      <c r="J1085" s="62">
        <v>315</v>
      </c>
      <c r="K1085" s="62">
        <v>350</v>
      </c>
      <c r="L1085" s="62">
        <v>350</v>
      </c>
      <c r="M1085" s="62">
        <v>445</v>
      </c>
      <c r="N1085" s="55" t="s">
        <v>1345</v>
      </c>
      <c r="O1085" s="61" t="s">
        <v>52</v>
      </c>
      <c r="P1085" s="66"/>
      <c r="Q1085" s="66"/>
      <c r="R1085" s="66"/>
      <c r="S1085" s="66"/>
      <c r="T1085" s="66"/>
      <c r="U1085" s="66"/>
      <c r="V1085" s="66"/>
    </row>
    <row r="1086" spans="1:22" s="64" customFormat="1" x14ac:dyDescent="0.25">
      <c r="A1086" s="61" t="s">
        <v>1433</v>
      </c>
      <c r="B1086" s="511" t="s">
        <v>1510</v>
      </c>
      <c r="C1086" s="511"/>
      <c r="D1086" s="511"/>
      <c r="E1086" s="61" t="s">
        <v>1439</v>
      </c>
      <c r="F1086" s="61" t="s">
        <v>56</v>
      </c>
      <c r="G1086" s="61" t="s">
        <v>55</v>
      </c>
      <c r="H1086" s="61"/>
      <c r="I1086" s="61" t="s">
        <v>1366</v>
      </c>
      <c r="J1086" s="62">
        <v>420</v>
      </c>
      <c r="K1086" s="62">
        <v>595</v>
      </c>
      <c r="L1086" s="62">
        <v>595</v>
      </c>
      <c r="M1086" s="62"/>
      <c r="N1086" s="55" t="s">
        <v>1345</v>
      </c>
      <c r="O1086" s="61" t="s">
        <v>52</v>
      </c>
      <c r="P1086" s="66"/>
      <c r="Q1086" s="66"/>
      <c r="R1086" s="66"/>
      <c r="S1086" s="66"/>
      <c r="T1086" s="66"/>
      <c r="U1086" s="66"/>
      <c r="V1086" s="66"/>
    </row>
    <row r="1087" spans="1:22" s="64" customFormat="1" x14ac:dyDescent="0.25">
      <c r="A1087" s="61" t="s">
        <v>1433</v>
      </c>
      <c r="B1087" s="511" t="s">
        <v>1510</v>
      </c>
      <c r="C1087" s="511"/>
      <c r="D1087" s="511"/>
      <c r="E1087" s="61" t="s">
        <v>1437</v>
      </c>
      <c r="F1087" s="61" t="s">
        <v>56</v>
      </c>
      <c r="G1087" s="61" t="s">
        <v>55</v>
      </c>
      <c r="H1087" s="61"/>
      <c r="I1087" s="61" t="s">
        <v>1366</v>
      </c>
      <c r="J1087" s="62">
        <v>475</v>
      </c>
      <c r="K1087" s="62">
        <v>645</v>
      </c>
      <c r="L1087" s="62">
        <v>645</v>
      </c>
      <c r="M1087" s="62"/>
      <c r="N1087" s="55" t="s">
        <v>1345</v>
      </c>
      <c r="O1087" s="61" t="s">
        <v>52</v>
      </c>
      <c r="P1087" s="66"/>
      <c r="Q1087" s="66"/>
      <c r="R1087" s="66"/>
      <c r="S1087" s="66"/>
      <c r="T1087" s="66"/>
      <c r="U1087" s="66"/>
      <c r="V1087" s="66"/>
    </row>
    <row r="1088" spans="1:22" s="64" customFormat="1" x14ac:dyDescent="0.25">
      <c r="A1088" s="61" t="s">
        <v>1433</v>
      </c>
      <c r="B1088" s="511" t="s">
        <v>1511</v>
      </c>
      <c r="C1088" s="511"/>
      <c r="D1088" s="511"/>
      <c r="E1088" s="61" t="s">
        <v>1437</v>
      </c>
      <c r="F1088" s="61" t="s">
        <v>54</v>
      </c>
      <c r="G1088" s="61" t="s">
        <v>55</v>
      </c>
      <c r="H1088" s="61"/>
      <c r="I1088" s="61" t="s">
        <v>1366</v>
      </c>
      <c r="J1088" s="62">
        <v>135</v>
      </c>
      <c r="K1088" s="62">
        <v>150</v>
      </c>
      <c r="L1088" s="62">
        <v>150</v>
      </c>
      <c r="M1088" s="62">
        <v>190</v>
      </c>
      <c r="N1088" s="55" t="s">
        <v>1345</v>
      </c>
      <c r="O1088" s="61" t="s">
        <v>52</v>
      </c>
      <c r="P1088" s="66"/>
      <c r="Q1088" s="66"/>
      <c r="R1088" s="66"/>
      <c r="S1088" s="66"/>
      <c r="T1088" s="66"/>
      <c r="U1088" s="66"/>
      <c r="V1088" s="66"/>
    </row>
    <row r="1089" spans="1:22" s="64" customFormat="1" x14ac:dyDescent="0.25">
      <c r="A1089" s="61" t="s">
        <v>1433</v>
      </c>
      <c r="B1089" s="511" t="s">
        <v>1511</v>
      </c>
      <c r="C1089" s="511"/>
      <c r="D1089" s="511"/>
      <c r="E1089" s="61" t="s">
        <v>1438</v>
      </c>
      <c r="F1089" s="61" t="s">
        <v>389</v>
      </c>
      <c r="G1089" s="61" t="s">
        <v>55</v>
      </c>
      <c r="H1089" s="61"/>
      <c r="I1089" s="61" t="s">
        <v>1366</v>
      </c>
      <c r="J1089" s="62">
        <v>135</v>
      </c>
      <c r="K1089" s="62">
        <v>150</v>
      </c>
      <c r="L1089" s="62">
        <v>150</v>
      </c>
      <c r="M1089" s="62">
        <v>190</v>
      </c>
      <c r="N1089" s="55" t="s">
        <v>1345</v>
      </c>
      <c r="O1089" s="61" t="s">
        <v>52</v>
      </c>
      <c r="P1089" s="66"/>
      <c r="Q1089" s="66"/>
      <c r="R1089" s="66"/>
      <c r="S1089" s="66"/>
      <c r="T1089" s="66"/>
      <c r="U1089" s="66"/>
      <c r="V1089" s="66"/>
    </row>
    <row r="1090" spans="1:22" s="64" customFormat="1" x14ac:dyDescent="0.25">
      <c r="A1090" s="61" t="s">
        <v>1433</v>
      </c>
      <c r="B1090" s="511" t="s">
        <v>1511</v>
      </c>
      <c r="C1090" s="511"/>
      <c r="D1090" s="511"/>
      <c r="E1090" s="61" t="s">
        <v>1439</v>
      </c>
      <c r="F1090" s="61" t="s">
        <v>389</v>
      </c>
      <c r="G1090" s="61" t="s">
        <v>55</v>
      </c>
      <c r="H1090" s="61"/>
      <c r="I1090" s="61" t="s">
        <v>1366</v>
      </c>
      <c r="J1090" s="62">
        <v>135</v>
      </c>
      <c r="K1090" s="62">
        <v>150</v>
      </c>
      <c r="L1090" s="62">
        <v>150</v>
      </c>
      <c r="M1090" s="62">
        <v>190</v>
      </c>
      <c r="N1090" s="55" t="s">
        <v>1345</v>
      </c>
      <c r="O1090" s="61" t="s">
        <v>52</v>
      </c>
      <c r="P1090" s="66"/>
      <c r="Q1090" s="66"/>
      <c r="R1090" s="66"/>
      <c r="S1090" s="66"/>
      <c r="T1090" s="66"/>
      <c r="U1090" s="66"/>
      <c r="V1090" s="66"/>
    </row>
    <row r="1091" spans="1:22" s="64" customFormat="1" x14ac:dyDescent="0.25">
      <c r="A1091" s="61" t="s">
        <v>1433</v>
      </c>
      <c r="B1091" s="511" t="s">
        <v>1511</v>
      </c>
      <c r="C1091" s="511"/>
      <c r="D1091" s="511"/>
      <c r="E1091" s="61" t="s">
        <v>1437</v>
      </c>
      <c r="F1091" s="61" t="s">
        <v>389</v>
      </c>
      <c r="G1091" s="61" t="s">
        <v>55</v>
      </c>
      <c r="H1091" s="61"/>
      <c r="I1091" s="61" t="s">
        <v>1366</v>
      </c>
      <c r="J1091" s="62">
        <v>135</v>
      </c>
      <c r="K1091" s="62">
        <v>150</v>
      </c>
      <c r="L1091" s="62">
        <v>150</v>
      </c>
      <c r="M1091" s="62">
        <v>190</v>
      </c>
      <c r="N1091" s="55" t="s">
        <v>1345</v>
      </c>
      <c r="O1091" s="61" t="s">
        <v>52</v>
      </c>
      <c r="P1091" s="66"/>
      <c r="Q1091" s="66"/>
      <c r="R1091" s="66"/>
      <c r="S1091" s="66"/>
      <c r="T1091" s="66"/>
      <c r="U1091" s="66"/>
      <c r="V1091" s="66"/>
    </row>
    <row r="1092" spans="1:22" s="64" customFormat="1" x14ac:dyDescent="0.25">
      <c r="A1092" s="61" t="s">
        <v>1433</v>
      </c>
      <c r="B1092" s="511" t="s">
        <v>1512</v>
      </c>
      <c r="C1092" s="511"/>
      <c r="D1092" s="511"/>
      <c r="E1092" s="61" t="s">
        <v>1435</v>
      </c>
      <c r="F1092" s="61" t="s">
        <v>54</v>
      </c>
      <c r="G1092" s="61" t="s">
        <v>55</v>
      </c>
      <c r="H1092" s="61"/>
      <c r="I1092" s="61" t="s">
        <v>1366</v>
      </c>
      <c r="J1092" s="62">
        <v>225</v>
      </c>
      <c r="K1092" s="62">
        <v>250</v>
      </c>
      <c r="L1092" s="62">
        <v>250</v>
      </c>
      <c r="M1092" s="62">
        <v>320</v>
      </c>
      <c r="N1092" s="55" t="s">
        <v>1345</v>
      </c>
      <c r="O1092" s="61" t="s">
        <v>52</v>
      </c>
      <c r="P1092" s="66"/>
      <c r="Q1092" s="66"/>
      <c r="R1092" s="66"/>
      <c r="S1092" s="66"/>
      <c r="T1092" s="66"/>
      <c r="U1092" s="66"/>
      <c r="V1092" s="66"/>
    </row>
    <row r="1093" spans="1:22" s="64" customFormat="1" x14ac:dyDescent="0.25">
      <c r="A1093" s="61" t="s">
        <v>1433</v>
      </c>
      <c r="B1093" s="511" t="s">
        <v>1512</v>
      </c>
      <c r="C1093" s="511"/>
      <c r="D1093" s="511"/>
      <c r="E1093" s="61" t="s">
        <v>1435</v>
      </c>
      <c r="F1093" s="61" t="s">
        <v>389</v>
      </c>
      <c r="G1093" s="61" t="s">
        <v>55</v>
      </c>
      <c r="H1093" s="61"/>
      <c r="I1093" s="61" t="s">
        <v>1366</v>
      </c>
      <c r="J1093" s="62">
        <v>225</v>
      </c>
      <c r="K1093" s="62">
        <v>250</v>
      </c>
      <c r="L1093" s="62">
        <v>250</v>
      </c>
      <c r="M1093" s="62">
        <v>320</v>
      </c>
      <c r="N1093" s="55" t="s">
        <v>1345</v>
      </c>
      <c r="O1093" s="61" t="s">
        <v>52</v>
      </c>
      <c r="P1093" s="66"/>
      <c r="Q1093" s="66"/>
      <c r="R1093" s="66"/>
      <c r="S1093" s="66"/>
      <c r="T1093" s="66"/>
      <c r="U1093" s="66"/>
      <c r="V1093" s="66"/>
    </row>
    <row r="1094" spans="1:22" s="64" customFormat="1" x14ac:dyDescent="0.25">
      <c r="A1094" s="61" t="s">
        <v>1433</v>
      </c>
      <c r="B1094" s="511" t="s">
        <v>1513</v>
      </c>
      <c r="C1094" s="511"/>
      <c r="D1094" s="511"/>
      <c r="E1094" s="61" t="s">
        <v>1437</v>
      </c>
      <c r="F1094" s="61" t="s">
        <v>54</v>
      </c>
      <c r="G1094" s="61" t="s">
        <v>55</v>
      </c>
      <c r="H1094" s="61"/>
      <c r="I1094" s="61" t="s">
        <v>1366</v>
      </c>
      <c r="J1094" s="62">
        <v>495</v>
      </c>
      <c r="K1094" s="62">
        <v>550</v>
      </c>
      <c r="L1094" s="62">
        <v>550</v>
      </c>
      <c r="M1094" s="62">
        <v>700</v>
      </c>
      <c r="N1094" s="55" t="s">
        <v>1345</v>
      </c>
      <c r="O1094" s="61" t="s">
        <v>52</v>
      </c>
      <c r="P1094" s="66"/>
      <c r="Q1094" s="66"/>
      <c r="R1094" s="66"/>
      <c r="S1094" s="66"/>
      <c r="T1094" s="66"/>
      <c r="U1094" s="66"/>
      <c r="V1094" s="66"/>
    </row>
    <row r="1095" spans="1:22" s="64" customFormat="1" x14ac:dyDescent="0.25">
      <c r="A1095" s="61" t="s">
        <v>1433</v>
      </c>
      <c r="B1095" s="511" t="s">
        <v>1513</v>
      </c>
      <c r="C1095" s="511"/>
      <c r="D1095" s="511"/>
      <c r="E1095" s="61" t="s">
        <v>1438</v>
      </c>
      <c r="F1095" s="61" t="s">
        <v>389</v>
      </c>
      <c r="G1095" s="61" t="s">
        <v>55</v>
      </c>
      <c r="H1095" s="61"/>
      <c r="I1095" s="61" t="s">
        <v>1366</v>
      </c>
      <c r="J1095" s="62">
        <v>495</v>
      </c>
      <c r="K1095" s="62">
        <v>550</v>
      </c>
      <c r="L1095" s="62">
        <v>550</v>
      </c>
      <c r="M1095" s="62">
        <v>700</v>
      </c>
      <c r="N1095" s="55" t="s">
        <v>1345</v>
      </c>
      <c r="O1095" s="61" t="s">
        <v>52</v>
      </c>
      <c r="P1095" s="66"/>
      <c r="Q1095" s="66"/>
      <c r="R1095" s="66"/>
      <c r="S1095" s="66"/>
      <c r="T1095" s="66"/>
      <c r="U1095" s="66"/>
      <c r="V1095" s="66"/>
    </row>
    <row r="1096" spans="1:22" s="64" customFormat="1" x14ac:dyDescent="0.25">
      <c r="A1096" s="61" t="s">
        <v>1433</v>
      </c>
      <c r="B1096" s="511" t="s">
        <v>1513</v>
      </c>
      <c r="C1096" s="511"/>
      <c r="D1096" s="511"/>
      <c r="E1096" s="61" t="s">
        <v>1439</v>
      </c>
      <c r="F1096" s="61" t="s">
        <v>389</v>
      </c>
      <c r="G1096" s="61" t="s">
        <v>55</v>
      </c>
      <c r="H1096" s="61"/>
      <c r="I1096" s="61" t="s">
        <v>1366</v>
      </c>
      <c r="J1096" s="62">
        <v>495</v>
      </c>
      <c r="K1096" s="62">
        <v>550</v>
      </c>
      <c r="L1096" s="62">
        <v>550</v>
      </c>
      <c r="M1096" s="62">
        <v>700</v>
      </c>
      <c r="N1096" s="55" t="s">
        <v>1345</v>
      </c>
      <c r="O1096" s="61" t="s">
        <v>52</v>
      </c>
      <c r="P1096" s="66"/>
      <c r="Q1096" s="66"/>
      <c r="R1096" s="66"/>
      <c r="S1096" s="66"/>
      <c r="T1096" s="66"/>
      <c r="U1096" s="66"/>
      <c r="V1096" s="66"/>
    </row>
    <row r="1097" spans="1:22" s="64" customFormat="1" x14ac:dyDescent="0.25">
      <c r="A1097" s="61" t="s">
        <v>1433</v>
      </c>
      <c r="B1097" s="511" t="s">
        <v>1513</v>
      </c>
      <c r="C1097" s="511"/>
      <c r="D1097" s="511"/>
      <c r="E1097" s="61" t="s">
        <v>1437</v>
      </c>
      <c r="F1097" s="61" t="s">
        <v>389</v>
      </c>
      <c r="G1097" s="61" t="s">
        <v>55</v>
      </c>
      <c r="H1097" s="61"/>
      <c r="I1097" s="61" t="s">
        <v>1366</v>
      </c>
      <c r="J1097" s="62">
        <v>495</v>
      </c>
      <c r="K1097" s="62">
        <v>550</v>
      </c>
      <c r="L1097" s="62">
        <v>550</v>
      </c>
      <c r="M1097" s="62">
        <v>700</v>
      </c>
      <c r="N1097" s="55" t="s">
        <v>1345</v>
      </c>
      <c r="O1097" s="61" t="s">
        <v>52</v>
      </c>
      <c r="P1097" s="66"/>
      <c r="Q1097" s="66"/>
      <c r="R1097" s="66"/>
      <c r="S1097" s="66"/>
      <c r="T1097" s="66"/>
      <c r="U1097" s="66"/>
      <c r="V1097" s="66"/>
    </row>
    <row r="1098" spans="1:22" s="64" customFormat="1" x14ac:dyDescent="0.25">
      <c r="A1098" s="61" t="s">
        <v>1433</v>
      </c>
      <c r="B1098" s="511" t="s">
        <v>1513</v>
      </c>
      <c r="C1098" s="511"/>
      <c r="D1098" s="511"/>
      <c r="E1098" s="61" t="s">
        <v>1437</v>
      </c>
      <c r="F1098" s="61" t="s">
        <v>56</v>
      </c>
      <c r="G1098" s="61" t="s">
        <v>55</v>
      </c>
      <c r="H1098" s="61"/>
      <c r="I1098" s="61" t="s">
        <v>1366</v>
      </c>
      <c r="J1098" s="62">
        <v>135</v>
      </c>
      <c r="K1098" s="62">
        <v>475</v>
      </c>
      <c r="L1098" s="62">
        <v>475</v>
      </c>
      <c r="M1098" s="62">
        <v>405</v>
      </c>
      <c r="N1098" s="55" t="s">
        <v>1345</v>
      </c>
      <c r="O1098" s="61" t="s">
        <v>52</v>
      </c>
      <c r="P1098" s="66"/>
      <c r="Q1098" s="66"/>
      <c r="R1098" s="66"/>
      <c r="S1098" s="66"/>
      <c r="T1098" s="66"/>
      <c r="U1098" s="66"/>
      <c r="V1098" s="66"/>
    </row>
    <row r="1099" spans="1:22" s="64" customFormat="1" x14ac:dyDescent="0.25">
      <c r="A1099" s="61" t="s">
        <v>1433</v>
      </c>
      <c r="B1099" s="511" t="s">
        <v>1514</v>
      </c>
      <c r="C1099" s="511"/>
      <c r="D1099" s="511"/>
      <c r="E1099" s="61" t="s">
        <v>1437</v>
      </c>
      <c r="F1099" s="61" t="s">
        <v>54</v>
      </c>
      <c r="G1099" s="61" t="s">
        <v>55</v>
      </c>
      <c r="H1099" s="61"/>
      <c r="I1099" s="61" t="s">
        <v>1366</v>
      </c>
      <c r="J1099" s="62">
        <v>270</v>
      </c>
      <c r="K1099" s="62">
        <v>300</v>
      </c>
      <c r="L1099" s="62">
        <v>300</v>
      </c>
      <c r="M1099" s="62">
        <v>380</v>
      </c>
      <c r="N1099" s="55" t="s">
        <v>1345</v>
      </c>
      <c r="O1099" s="61" t="s">
        <v>52</v>
      </c>
      <c r="P1099" s="66"/>
      <c r="Q1099" s="66"/>
      <c r="R1099" s="66"/>
      <c r="S1099" s="66"/>
      <c r="T1099" s="66"/>
      <c r="U1099" s="66"/>
      <c r="V1099" s="66"/>
    </row>
    <row r="1100" spans="1:22" s="64" customFormat="1" x14ac:dyDescent="0.25">
      <c r="A1100" s="61" t="s">
        <v>1433</v>
      </c>
      <c r="B1100" s="511" t="s">
        <v>1514</v>
      </c>
      <c r="C1100" s="511"/>
      <c r="D1100" s="511"/>
      <c r="E1100" s="61" t="s">
        <v>1438</v>
      </c>
      <c r="F1100" s="61" t="s">
        <v>389</v>
      </c>
      <c r="G1100" s="61" t="s">
        <v>55</v>
      </c>
      <c r="H1100" s="61"/>
      <c r="I1100" s="61" t="s">
        <v>1366</v>
      </c>
      <c r="J1100" s="62">
        <v>270</v>
      </c>
      <c r="K1100" s="62">
        <v>300</v>
      </c>
      <c r="L1100" s="62">
        <v>300</v>
      </c>
      <c r="M1100" s="62">
        <v>380</v>
      </c>
      <c r="N1100" s="55" t="s">
        <v>1345</v>
      </c>
      <c r="O1100" s="61" t="s">
        <v>52</v>
      </c>
      <c r="P1100" s="66"/>
      <c r="Q1100" s="66"/>
      <c r="R1100" s="66"/>
      <c r="S1100" s="66"/>
      <c r="T1100" s="66"/>
      <c r="U1100" s="66"/>
      <c r="V1100" s="66"/>
    </row>
    <row r="1101" spans="1:22" s="64" customFormat="1" x14ac:dyDescent="0.25">
      <c r="A1101" s="61" t="s">
        <v>1433</v>
      </c>
      <c r="B1101" s="511" t="s">
        <v>1514</v>
      </c>
      <c r="C1101" s="511"/>
      <c r="D1101" s="511"/>
      <c r="E1101" s="61" t="s">
        <v>1439</v>
      </c>
      <c r="F1101" s="61" t="s">
        <v>389</v>
      </c>
      <c r="G1101" s="61" t="s">
        <v>55</v>
      </c>
      <c r="H1101" s="61"/>
      <c r="I1101" s="61" t="s">
        <v>1366</v>
      </c>
      <c r="J1101" s="62">
        <v>270</v>
      </c>
      <c r="K1101" s="62">
        <v>300</v>
      </c>
      <c r="L1101" s="62">
        <v>300</v>
      </c>
      <c r="M1101" s="62">
        <v>380</v>
      </c>
      <c r="N1101" s="55" t="s">
        <v>1345</v>
      </c>
      <c r="O1101" s="61" t="s">
        <v>52</v>
      </c>
      <c r="P1101" s="66"/>
      <c r="Q1101" s="66"/>
      <c r="R1101" s="66"/>
      <c r="S1101" s="66"/>
      <c r="T1101" s="66"/>
      <c r="U1101" s="66"/>
      <c r="V1101" s="66"/>
    </row>
    <row r="1102" spans="1:22" s="64" customFormat="1" x14ac:dyDescent="0.25">
      <c r="A1102" s="61" t="s">
        <v>1433</v>
      </c>
      <c r="B1102" s="511" t="s">
        <v>1514</v>
      </c>
      <c r="C1102" s="511"/>
      <c r="D1102" s="511"/>
      <c r="E1102" s="61" t="s">
        <v>1437</v>
      </c>
      <c r="F1102" s="61" t="s">
        <v>389</v>
      </c>
      <c r="G1102" s="61" t="s">
        <v>55</v>
      </c>
      <c r="H1102" s="61"/>
      <c r="I1102" s="61" t="s">
        <v>1366</v>
      </c>
      <c r="J1102" s="62">
        <v>270</v>
      </c>
      <c r="K1102" s="62">
        <v>300</v>
      </c>
      <c r="L1102" s="62">
        <v>300</v>
      </c>
      <c r="M1102" s="62">
        <v>380</v>
      </c>
      <c r="N1102" s="55" t="s">
        <v>1345</v>
      </c>
      <c r="O1102" s="61" t="s">
        <v>52</v>
      </c>
      <c r="P1102" s="66"/>
      <c r="Q1102" s="66"/>
      <c r="R1102" s="66"/>
      <c r="S1102" s="66"/>
      <c r="T1102" s="66"/>
      <c r="U1102" s="66"/>
      <c r="V1102" s="66"/>
    </row>
    <row r="1103" spans="1:22" s="64" customFormat="1" x14ac:dyDescent="0.25">
      <c r="A1103" s="61" t="s">
        <v>1433</v>
      </c>
      <c r="B1103" s="511" t="s">
        <v>1515</v>
      </c>
      <c r="C1103" s="511"/>
      <c r="D1103" s="511"/>
      <c r="E1103" s="61" t="s">
        <v>1447</v>
      </c>
      <c r="F1103" s="61" t="s">
        <v>54</v>
      </c>
      <c r="G1103" s="61" t="s">
        <v>55</v>
      </c>
      <c r="H1103" s="61"/>
      <c r="I1103" s="61" t="s">
        <v>1366</v>
      </c>
      <c r="J1103" s="62">
        <v>135</v>
      </c>
      <c r="K1103" s="62">
        <v>150</v>
      </c>
      <c r="L1103" s="62">
        <v>150</v>
      </c>
      <c r="M1103" s="62">
        <v>190</v>
      </c>
      <c r="N1103" s="55" t="s">
        <v>1345</v>
      </c>
      <c r="O1103" s="61" t="s">
        <v>52</v>
      </c>
      <c r="P1103" s="66"/>
      <c r="Q1103" s="66"/>
      <c r="R1103" s="66"/>
      <c r="S1103" s="66"/>
      <c r="T1103" s="66"/>
      <c r="U1103" s="66"/>
      <c r="V1103" s="66"/>
    </row>
    <row r="1104" spans="1:22" s="64" customFormat="1" x14ac:dyDescent="0.25">
      <c r="A1104" s="61" t="s">
        <v>1433</v>
      </c>
      <c r="B1104" s="511" t="s">
        <v>1515</v>
      </c>
      <c r="C1104" s="511"/>
      <c r="D1104" s="511"/>
      <c r="E1104" s="61" t="s">
        <v>1447</v>
      </c>
      <c r="F1104" s="61" t="s">
        <v>389</v>
      </c>
      <c r="G1104" s="61" t="s">
        <v>55</v>
      </c>
      <c r="H1104" s="61"/>
      <c r="I1104" s="61" t="s">
        <v>1366</v>
      </c>
      <c r="J1104" s="62">
        <v>135</v>
      </c>
      <c r="K1104" s="62">
        <v>150</v>
      </c>
      <c r="L1104" s="62">
        <v>150</v>
      </c>
      <c r="M1104" s="62">
        <v>190</v>
      </c>
      <c r="N1104" s="55" t="s">
        <v>1345</v>
      </c>
      <c r="O1104" s="61" t="s">
        <v>52</v>
      </c>
      <c r="P1104" s="66"/>
      <c r="Q1104" s="66"/>
      <c r="R1104" s="66"/>
      <c r="S1104" s="66"/>
      <c r="T1104" s="66"/>
      <c r="U1104" s="66"/>
      <c r="V1104" s="66"/>
    </row>
    <row r="1105" spans="1:22" s="64" customFormat="1" x14ac:dyDescent="0.25">
      <c r="A1105" s="61" t="s">
        <v>1433</v>
      </c>
      <c r="B1105" s="511" t="s">
        <v>1516</v>
      </c>
      <c r="C1105" s="511"/>
      <c r="D1105" s="511"/>
      <c r="E1105" s="61" t="s">
        <v>1468</v>
      </c>
      <c r="F1105" s="61" t="s">
        <v>56</v>
      </c>
      <c r="G1105" s="61" t="s">
        <v>55</v>
      </c>
      <c r="H1105" s="61"/>
      <c r="I1105" s="61" t="s">
        <v>1366</v>
      </c>
      <c r="J1105" s="62">
        <v>975</v>
      </c>
      <c r="K1105" s="62">
        <v>1090</v>
      </c>
      <c r="L1105" s="62">
        <v>1090</v>
      </c>
      <c r="M1105" s="62"/>
      <c r="N1105" s="55" t="s">
        <v>1345</v>
      </c>
      <c r="O1105" s="61" t="s">
        <v>52</v>
      </c>
      <c r="P1105" s="66"/>
      <c r="Q1105" s="66"/>
      <c r="R1105" s="66"/>
      <c r="S1105" s="66"/>
      <c r="T1105" s="66"/>
      <c r="U1105" s="66"/>
      <c r="V1105" s="66"/>
    </row>
    <row r="1106" spans="1:22" s="64" customFormat="1" x14ac:dyDescent="0.25">
      <c r="A1106" s="61" t="s">
        <v>1433</v>
      </c>
      <c r="B1106" s="511" t="s">
        <v>1517</v>
      </c>
      <c r="C1106" s="511"/>
      <c r="D1106" s="511"/>
      <c r="E1106" s="61" t="s">
        <v>1435</v>
      </c>
      <c r="F1106" s="61" t="s">
        <v>54</v>
      </c>
      <c r="G1106" s="61" t="s">
        <v>55</v>
      </c>
      <c r="H1106" s="61"/>
      <c r="I1106" s="61" t="s">
        <v>1366</v>
      </c>
      <c r="J1106" s="62">
        <v>225</v>
      </c>
      <c r="K1106" s="62">
        <v>250</v>
      </c>
      <c r="L1106" s="62">
        <v>250</v>
      </c>
      <c r="M1106" s="62">
        <v>320</v>
      </c>
      <c r="N1106" s="55" t="s">
        <v>1345</v>
      </c>
      <c r="O1106" s="61" t="s">
        <v>52</v>
      </c>
      <c r="P1106" s="66"/>
      <c r="Q1106" s="66"/>
      <c r="R1106" s="66"/>
      <c r="S1106" s="66"/>
      <c r="T1106" s="66"/>
      <c r="U1106" s="66"/>
      <c r="V1106" s="66"/>
    </row>
    <row r="1107" spans="1:22" s="64" customFormat="1" x14ac:dyDescent="0.25">
      <c r="A1107" s="61" t="s">
        <v>1433</v>
      </c>
      <c r="B1107" s="511" t="s">
        <v>1517</v>
      </c>
      <c r="C1107" s="511"/>
      <c r="D1107" s="511"/>
      <c r="E1107" s="61" t="s">
        <v>1435</v>
      </c>
      <c r="F1107" s="61" t="s">
        <v>389</v>
      </c>
      <c r="G1107" s="61" t="s">
        <v>55</v>
      </c>
      <c r="H1107" s="61"/>
      <c r="I1107" s="61" t="s">
        <v>1366</v>
      </c>
      <c r="J1107" s="62">
        <v>225</v>
      </c>
      <c r="K1107" s="62">
        <v>250</v>
      </c>
      <c r="L1107" s="62">
        <v>250</v>
      </c>
      <c r="M1107" s="62">
        <v>320</v>
      </c>
      <c r="N1107" s="55" t="s">
        <v>1345</v>
      </c>
      <c r="O1107" s="61" t="s">
        <v>52</v>
      </c>
      <c r="P1107" s="66"/>
      <c r="Q1107" s="66"/>
      <c r="R1107" s="66"/>
      <c r="S1107" s="66"/>
      <c r="T1107" s="66"/>
      <c r="U1107" s="66"/>
      <c r="V1107" s="66"/>
    </row>
    <row r="1108" spans="1:22" s="64" customFormat="1" x14ac:dyDescent="0.25">
      <c r="A1108" s="61" t="s">
        <v>1433</v>
      </c>
      <c r="B1108" s="511" t="s">
        <v>1518</v>
      </c>
      <c r="C1108" s="511"/>
      <c r="D1108" s="511"/>
      <c r="E1108" s="61" t="s">
        <v>1437</v>
      </c>
      <c r="F1108" s="61" t="s">
        <v>54</v>
      </c>
      <c r="G1108" s="61" t="s">
        <v>55</v>
      </c>
      <c r="H1108" s="61"/>
      <c r="I1108" s="61" t="s">
        <v>1366</v>
      </c>
      <c r="J1108" s="62">
        <v>355</v>
      </c>
      <c r="K1108" s="62">
        <v>390</v>
      </c>
      <c r="L1108" s="62">
        <v>390</v>
      </c>
      <c r="M1108" s="62">
        <v>495</v>
      </c>
      <c r="N1108" s="55" t="s">
        <v>1345</v>
      </c>
      <c r="O1108" s="61" t="s">
        <v>52</v>
      </c>
      <c r="P1108" s="66"/>
      <c r="Q1108" s="66"/>
      <c r="R1108" s="66"/>
      <c r="S1108" s="66"/>
      <c r="T1108" s="66"/>
      <c r="U1108" s="66"/>
      <c r="V1108" s="66"/>
    </row>
    <row r="1109" spans="1:22" s="64" customFormat="1" x14ac:dyDescent="0.25">
      <c r="A1109" s="61" t="s">
        <v>1433</v>
      </c>
      <c r="B1109" s="511" t="s">
        <v>1518</v>
      </c>
      <c r="C1109" s="511"/>
      <c r="D1109" s="511"/>
      <c r="E1109" s="61" t="s">
        <v>1438</v>
      </c>
      <c r="F1109" s="61" t="s">
        <v>389</v>
      </c>
      <c r="G1109" s="61" t="s">
        <v>55</v>
      </c>
      <c r="H1109" s="61"/>
      <c r="I1109" s="61" t="s">
        <v>1366</v>
      </c>
      <c r="J1109" s="62">
        <v>355</v>
      </c>
      <c r="K1109" s="62">
        <v>390</v>
      </c>
      <c r="L1109" s="62">
        <v>390</v>
      </c>
      <c r="M1109" s="62">
        <v>495</v>
      </c>
      <c r="N1109" s="55" t="s">
        <v>1345</v>
      </c>
      <c r="O1109" s="61" t="s">
        <v>52</v>
      </c>
      <c r="P1109" s="66"/>
      <c r="Q1109" s="66"/>
      <c r="R1109" s="66"/>
      <c r="S1109" s="66"/>
      <c r="T1109" s="66"/>
      <c r="U1109" s="66"/>
      <c r="V1109" s="66"/>
    </row>
    <row r="1110" spans="1:22" s="64" customFormat="1" x14ac:dyDescent="0.25">
      <c r="A1110" s="61" t="s">
        <v>1433</v>
      </c>
      <c r="B1110" s="511" t="s">
        <v>1518</v>
      </c>
      <c r="C1110" s="511"/>
      <c r="D1110" s="511"/>
      <c r="E1110" s="61" t="s">
        <v>1439</v>
      </c>
      <c r="F1110" s="61" t="s">
        <v>389</v>
      </c>
      <c r="G1110" s="61" t="s">
        <v>55</v>
      </c>
      <c r="H1110" s="61"/>
      <c r="I1110" s="61" t="s">
        <v>1366</v>
      </c>
      <c r="J1110" s="62">
        <v>355</v>
      </c>
      <c r="K1110" s="62">
        <v>390</v>
      </c>
      <c r="L1110" s="62">
        <v>390</v>
      </c>
      <c r="M1110" s="62">
        <v>495</v>
      </c>
      <c r="N1110" s="55" t="s">
        <v>1345</v>
      </c>
      <c r="O1110" s="61" t="s">
        <v>52</v>
      </c>
      <c r="P1110" s="66"/>
      <c r="Q1110" s="66"/>
      <c r="R1110" s="66"/>
      <c r="S1110" s="66"/>
      <c r="T1110" s="66"/>
      <c r="U1110" s="66"/>
      <c r="V1110" s="66"/>
    </row>
    <row r="1111" spans="1:22" s="64" customFormat="1" x14ac:dyDescent="0.25">
      <c r="A1111" s="61" t="s">
        <v>1433</v>
      </c>
      <c r="B1111" s="511" t="s">
        <v>1518</v>
      </c>
      <c r="C1111" s="511"/>
      <c r="D1111" s="511"/>
      <c r="E1111" s="61" t="s">
        <v>1437</v>
      </c>
      <c r="F1111" s="61" t="s">
        <v>389</v>
      </c>
      <c r="G1111" s="61" t="s">
        <v>55</v>
      </c>
      <c r="H1111" s="61"/>
      <c r="I1111" s="61" t="s">
        <v>1366</v>
      </c>
      <c r="J1111" s="62">
        <v>355</v>
      </c>
      <c r="K1111" s="62">
        <v>390</v>
      </c>
      <c r="L1111" s="62">
        <v>390</v>
      </c>
      <c r="M1111" s="62">
        <v>495</v>
      </c>
      <c r="N1111" s="55" t="s">
        <v>1345</v>
      </c>
      <c r="O1111" s="61" t="s">
        <v>52</v>
      </c>
      <c r="P1111" s="66"/>
      <c r="Q1111" s="66"/>
      <c r="R1111" s="66"/>
      <c r="S1111" s="66"/>
      <c r="T1111" s="66"/>
      <c r="U1111" s="66"/>
      <c r="V1111" s="66"/>
    </row>
    <row r="1112" spans="1:22" s="64" customFormat="1" x14ac:dyDescent="0.25">
      <c r="A1112" s="61" t="s">
        <v>1433</v>
      </c>
      <c r="B1112" s="511" t="s">
        <v>1519</v>
      </c>
      <c r="C1112" s="511"/>
      <c r="D1112" s="511"/>
      <c r="E1112" s="61" t="s">
        <v>1437</v>
      </c>
      <c r="F1112" s="61" t="s">
        <v>54</v>
      </c>
      <c r="G1112" s="61" t="s">
        <v>55</v>
      </c>
      <c r="H1112" s="61"/>
      <c r="I1112" s="61" t="s">
        <v>1366</v>
      </c>
      <c r="J1112" s="62">
        <v>200</v>
      </c>
      <c r="K1112" s="62">
        <v>220</v>
      </c>
      <c r="L1112" s="62">
        <v>220</v>
      </c>
      <c r="M1112" s="62">
        <v>280</v>
      </c>
      <c r="N1112" s="55" t="s">
        <v>1345</v>
      </c>
      <c r="O1112" s="61" t="s">
        <v>52</v>
      </c>
      <c r="P1112" s="66"/>
      <c r="Q1112" s="66"/>
      <c r="R1112" s="66"/>
      <c r="S1112" s="66"/>
      <c r="T1112" s="66"/>
      <c r="U1112" s="66"/>
      <c r="V1112" s="66"/>
    </row>
    <row r="1113" spans="1:22" s="64" customFormat="1" x14ac:dyDescent="0.25">
      <c r="A1113" s="61" t="s">
        <v>1433</v>
      </c>
      <c r="B1113" s="511" t="s">
        <v>1519</v>
      </c>
      <c r="C1113" s="511"/>
      <c r="D1113" s="511"/>
      <c r="E1113" s="61" t="s">
        <v>1438</v>
      </c>
      <c r="F1113" s="61" t="s">
        <v>389</v>
      </c>
      <c r="G1113" s="61" t="s">
        <v>55</v>
      </c>
      <c r="H1113" s="61"/>
      <c r="I1113" s="61" t="s">
        <v>1366</v>
      </c>
      <c r="J1113" s="62">
        <v>200</v>
      </c>
      <c r="K1113" s="62">
        <v>220</v>
      </c>
      <c r="L1113" s="62">
        <v>220</v>
      </c>
      <c r="M1113" s="62">
        <v>280</v>
      </c>
      <c r="N1113" s="55" t="s">
        <v>1345</v>
      </c>
      <c r="O1113" s="61" t="s">
        <v>52</v>
      </c>
      <c r="P1113" s="66"/>
      <c r="Q1113" s="66"/>
      <c r="R1113" s="66"/>
      <c r="S1113" s="66"/>
      <c r="T1113" s="66"/>
      <c r="U1113" s="66"/>
      <c r="V1113" s="66"/>
    </row>
    <row r="1114" spans="1:22" s="64" customFormat="1" x14ac:dyDescent="0.25">
      <c r="A1114" s="61" t="s">
        <v>1433</v>
      </c>
      <c r="B1114" s="511" t="s">
        <v>1519</v>
      </c>
      <c r="C1114" s="511"/>
      <c r="D1114" s="511"/>
      <c r="E1114" s="61" t="s">
        <v>1439</v>
      </c>
      <c r="F1114" s="61" t="s">
        <v>389</v>
      </c>
      <c r="G1114" s="61" t="s">
        <v>55</v>
      </c>
      <c r="H1114" s="61"/>
      <c r="I1114" s="61" t="s">
        <v>1366</v>
      </c>
      <c r="J1114" s="62">
        <v>200</v>
      </c>
      <c r="K1114" s="62">
        <v>220</v>
      </c>
      <c r="L1114" s="62">
        <v>220</v>
      </c>
      <c r="M1114" s="62">
        <v>280</v>
      </c>
      <c r="N1114" s="55" t="s">
        <v>1345</v>
      </c>
      <c r="O1114" s="61" t="s">
        <v>52</v>
      </c>
      <c r="P1114" s="66"/>
      <c r="Q1114" s="66"/>
      <c r="R1114" s="66"/>
      <c r="S1114" s="66"/>
      <c r="T1114" s="66"/>
      <c r="U1114" s="66"/>
      <c r="V1114" s="66"/>
    </row>
    <row r="1115" spans="1:22" s="64" customFormat="1" x14ac:dyDescent="0.25">
      <c r="A1115" s="61" t="s">
        <v>1433</v>
      </c>
      <c r="B1115" s="511" t="s">
        <v>1519</v>
      </c>
      <c r="C1115" s="511"/>
      <c r="D1115" s="511"/>
      <c r="E1115" s="61" t="s">
        <v>1437</v>
      </c>
      <c r="F1115" s="61" t="s">
        <v>389</v>
      </c>
      <c r="G1115" s="61" t="s">
        <v>55</v>
      </c>
      <c r="H1115" s="61"/>
      <c r="I1115" s="61" t="s">
        <v>1366</v>
      </c>
      <c r="J1115" s="62">
        <v>200</v>
      </c>
      <c r="K1115" s="62">
        <v>220</v>
      </c>
      <c r="L1115" s="62">
        <v>220</v>
      </c>
      <c r="M1115" s="62">
        <v>280</v>
      </c>
      <c r="N1115" s="55" t="s">
        <v>1345</v>
      </c>
      <c r="O1115" s="61" t="s">
        <v>52</v>
      </c>
      <c r="P1115" s="66"/>
      <c r="Q1115" s="66"/>
      <c r="R1115" s="66"/>
      <c r="S1115" s="66"/>
      <c r="T1115" s="66"/>
      <c r="U1115" s="66"/>
      <c r="V1115" s="66"/>
    </row>
    <row r="1116" spans="1:22" s="64" customFormat="1" x14ac:dyDescent="0.25">
      <c r="A1116" s="61" t="s">
        <v>1433</v>
      </c>
      <c r="B1116" s="511" t="s">
        <v>1520</v>
      </c>
      <c r="C1116" s="511"/>
      <c r="D1116" s="511"/>
      <c r="E1116" s="61" t="s">
        <v>1447</v>
      </c>
      <c r="F1116" s="61" t="s">
        <v>56</v>
      </c>
      <c r="G1116" s="61" t="s">
        <v>55</v>
      </c>
      <c r="H1116" s="61"/>
      <c r="I1116" s="61" t="s">
        <v>1366</v>
      </c>
      <c r="J1116" s="62">
        <v>620</v>
      </c>
      <c r="K1116" s="62">
        <v>740</v>
      </c>
      <c r="L1116" s="62">
        <v>740</v>
      </c>
      <c r="M1116" s="62"/>
      <c r="N1116" s="55" t="s">
        <v>1345</v>
      </c>
      <c r="O1116" s="61" t="s">
        <v>52</v>
      </c>
      <c r="P1116" s="66"/>
      <c r="Q1116" s="66"/>
      <c r="R1116" s="66"/>
      <c r="S1116" s="66"/>
      <c r="T1116" s="66"/>
      <c r="U1116" s="66"/>
      <c r="V1116" s="66"/>
    </row>
    <row r="1117" spans="1:22" s="64" customFormat="1" x14ac:dyDescent="0.25">
      <c r="A1117" s="61" t="s">
        <v>1433</v>
      </c>
      <c r="B1117" s="511" t="s">
        <v>1521</v>
      </c>
      <c r="C1117" s="511"/>
      <c r="D1117" s="511"/>
      <c r="E1117" s="61" t="s">
        <v>1439</v>
      </c>
      <c r="F1117" s="61" t="s">
        <v>56</v>
      </c>
      <c r="G1117" s="61" t="s">
        <v>55</v>
      </c>
      <c r="H1117" s="61"/>
      <c r="I1117" s="61" t="s">
        <v>1366</v>
      </c>
      <c r="J1117" s="62">
        <v>425</v>
      </c>
      <c r="K1117" s="62">
        <v>490</v>
      </c>
      <c r="L1117" s="62">
        <v>490</v>
      </c>
      <c r="M1117" s="62"/>
      <c r="N1117" s="55" t="s">
        <v>1345</v>
      </c>
      <c r="O1117" s="61" t="s">
        <v>52</v>
      </c>
      <c r="P1117" s="66"/>
      <c r="Q1117" s="66"/>
      <c r="R1117" s="66"/>
      <c r="S1117" s="66"/>
      <c r="T1117" s="66"/>
      <c r="U1117" s="66"/>
      <c r="V1117" s="66"/>
    </row>
    <row r="1118" spans="1:22" s="64" customFormat="1" x14ac:dyDescent="0.25">
      <c r="A1118" s="61" t="s">
        <v>1433</v>
      </c>
      <c r="B1118" s="511" t="s">
        <v>1521</v>
      </c>
      <c r="C1118" s="511"/>
      <c r="D1118" s="511"/>
      <c r="E1118" s="61" t="s">
        <v>1437</v>
      </c>
      <c r="F1118" s="61" t="s">
        <v>56</v>
      </c>
      <c r="G1118" s="61" t="s">
        <v>55</v>
      </c>
      <c r="H1118" s="61"/>
      <c r="I1118" s="61" t="s">
        <v>1366</v>
      </c>
      <c r="J1118" s="62">
        <v>400</v>
      </c>
      <c r="K1118" s="62">
        <v>475</v>
      </c>
      <c r="L1118" s="62">
        <v>475</v>
      </c>
      <c r="M1118" s="62"/>
      <c r="N1118" s="55" t="s">
        <v>1345</v>
      </c>
      <c r="O1118" s="61" t="s">
        <v>52</v>
      </c>
      <c r="P1118" s="66"/>
      <c r="Q1118" s="66"/>
      <c r="R1118" s="66"/>
      <c r="S1118" s="66"/>
      <c r="T1118" s="66"/>
      <c r="U1118" s="66"/>
      <c r="V1118" s="66"/>
    </row>
    <row r="1119" spans="1:22" s="64" customFormat="1" x14ac:dyDescent="0.25">
      <c r="A1119" s="61" t="s">
        <v>1522</v>
      </c>
      <c r="B1119" s="511" t="s">
        <v>1523</v>
      </c>
      <c r="C1119" s="511"/>
      <c r="D1119" s="511"/>
      <c r="E1119" s="61" t="s">
        <v>1430</v>
      </c>
      <c r="F1119" s="61" t="s">
        <v>54</v>
      </c>
      <c r="G1119" s="61" t="s">
        <v>55</v>
      </c>
      <c r="H1119" s="61"/>
      <c r="I1119" s="61" t="s">
        <v>1366</v>
      </c>
      <c r="J1119" s="62">
        <v>1350</v>
      </c>
      <c r="K1119" s="62">
        <v>1500</v>
      </c>
      <c r="L1119" s="62">
        <v>1500</v>
      </c>
      <c r="M1119" s="62">
        <v>1900</v>
      </c>
      <c r="N1119" s="55" t="s">
        <v>1345</v>
      </c>
      <c r="O1119" s="61" t="s">
        <v>52</v>
      </c>
      <c r="P1119" s="66"/>
      <c r="Q1119" s="66"/>
      <c r="R1119" s="66"/>
      <c r="S1119" s="66"/>
      <c r="T1119" s="66"/>
      <c r="U1119" s="66"/>
      <c r="V1119" s="66"/>
    </row>
    <row r="1120" spans="1:22" s="64" customFormat="1" x14ac:dyDescent="0.25">
      <c r="A1120" s="61" t="s">
        <v>1522</v>
      </c>
      <c r="B1120" s="511" t="s">
        <v>1524</v>
      </c>
      <c r="C1120" s="511"/>
      <c r="D1120" s="511"/>
      <c r="E1120" s="61" t="s">
        <v>1430</v>
      </c>
      <c r="F1120" s="61" t="s">
        <v>54</v>
      </c>
      <c r="G1120" s="61" t="s">
        <v>55</v>
      </c>
      <c r="H1120" s="61"/>
      <c r="I1120" s="61" t="s">
        <v>1366</v>
      </c>
      <c r="J1120" s="62">
        <v>1170</v>
      </c>
      <c r="K1120" s="62">
        <v>1300</v>
      </c>
      <c r="L1120" s="62">
        <v>1300</v>
      </c>
      <c r="M1120" s="62">
        <v>1650</v>
      </c>
      <c r="N1120" s="55" t="s">
        <v>1345</v>
      </c>
      <c r="O1120" s="61" t="s">
        <v>52</v>
      </c>
      <c r="P1120" s="66"/>
      <c r="Q1120" s="66"/>
      <c r="R1120" s="66"/>
      <c r="S1120" s="66"/>
      <c r="T1120" s="66"/>
      <c r="U1120" s="66"/>
      <c r="V1120" s="66"/>
    </row>
    <row r="1121" spans="1:22" s="64" customFormat="1" x14ac:dyDescent="0.25">
      <c r="A1121" s="61" t="s">
        <v>1522</v>
      </c>
      <c r="B1121" s="511" t="s">
        <v>1525</v>
      </c>
      <c r="C1121" s="511"/>
      <c r="D1121" s="511"/>
      <c r="E1121" s="61" t="s">
        <v>1430</v>
      </c>
      <c r="F1121" s="61" t="s">
        <v>54</v>
      </c>
      <c r="G1121" s="61" t="s">
        <v>55</v>
      </c>
      <c r="H1121" s="61"/>
      <c r="I1121" s="61" t="s">
        <v>1366</v>
      </c>
      <c r="J1121" s="62">
        <v>540</v>
      </c>
      <c r="K1121" s="62">
        <v>600</v>
      </c>
      <c r="L1121" s="62">
        <v>600</v>
      </c>
      <c r="M1121" s="62">
        <v>760</v>
      </c>
      <c r="N1121" s="55" t="s">
        <v>1345</v>
      </c>
      <c r="O1121" s="61" t="s">
        <v>52</v>
      </c>
      <c r="P1121" s="66"/>
      <c r="Q1121" s="66"/>
      <c r="R1121" s="66"/>
      <c r="S1121" s="66"/>
      <c r="T1121" s="66"/>
      <c r="U1121" s="66"/>
      <c r="V1121" s="66"/>
    </row>
    <row r="1122" spans="1:22" s="64" customFormat="1" x14ac:dyDescent="0.25">
      <c r="A1122" s="61" t="s">
        <v>1522</v>
      </c>
      <c r="B1122" s="511" t="s">
        <v>1526</v>
      </c>
      <c r="C1122" s="511"/>
      <c r="D1122" s="511"/>
      <c r="E1122" s="61" t="s">
        <v>1430</v>
      </c>
      <c r="F1122" s="61" t="s">
        <v>54</v>
      </c>
      <c r="G1122" s="61" t="s">
        <v>55</v>
      </c>
      <c r="H1122" s="61"/>
      <c r="I1122" s="61" t="s">
        <v>1366</v>
      </c>
      <c r="J1122" s="62">
        <v>540</v>
      </c>
      <c r="K1122" s="62">
        <v>600</v>
      </c>
      <c r="L1122" s="62">
        <v>600</v>
      </c>
      <c r="M1122" s="62">
        <v>760</v>
      </c>
      <c r="N1122" s="55" t="s">
        <v>1345</v>
      </c>
      <c r="O1122" s="61" t="s">
        <v>52</v>
      </c>
      <c r="P1122" s="66"/>
      <c r="Q1122" s="66"/>
      <c r="R1122" s="66"/>
      <c r="S1122" s="66"/>
      <c r="T1122" s="66"/>
      <c r="U1122" s="66"/>
      <c r="V1122" s="66"/>
    </row>
    <row r="1123" spans="1:22" s="64" customFormat="1" x14ac:dyDescent="0.25">
      <c r="A1123" s="61" t="s">
        <v>1522</v>
      </c>
      <c r="B1123" s="511" t="s">
        <v>1527</v>
      </c>
      <c r="C1123" s="511"/>
      <c r="D1123" s="511"/>
      <c r="E1123" s="61" t="s">
        <v>1430</v>
      </c>
      <c r="F1123" s="61" t="s">
        <v>54</v>
      </c>
      <c r="G1123" s="61" t="s">
        <v>55</v>
      </c>
      <c r="H1123" s="61"/>
      <c r="I1123" s="61" t="s">
        <v>1366</v>
      </c>
      <c r="J1123" s="62">
        <v>1575</v>
      </c>
      <c r="K1123" s="62">
        <v>1750</v>
      </c>
      <c r="L1123" s="62">
        <v>1750</v>
      </c>
      <c r="M1123" s="62">
        <v>2220</v>
      </c>
      <c r="N1123" s="55" t="s">
        <v>1345</v>
      </c>
      <c r="O1123" s="61" t="s">
        <v>52</v>
      </c>
      <c r="P1123" s="66"/>
      <c r="Q1123" s="66"/>
      <c r="R1123" s="66"/>
      <c r="S1123" s="66"/>
      <c r="T1123" s="66"/>
      <c r="U1123" s="66"/>
      <c r="V1123" s="66"/>
    </row>
    <row r="1124" spans="1:22" s="64" customFormat="1" x14ac:dyDescent="0.25">
      <c r="A1124" s="61" t="s">
        <v>1522</v>
      </c>
      <c r="B1124" s="511" t="s">
        <v>1529</v>
      </c>
      <c r="C1124" s="511"/>
      <c r="D1124" s="511"/>
      <c r="E1124" s="61" t="s">
        <v>1430</v>
      </c>
      <c r="F1124" s="61" t="s">
        <v>54</v>
      </c>
      <c r="G1124" s="61" t="s">
        <v>55</v>
      </c>
      <c r="H1124" s="61"/>
      <c r="I1124" s="61" t="s">
        <v>1366</v>
      </c>
      <c r="J1124" s="62">
        <v>0</v>
      </c>
      <c r="K1124" s="62">
        <v>0</v>
      </c>
      <c r="L1124" s="62">
        <v>0</v>
      </c>
      <c r="M1124" s="62">
        <v>0</v>
      </c>
      <c r="N1124" s="55" t="s">
        <v>1345</v>
      </c>
      <c r="O1124" s="61" t="s">
        <v>52</v>
      </c>
      <c r="P1124" s="66"/>
      <c r="Q1124" s="66"/>
      <c r="R1124" s="66"/>
      <c r="S1124" s="66"/>
      <c r="T1124" s="66"/>
      <c r="U1124" s="66"/>
      <c r="V1124" s="66"/>
    </row>
    <row r="1125" spans="1:22" s="64" customFormat="1" x14ac:dyDescent="0.25">
      <c r="A1125" s="61" t="s">
        <v>1522</v>
      </c>
      <c r="B1125" s="511" t="s">
        <v>1530</v>
      </c>
      <c r="C1125" s="511"/>
      <c r="D1125" s="511"/>
      <c r="E1125" s="61" t="s">
        <v>1430</v>
      </c>
      <c r="F1125" s="61" t="s">
        <v>54</v>
      </c>
      <c r="G1125" s="61" t="s">
        <v>55</v>
      </c>
      <c r="H1125" s="61"/>
      <c r="I1125" s="61" t="s">
        <v>1366</v>
      </c>
      <c r="J1125" s="62">
        <v>540</v>
      </c>
      <c r="K1125" s="62">
        <v>600</v>
      </c>
      <c r="L1125" s="62">
        <v>600</v>
      </c>
      <c r="M1125" s="62">
        <v>760</v>
      </c>
      <c r="N1125" s="55" t="s">
        <v>1345</v>
      </c>
      <c r="O1125" s="61" t="s">
        <v>52</v>
      </c>
      <c r="P1125" s="66"/>
      <c r="Q1125" s="66"/>
      <c r="R1125" s="66"/>
      <c r="S1125" s="66"/>
      <c r="T1125" s="66"/>
      <c r="U1125" s="66"/>
      <c r="V1125" s="66"/>
    </row>
    <row r="1126" spans="1:22" s="64" customFormat="1" x14ac:dyDescent="0.25">
      <c r="A1126" s="61" t="s">
        <v>1522</v>
      </c>
      <c r="B1126" s="511" t="s">
        <v>1531</v>
      </c>
      <c r="C1126" s="511"/>
      <c r="D1126" s="511"/>
      <c r="E1126" s="61" t="s">
        <v>1430</v>
      </c>
      <c r="F1126" s="61" t="s">
        <v>54</v>
      </c>
      <c r="G1126" s="61" t="s">
        <v>55</v>
      </c>
      <c r="H1126" s="61"/>
      <c r="I1126" s="61" t="s">
        <v>1366</v>
      </c>
      <c r="J1126" s="62">
        <v>1440</v>
      </c>
      <c r="K1126" s="62">
        <v>1600</v>
      </c>
      <c r="L1126" s="62">
        <v>1600</v>
      </c>
      <c r="M1126" s="62">
        <v>2030</v>
      </c>
      <c r="N1126" s="55" t="s">
        <v>1345</v>
      </c>
      <c r="O1126" s="61" t="s">
        <v>52</v>
      </c>
      <c r="P1126" s="66"/>
      <c r="Q1126" s="66"/>
      <c r="R1126" s="66"/>
      <c r="S1126" s="66"/>
      <c r="T1126" s="66"/>
      <c r="U1126" s="66"/>
      <c r="V1126" s="66"/>
    </row>
    <row r="1127" spans="1:22" s="64" customFormat="1" x14ac:dyDescent="0.25">
      <c r="A1127" s="61" t="s">
        <v>1522</v>
      </c>
      <c r="B1127" s="511" t="s">
        <v>1532</v>
      </c>
      <c r="C1127" s="511"/>
      <c r="D1127" s="511"/>
      <c r="E1127" s="61" t="s">
        <v>1430</v>
      </c>
      <c r="F1127" s="61" t="s">
        <v>54</v>
      </c>
      <c r="G1127" s="61" t="s">
        <v>55</v>
      </c>
      <c r="H1127" s="61"/>
      <c r="I1127" s="61" t="s">
        <v>1366</v>
      </c>
      <c r="J1127" s="62">
        <v>540</v>
      </c>
      <c r="K1127" s="62">
        <v>600</v>
      </c>
      <c r="L1127" s="62">
        <v>600</v>
      </c>
      <c r="M1127" s="62">
        <v>760</v>
      </c>
      <c r="N1127" s="55" t="s">
        <v>1345</v>
      </c>
      <c r="O1127" s="61" t="s">
        <v>52</v>
      </c>
      <c r="P1127" s="66"/>
      <c r="Q1127" s="66"/>
      <c r="R1127" s="66"/>
      <c r="S1127" s="66"/>
      <c r="T1127" s="66"/>
      <c r="U1127" s="66"/>
      <c r="V1127" s="66"/>
    </row>
    <row r="1128" spans="1:22" s="64" customFormat="1" x14ac:dyDescent="0.25">
      <c r="A1128" s="61" t="s">
        <v>1522</v>
      </c>
      <c r="B1128" s="511" t="s">
        <v>1533</v>
      </c>
      <c r="C1128" s="511"/>
      <c r="D1128" s="511"/>
      <c r="E1128" s="61" t="s">
        <v>1430</v>
      </c>
      <c r="F1128" s="61" t="s">
        <v>54</v>
      </c>
      <c r="G1128" s="61" t="s">
        <v>55</v>
      </c>
      <c r="H1128" s="61"/>
      <c r="I1128" s="61" t="s">
        <v>1366</v>
      </c>
      <c r="J1128" s="62">
        <v>720</v>
      </c>
      <c r="K1128" s="62">
        <v>800</v>
      </c>
      <c r="L1128" s="62">
        <v>800</v>
      </c>
      <c r="M1128" s="62">
        <v>1020</v>
      </c>
      <c r="N1128" s="55" t="s">
        <v>1345</v>
      </c>
      <c r="O1128" s="61" t="s">
        <v>52</v>
      </c>
      <c r="P1128" s="66"/>
      <c r="Q1128" s="66"/>
      <c r="R1128" s="66"/>
      <c r="S1128" s="66"/>
      <c r="T1128" s="66"/>
      <c r="U1128" s="66"/>
      <c r="V1128" s="66"/>
    </row>
    <row r="1129" spans="1:22" s="64" customFormat="1" x14ac:dyDescent="0.25">
      <c r="A1129" s="61" t="s">
        <v>1522</v>
      </c>
      <c r="B1129" s="511" t="s">
        <v>1534</v>
      </c>
      <c r="C1129" s="511"/>
      <c r="D1129" s="511"/>
      <c r="E1129" s="61" t="s">
        <v>1430</v>
      </c>
      <c r="F1129" s="61" t="s">
        <v>54</v>
      </c>
      <c r="G1129" s="61" t="s">
        <v>55</v>
      </c>
      <c r="H1129" s="61"/>
      <c r="I1129" s="61" t="s">
        <v>1366</v>
      </c>
      <c r="J1129" s="62">
        <v>450</v>
      </c>
      <c r="K1129" s="62">
        <v>500</v>
      </c>
      <c r="L1129" s="62">
        <v>500</v>
      </c>
      <c r="M1129" s="62">
        <v>635</v>
      </c>
      <c r="N1129" s="55" t="s">
        <v>1345</v>
      </c>
      <c r="O1129" s="61" t="s">
        <v>52</v>
      </c>
      <c r="P1129" s="66"/>
      <c r="Q1129" s="66"/>
      <c r="R1129" s="66"/>
      <c r="S1129" s="66"/>
      <c r="T1129" s="66"/>
      <c r="U1129" s="66"/>
      <c r="V1129" s="66"/>
    </row>
    <row r="1130" spans="1:22" s="64" customFormat="1" x14ac:dyDescent="0.25">
      <c r="A1130" s="61" t="s">
        <v>1522</v>
      </c>
      <c r="B1130" s="511" t="s">
        <v>1535</v>
      </c>
      <c r="C1130" s="511"/>
      <c r="D1130" s="511"/>
      <c r="E1130" s="61" t="s">
        <v>1430</v>
      </c>
      <c r="F1130" s="61" t="s">
        <v>54</v>
      </c>
      <c r="G1130" s="61" t="s">
        <v>55</v>
      </c>
      <c r="H1130" s="61"/>
      <c r="I1130" s="61" t="s">
        <v>1366</v>
      </c>
      <c r="J1130" s="62">
        <v>540</v>
      </c>
      <c r="K1130" s="62">
        <v>600</v>
      </c>
      <c r="L1130" s="62">
        <v>600</v>
      </c>
      <c r="M1130" s="62">
        <v>760</v>
      </c>
      <c r="N1130" s="55" t="s">
        <v>1345</v>
      </c>
      <c r="O1130" s="61" t="s">
        <v>52</v>
      </c>
      <c r="P1130" s="66"/>
      <c r="Q1130" s="66"/>
      <c r="R1130" s="66"/>
      <c r="S1130" s="66"/>
      <c r="T1130" s="66"/>
      <c r="U1130" s="66"/>
      <c r="V1130" s="66"/>
    </row>
    <row r="1131" spans="1:22" s="64" customFormat="1" x14ac:dyDescent="0.25">
      <c r="A1131" s="61" t="s">
        <v>1522</v>
      </c>
      <c r="B1131" s="511" t="s">
        <v>1536</v>
      </c>
      <c r="C1131" s="511"/>
      <c r="D1131" s="511"/>
      <c r="E1131" s="61" t="s">
        <v>1430</v>
      </c>
      <c r="F1131" s="61" t="s">
        <v>54</v>
      </c>
      <c r="G1131" s="61" t="s">
        <v>55</v>
      </c>
      <c r="H1131" s="61"/>
      <c r="I1131" s="61" t="s">
        <v>1366</v>
      </c>
      <c r="J1131" s="62">
        <v>450</v>
      </c>
      <c r="K1131" s="62">
        <v>500</v>
      </c>
      <c r="L1131" s="62">
        <v>500</v>
      </c>
      <c r="M1131" s="62">
        <v>635</v>
      </c>
      <c r="N1131" s="55" t="s">
        <v>1345</v>
      </c>
      <c r="O1131" s="61" t="s">
        <v>52</v>
      </c>
      <c r="P1131" s="66"/>
      <c r="Q1131" s="66"/>
      <c r="R1131" s="66"/>
      <c r="S1131" s="66"/>
      <c r="T1131" s="66"/>
      <c r="U1131" s="66"/>
      <c r="V1131" s="66"/>
    </row>
    <row r="1132" spans="1:22" s="64" customFormat="1" x14ac:dyDescent="0.25">
      <c r="A1132" s="61" t="s">
        <v>1522</v>
      </c>
      <c r="B1132" s="511" t="s">
        <v>1537</v>
      </c>
      <c r="C1132" s="511"/>
      <c r="D1132" s="511"/>
      <c r="E1132" s="61" t="s">
        <v>1430</v>
      </c>
      <c r="F1132" s="61" t="s">
        <v>54</v>
      </c>
      <c r="G1132" s="61" t="s">
        <v>55</v>
      </c>
      <c r="H1132" s="61"/>
      <c r="I1132" s="61" t="s">
        <v>1366</v>
      </c>
      <c r="J1132" s="62">
        <v>720</v>
      </c>
      <c r="K1132" s="62">
        <v>800</v>
      </c>
      <c r="L1132" s="62">
        <v>800</v>
      </c>
      <c r="M1132" s="62">
        <v>1015</v>
      </c>
      <c r="N1132" s="55" t="s">
        <v>1345</v>
      </c>
      <c r="O1132" s="61" t="s">
        <v>52</v>
      </c>
      <c r="P1132" s="66"/>
      <c r="Q1132" s="66"/>
      <c r="R1132" s="66"/>
      <c r="S1132" s="66"/>
      <c r="T1132" s="66"/>
      <c r="U1132" s="66"/>
      <c r="V1132" s="66"/>
    </row>
    <row r="1133" spans="1:22" s="64" customFormat="1" x14ac:dyDescent="0.25">
      <c r="A1133" s="61" t="s">
        <v>1522</v>
      </c>
      <c r="B1133" s="511" t="s">
        <v>1538</v>
      </c>
      <c r="C1133" s="511"/>
      <c r="D1133" s="511"/>
      <c r="E1133" s="61" t="s">
        <v>1430</v>
      </c>
      <c r="F1133" s="61" t="s">
        <v>54</v>
      </c>
      <c r="G1133" s="61" t="s">
        <v>55</v>
      </c>
      <c r="H1133" s="61"/>
      <c r="I1133" s="61" t="s">
        <v>1366</v>
      </c>
      <c r="J1133" s="62">
        <v>1125</v>
      </c>
      <c r="K1133" s="62">
        <v>1250</v>
      </c>
      <c r="L1133" s="62">
        <v>1250</v>
      </c>
      <c r="M1133" s="62">
        <v>1585</v>
      </c>
      <c r="N1133" s="55" t="s">
        <v>1345</v>
      </c>
      <c r="O1133" s="61" t="s">
        <v>52</v>
      </c>
      <c r="P1133" s="66"/>
      <c r="Q1133" s="66"/>
      <c r="R1133" s="66"/>
      <c r="S1133" s="66"/>
      <c r="T1133" s="66"/>
      <c r="U1133" s="66"/>
      <c r="V1133" s="66"/>
    </row>
    <row r="1134" spans="1:22" s="64" customFormat="1" x14ac:dyDescent="0.25">
      <c r="A1134" s="61" t="s">
        <v>1522</v>
      </c>
      <c r="B1134" s="511" t="s">
        <v>1539</v>
      </c>
      <c r="C1134" s="511"/>
      <c r="D1134" s="511"/>
      <c r="E1134" s="61" t="s">
        <v>1430</v>
      </c>
      <c r="F1134" s="61" t="s">
        <v>54</v>
      </c>
      <c r="G1134" s="61" t="s">
        <v>55</v>
      </c>
      <c r="H1134" s="61"/>
      <c r="I1134" s="61" t="s">
        <v>1366</v>
      </c>
      <c r="J1134" s="62">
        <v>540</v>
      </c>
      <c r="K1134" s="62">
        <v>600</v>
      </c>
      <c r="L1134" s="62">
        <v>600</v>
      </c>
      <c r="M1134" s="62">
        <v>760</v>
      </c>
      <c r="N1134" s="55" t="s">
        <v>1345</v>
      </c>
      <c r="O1134" s="61" t="s">
        <v>52</v>
      </c>
      <c r="P1134" s="66"/>
      <c r="Q1134" s="66"/>
      <c r="R1134" s="66"/>
      <c r="S1134" s="66"/>
      <c r="T1134" s="66"/>
      <c r="U1134" s="66"/>
      <c r="V1134" s="66"/>
    </row>
    <row r="1135" spans="1:22" s="64" customFormat="1" x14ac:dyDescent="0.25">
      <c r="A1135" s="61" t="s">
        <v>1522</v>
      </c>
      <c r="B1135" s="511" t="s">
        <v>1540</v>
      </c>
      <c r="C1135" s="511"/>
      <c r="D1135" s="511"/>
      <c r="E1135" s="61" t="s">
        <v>1430</v>
      </c>
      <c r="F1135" s="61" t="s">
        <v>54</v>
      </c>
      <c r="G1135" s="61" t="s">
        <v>55</v>
      </c>
      <c r="H1135" s="61"/>
      <c r="I1135" s="61" t="s">
        <v>1366</v>
      </c>
      <c r="J1135" s="62">
        <v>0</v>
      </c>
      <c r="K1135" s="62">
        <v>0</v>
      </c>
      <c r="L1135" s="62">
        <v>0</v>
      </c>
      <c r="M1135" s="62">
        <v>0</v>
      </c>
      <c r="N1135" s="55" t="s">
        <v>1345</v>
      </c>
      <c r="O1135" s="61" t="s">
        <v>52</v>
      </c>
      <c r="P1135" s="66"/>
      <c r="Q1135" s="66"/>
      <c r="R1135" s="66"/>
      <c r="S1135" s="66"/>
      <c r="T1135" s="66"/>
      <c r="U1135" s="66"/>
      <c r="V1135" s="66"/>
    </row>
    <row r="1136" spans="1:22" s="64" customFormat="1" x14ac:dyDescent="0.25">
      <c r="A1136" s="61" t="s">
        <v>1542</v>
      </c>
      <c r="B1136" s="511" t="s">
        <v>1543</v>
      </c>
      <c r="C1136" s="511"/>
      <c r="D1136" s="511"/>
      <c r="E1136" s="61" t="s">
        <v>1430</v>
      </c>
      <c r="F1136" s="61" t="s">
        <v>54</v>
      </c>
      <c r="G1136" s="61" t="s">
        <v>55</v>
      </c>
      <c r="H1136" s="61"/>
      <c r="I1136" s="61" t="s">
        <v>1366</v>
      </c>
      <c r="J1136" s="62">
        <v>175</v>
      </c>
      <c r="K1136" s="62">
        <v>190</v>
      </c>
      <c r="L1136" s="62">
        <v>190</v>
      </c>
      <c r="M1136" s="62">
        <v>245</v>
      </c>
      <c r="N1136" s="55" t="s">
        <v>1345</v>
      </c>
      <c r="O1136" s="61" t="s">
        <v>52</v>
      </c>
      <c r="P1136" s="66"/>
      <c r="Q1136" s="66"/>
      <c r="R1136" s="66"/>
      <c r="S1136" s="66"/>
      <c r="T1136" s="66"/>
      <c r="U1136" s="66"/>
      <c r="V1136" s="66"/>
    </row>
    <row r="1137" spans="1:22" s="64" customFormat="1" x14ac:dyDescent="0.25">
      <c r="A1137" s="61" t="s">
        <v>1542</v>
      </c>
      <c r="B1137" s="511" t="s">
        <v>1544</v>
      </c>
      <c r="C1137" s="511"/>
      <c r="D1137" s="511"/>
      <c r="E1137" s="61" t="s">
        <v>1430</v>
      </c>
      <c r="F1137" s="61" t="s">
        <v>54</v>
      </c>
      <c r="G1137" s="61" t="s">
        <v>55</v>
      </c>
      <c r="H1137" s="61"/>
      <c r="I1137" s="61" t="s">
        <v>1366</v>
      </c>
      <c r="J1137" s="62">
        <v>315</v>
      </c>
      <c r="K1137" s="62">
        <v>350</v>
      </c>
      <c r="L1137" s="62">
        <v>350</v>
      </c>
      <c r="M1137" s="62">
        <v>445</v>
      </c>
      <c r="N1137" s="55" t="s">
        <v>1345</v>
      </c>
      <c r="O1137" s="61" t="s">
        <v>52</v>
      </c>
      <c r="P1137" s="66"/>
      <c r="Q1137" s="66"/>
      <c r="R1137" s="66"/>
      <c r="S1137" s="66"/>
      <c r="T1137" s="66"/>
      <c r="U1137" s="66"/>
      <c r="V1137" s="66"/>
    </row>
    <row r="1138" spans="1:22" s="64" customFormat="1" x14ac:dyDescent="0.25">
      <c r="A1138" s="61" t="s">
        <v>1542</v>
      </c>
      <c r="B1138" s="511" t="s">
        <v>1545</v>
      </c>
      <c r="C1138" s="511"/>
      <c r="D1138" s="511"/>
      <c r="E1138" s="61" t="s">
        <v>1430</v>
      </c>
      <c r="F1138" s="61" t="s">
        <v>54</v>
      </c>
      <c r="G1138" s="61" t="s">
        <v>55</v>
      </c>
      <c r="H1138" s="61"/>
      <c r="I1138" s="61" t="s">
        <v>1366</v>
      </c>
      <c r="J1138" s="62">
        <v>360</v>
      </c>
      <c r="K1138" s="62">
        <v>400</v>
      </c>
      <c r="L1138" s="62">
        <v>400</v>
      </c>
      <c r="M1138" s="62">
        <v>510</v>
      </c>
      <c r="N1138" s="55" t="s">
        <v>1345</v>
      </c>
      <c r="O1138" s="61" t="s">
        <v>52</v>
      </c>
      <c r="P1138" s="66"/>
      <c r="Q1138" s="66"/>
      <c r="R1138" s="66"/>
      <c r="S1138" s="66"/>
      <c r="T1138" s="66"/>
      <c r="U1138" s="66"/>
      <c r="V1138" s="66"/>
    </row>
    <row r="1139" spans="1:22" s="64" customFormat="1" x14ac:dyDescent="0.25">
      <c r="A1139" s="61" t="s">
        <v>1542</v>
      </c>
      <c r="B1139" s="511" t="s">
        <v>1546</v>
      </c>
      <c r="C1139" s="511"/>
      <c r="D1139" s="511"/>
      <c r="E1139" s="61" t="s">
        <v>1430</v>
      </c>
      <c r="F1139" s="61" t="s">
        <v>54</v>
      </c>
      <c r="G1139" s="61" t="s">
        <v>55</v>
      </c>
      <c r="H1139" s="61"/>
      <c r="I1139" s="61" t="s">
        <v>1366</v>
      </c>
      <c r="J1139" s="62">
        <v>720</v>
      </c>
      <c r="K1139" s="62">
        <v>800</v>
      </c>
      <c r="L1139" s="62">
        <v>800</v>
      </c>
      <c r="M1139" s="62">
        <v>1015</v>
      </c>
      <c r="N1139" s="55" t="s">
        <v>1345</v>
      </c>
      <c r="O1139" s="61" t="s">
        <v>52</v>
      </c>
      <c r="P1139" s="66"/>
      <c r="Q1139" s="66"/>
      <c r="R1139" s="66"/>
      <c r="S1139" s="66"/>
      <c r="T1139" s="66"/>
      <c r="U1139" s="66"/>
      <c r="V1139" s="66"/>
    </row>
    <row r="1140" spans="1:22" s="64" customFormat="1" x14ac:dyDescent="0.25">
      <c r="A1140" s="61" t="s">
        <v>1542</v>
      </c>
      <c r="B1140" s="511" t="s">
        <v>1547</v>
      </c>
      <c r="C1140" s="511"/>
      <c r="D1140" s="511"/>
      <c r="E1140" s="61" t="s">
        <v>1430</v>
      </c>
      <c r="F1140" s="61" t="s">
        <v>54</v>
      </c>
      <c r="G1140" s="61" t="s">
        <v>55</v>
      </c>
      <c r="H1140" s="61"/>
      <c r="I1140" s="61" t="s">
        <v>1366</v>
      </c>
      <c r="J1140" s="62">
        <v>450</v>
      </c>
      <c r="K1140" s="62">
        <v>500</v>
      </c>
      <c r="L1140" s="62">
        <v>500</v>
      </c>
      <c r="M1140" s="62">
        <v>635</v>
      </c>
      <c r="N1140" s="55" t="s">
        <v>1345</v>
      </c>
      <c r="O1140" s="61" t="s">
        <v>52</v>
      </c>
      <c r="P1140" s="66"/>
      <c r="Q1140" s="66"/>
      <c r="R1140" s="66"/>
      <c r="S1140" s="66"/>
      <c r="T1140" s="66"/>
      <c r="U1140" s="66"/>
      <c r="V1140" s="66"/>
    </row>
    <row r="1141" spans="1:22" s="64" customFormat="1" x14ac:dyDescent="0.25">
      <c r="A1141" s="61" t="s">
        <v>1542</v>
      </c>
      <c r="B1141" s="511" t="s">
        <v>1548</v>
      </c>
      <c r="C1141" s="511"/>
      <c r="D1141" s="511"/>
      <c r="E1141" s="61" t="s">
        <v>1430</v>
      </c>
      <c r="F1141" s="61" t="s">
        <v>54</v>
      </c>
      <c r="G1141" s="61" t="s">
        <v>55</v>
      </c>
      <c r="H1141" s="61"/>
      <c r="I1141" s="61" t="s">
        <v>1366</v>
      </c>
      <c r="J1141" s="62">
        <v>585</v>
      </c>
      <c r="K1141" s="62">
        <v>650</v>
      </c>
      <c r="L1141" s="62">
        <v>650</v>
      </c>
      <c r="M1141" s="62">
        <v>825</v>
      </c>
      <c r="N1141" s="55" t="s">
        <v>1345</v>
      </c>
      <c r="O1141" s="61" t="s">
        <v>52</v>
      </c>
      <c r="P1141" s="66"/>
      <c r="Q1141" s="66"/>
      <c r="R1141" s="66"/>
      <c r="S1141" s="66"/>
      <c r="T1141" s="66"/>
      <c r="U1141" s="66"/>
      <c r="V1141" s="66"/>
    </row>
    <row r="1142" spans="1:22" s="64" customFormat="1" x14ac:dyDescent="0.25">
      <c r="A1142" s="61" t="s">
        <v>1542</v>
      </c>
      <c r="B1142" s="511" t="s">
        <v>1549</v>
      </c>
      <c r="C1142" s="511"/>
      <c r="D1142" s="511"/>
      <c r="E1142" s="61" t="s">
        <v>1430</v>
      </c>
      <c r="F1142" s="61" t="s">
        <v>54</v>
      </c>
      <c r="G1142" s="61" t="s">
        <v>55</v>
      </c>
      <c r="H1142" s="61"/>
      <c r="I1142" s="61" t="s">
        <v>1366</v>
      </c>
      <c r="J1142" s="62">
        <v>180</v>
      </c>
      <c r="K1142" s="62">
        <v>200</v>
      </c>
      <c r="L1142" s="62">
        <v>200</v>
      </c>
      <c r="M1142" s="62">
        <v>255</v>
      </c>
      <c r="N1142" s="55" t="s">
        <v>1345</v>
      </c>
      <c r="O1142" s="61" t="s">
        <v>52</v>
      </c>
      <c r="P1142" s="66"/>
      <c r="Q1142" s="66"/>
      <c r="R1142" s="66"/>
      <c r="S1142" s="66"/>
      <c r="T1142" s="66"/>
      <c r="U1142" s="66"/>
      <c r="V1142" s="66"/>
    </row>
    <row r="1143" spans="1:22" s="64" customFormat="1" x14ac:dyDescent="0.25">
      <c r="A1143" s="61" t="s">
        <v>1550</v>
      </c>
      <c r="B1143" s="511" t="s">
        <v>1551</v>
      </c>
      <c r="C1143" s="511"/>
      <c r="D1143" s="511"/>
      <c r="E1143" s="61" t="s">
        <v>1438</v>
      </c>
      <c r="F1143" s="61" t="s">
        <v>54</v>
      </c>
      <c r="G1143" s="61" t="s">
        <v>55</v>
      </c>
      <c r="H1143" s="61"/>
      <c r="I1143" s="61" t="s">
        <v>1366</v>
      </c>
      <c r="J1143" s="62">
        <v>540</v>
      </c>
      <c r="K1143" s="62">
        <v>600</v>
      </c>
      <c r="L1143" s="62">
        <v>600</v>
      </c>
      <c r="M1143" s="62">
        <v>760</v>
      </c>
      <c r="N1143" s="55" t="s">
        <v>1345</v>
      </c>
      <c r="O1143" s="61" t="s">
        <v>52</v>
      </c>
      <c r="P1143" s="66"/>
      <c r="Q1143" s="66"/>
      <c r="R1143" s="66"/>
      <c r="S1143" s="66"/>
      <c r="T1143" s="66"/>
      <c r="U1143" s="66"/>
      <c r="V1143" s="66"/>
    </row>
    <row r="1144" spans="1:22" s="64" customFormat="1" x14ac:dyDescent="0.25">
      <c r="A1144" s="61" t="s">
        <v>1550</v>
      </c>
      <c r="B1144" s="511" t="s">
        <v>1551</v>
      </c>
      <c r="C1144" s="511"/>
      <c r="D1144" s="511"/>
      <c r="E1144" s="61" t="s">
        <v>1438</v>
      </c>
      <c r="F1144" s="61" t="s">
        <v>389</v>
      </c>
      <c r="G1144" s="61" t="s">
        <v>55</v>
      </c>
      <c r="H1144" s="61"/>
      <c r="I1144" s="61" t="s">
        <v>1366</v>
      </c>
      <c r="J1144" s="62">
        <v>540</v>
      </c>
      <c r="K1144" s="62">
        <v>600</v>
      </c>
      <c r="L1144" s="62">
        <v>600</v>
      </c>
      <c r="M1144" s="62">
        <v>760</v>
      </c>
      <c r="N1144" s="55" t="s">
        <v>1345</v>
      </c>
      <c r="O1144" s="61" t="s">
        <v>52</v>
      </c>
      <c r="P1144" s="66"/>
      <c r="Q1144" s="66"/>
      <c r="R1144" s="66"/>
      <c r="S1144" s="66"/>
      <c r="T1144" s="66"/>
      <c r="U1144" s="66"/>
      <c r="V1144" s="66"/>
    </row>
    <row r="1145" spans="1:22" s="64" customFormat="1" x14ac:dyDescent="0.25">
      <c r="A1145" s="61" t="s">
        <v>1552</v>
      </c>
      <c r="B1145" s="511" t="s">
        <v>1555</v>
      </c>
      <c r="C1145" s="511"/>
      <c r="D1145" s="511"/>
      <c r="E1145" s="61" t="s">
        <v>1430</v>
      </c>
      <c r="F1145" s="61" t="s">
        <v>54</v>
      </c>
      <c r="G1145" s="61" t="s">
        <v>55</v>
      </c>
      <c r="H1145" s="61"/>
      <c r="I1145" s="61" t="s">
        <v>1366</v>
      </c>
      <c r="J1145" s="62">
        <v>945</v>
      </c>
      <c r="K1145" s="62">
        <v>1050</v>
      </c>
      <c r="L1145" s="62">
        <v>1050</v>
      </c>
      <c r="M1145" s="62">
        <v>1330</v>
      </c>
      <c r="N1145" s="55" t="s">
        <v>1345</v>
      </c>
      <c r="O1145" s="61" t="s">
        <v>52</v>
      </c>
      <c r="P1145" s="66"/>
      <c r="Q1145" s="66"/>
      <c r="R1145" s="66"/>
      <c r="S1145" s="66"/>
      <c r="T1145" s="66"/>
      <c r="U1145" s="66"/>
      <c r="V1145" s="66"/>
    </row>
    <row r="1146" spans="1:22" s="64" customFormat="1" x14ac:dyDescent="0.25">
      <c r="A1146" s="61" t="s">
        <v>1552</v>
      </c>
      <c r="B1146" s="511" t="s">
        <v>1556</v>
      </c>
      <c r="C1146" s="511"/>
      <c r="D1146" s="511"/>
      <c r="E1146" s="61" t="s">
        <v>1430</v>
      </c>
      <c r="F1146" s="61" t="s">
        <v>54</v>
      </c>
      <c r="G1146" s="61" t="s">
        <v>55</v>
      </c>
      <c r="H1146" s="61"/>
      <c r="I1146" s="61" t="s">
        <v>1366</v>
      </c>
      <c r="J1146" s="62">
        <v>270</v>
      </c>
      <c r="K1146" s="62">
        <v>300</v>
      </c>
      <c r="L1146" s="62">
        <v>300</v>
      </c>
      <c r="M1146" s="62">
        <v>380</v>
      </c>
      <c r="N1146" s="55" t="s">
        <v>1345</v>
      </c>
      <c r="O1146" s="61" t="s">
        <v>52</v>
      </c>
      <c r="P1146" s="66"/>
      <c r="Q1146" s="66"/>
      <c r="R1146" s="66"/>
      <c r="S1146" s="66"/>
      <c r="T1146" s="66"/>
      <c r="U1146" s="66"/>
      <c r="V1146" s="66"/>
    </row>
    <row r="1147" spans="1:22" s="64" customFormat="1" x14ac:dyDescent="0.25">
      <c r="A1147" s="61" t="s">
        <v>1552</v>
      </c>
      <c r="B1147" s="511" t="s">
        <v>1554</v>
      </c>
      <c r="C1147" s="511"/>
      <c r="D1147" s="511"/>
      <c r="E1147" s="61" t="s">
        <v>1430</v>
      </c>
      <c r="F1147" s="61" t="s">
        <v>54</v>
      </c>
      <c r="G1147" s="61" t="s">
        <v>55</v>
      </c>
      <c r="H1147" s="61"/>
      <c r="I1147" s="61" t="s">
        <v>1366</v>
      </c>
      <c r="J1147" s="62">
        <v>360</v>
      </c>
      <c r="K1147" s="62">
        <v>400</v>
      </c>
      <c r="L1147" s="62">
        <v>400</v>
      </c>
      <c r="M1147" s="62">
        <v>510</v>
      </c>
      <c r="N1147" s="55" t="s">
        <v>1345</v>
      </c>
      <c r="O1147" s="61" t="s">
        <v>52</v>
      </c>
      <c r="P1147" s="66"/>
      <c r="Q1147" s="66"/>
      <c r="R1147" s="66"/>
      <c r="S1147" s="66"/>
      <c r="T1147" s="66"/>
      <c r="U1147" s="66"/>
      <c r="V1147" s="66"/>
    </row>
    <row r="1148" spans="1:22" s="64" customFormat="1" x14ac:dyDescent="0.25">
      <c r="A1148" s="61" t="s">
        <v>1552</v>
      </c>
      <c r="B1148" s="511" t="s">
        <v>1557</v>
      </c>
      <c r="C1148" s="511"/>
      <c r="D1148" s="511"/>
      <c r="E1148" s="61" t="s">
        <v>1430</v>
      </c>
      <c r="F1148" s="61" t="s">
        <v>54</v>
      </c>
      <c r="G1148" s="61" t="s">
        <v>55</v>
      </c>
      <c r="H1148" s="61"/>
      <c r="I1148" s="61" t="s">
        <v>1366</v>
      </c>
      <c r="J1148" s="62">
        <v>540</v>
      </c>
      <c r="K1148" s="62">
        <v>600</v>
      </c>
      <c r="L1148" s="62">
        <v>600</v>
      </c>
      <c r="M1148" s="62">
        <v>760</v>
      </c>
      <c r="N1148" s="55" t="s">
        <v>1345</v>
      </c>
      <c r="O1148" s="61" t="s">
        <v>52</v>
      </c>
      <c r="P1148" s="66"/>
      <c r="Q1148" s="66"/>
      <c r="R1148" s="66"/>
      <c r="S1148" s="66"/>
      <c r="T1148" s="66"/>
      <c r="U1148" s="66"/>
      <c r="V1148" s="66"/>
    </row>
    <row r="1149" spans="1:22" s="64" customFormat="1" x14ac:dyDescent="0.25">
      <c r="A1149" s="61" t="s">
        <v>1558</v>
      </c>
      <c r="B1149" s="511" t="s">
        <v>1559</v>
      </c>
      <c r="C1149" s="511"/>
      <c r="D1149" s="511"/>
      <c r="E1149" s="61" t="s">
        <v>1430</v>
      </c>
      <c r="F1149" s="61" t="s">
        <v>54</v>
      </c>
      <c r="G1149" s="61" t="s">
        <v>55</v>
      </c>
      <c r="H1149" s="61"/>
      <c r="I1149" s="61" t="s">
        <v>1366</v>
      </c>
      <c r="J1149" s="62">
        <v>740</v>
      </c>
      <c r="K1149" s="62">
        <v>820</v>
      </c>
      <c r="L1149" s="62">
        <v>820</v>
      </c>
      <c r="M1149" s="62">
        <v>1040</v>
      </c>
      <c r="N1149" s="55" t="s">
        <v>1345</v>
      </c>
      <c r="O1149" s="61" t="s">
        <v>52</v>
      </c>
      <c r="P1149" s="66"/>
      <c r="Q1149" s="66"/>
      <c r="R1149" s="66"/>
      <c r="S1149" s="66"/>
      <c r="T1149" s="66"/>
      <c r="U1149" s="66"/>
      <c r="V1149" s="66"/>
    </row>
    <row r="1150" spans="1:22" s="64" customFormat="1" x14ac:dyDescent="0.25">
      <c r="A1150" s="61" t="s">
        <v>1560</v>
      </c>
      <c r="B1150" s="511" t="s">
        <v>1561</v>
      </c>
      <c r="C1150" s="511"/>
      <c r="D1150" s="511"/>
      <c r="E1150" s="61" t="s">
        <v>1430</v>
      </c>
      <c r="F1150" s="61" t="s">
        <v>54</v>
      </c>
      <c r="G1150" s="61" t="s">
        <v>55</v>
      </c>
      <c r="H1150" s="61"/>
      <c r="I1150" s="61" t="s">
        <v>1366</v>
      </c>
      <c r="J1150" s="62">
        <v>450</v>
      </c>
      <c r="K1150" s="62">
        <v>500</v>
      </c>
      <c r="L1150" s="62">
        <v>500</v>
      </c>
      <c r="M1150" s="62">
        <v>635</v>
      </c>
      <c r="N1150" s="55" t="s">
        <v>1345</v>
      </c>
      <c r="O1150" s="61" t="s">
        <v>52</v>
      </c>
      <c r="P1150" s="66"/>
      <c r="Q1150" s="66"/>
      <c r="R1150" s="66"/>
      <c r="S1150" s="66"/>
      <c r="T1150" s="66"/>
      <c r="U1150" s="66"/>
      <c r="V1150" s="66"/>
    </row>
    <row r="1151" spans="1:22" s="64" customFormat="1" x14ac:dyDescent="0.25">
      <c r="A1151" s="61" t="s">
        <v>1560</v>
      </c>
      <c r="B1151" s="511" t="s">
        <v>1563</v>
      </c>
      <c r="C1151" s="511"/>
      <c r="D1151" s="511"/>
      <c r="E1151" s="61" t="s">
        <v>1430</v>
      </c>
      <c r="F1151" s="61" t="s">
        <v>54</v>
      </c>
      <c r="G1151" s="61" t="s">
        <v>55</v>
      </c>
      <c r="H1151" s="61"/>
      <c r="I1151" s="61" t="s">
        <v>1366</v>
      </c>
      <c r="J1151" s="62">
        <v>630</v>
      </c>
      <c r="K1151" s="62">
        <v>700</v>
      </c>
      <c r="L1151" s="62">
        <v>700</v>
      </c>
      <c r="M1151" s="62">
        <v>890</v>
      </c>
      <c r="N1151" s="55" t="s">
        <v>1345</v>
      </c>
      <c r="O1151" s="61" t="s">
        <v>52</v>
      </c>
      <c r="P1151" s="66"/>
      <c r="Q1151" s="66"/>
      <c r="R1151" s="66"/>
      <c r="S1151" s="66"/>
      <c r="T1151" s="66"/>
      <c r="U1151" s="66"/>
      <c r="V1151" s="66"/>
    </row>
    <row r="1152" spans="1:22" s="64" customFormat="1" x14ac:dyDescent="0.25">
      <c r="A1152" s="61" t="s">
        <v>1560</v>
      </c>
      <c r="B1152" s="511" t="s">
        <v>1564</v>
      </c>
      <c r="C1152" s="511"/>
      <c r="D1152" s="511"/>
      <c r="E1152" s="61" t="s">
        <v>1430</v>
      </c>
      <c r="F1152" s="61" t="s">
        <v>54</v>
      </c>
      <c r="G1152" s="61" t="s">
        <v>55</v>
      </c>
      <c r="H1152" s="61"/>
      <c r="I1152" s="61" t="s">
        <v>1366</v>
      </c>
      <c r="J1152" s="62">
        <v>675</v>
      </c>
      <c r="K1152" s="62">
        <v>750</v>
      </c>
      <c r="L1152" s="62">
        <v>750</v>
      </c>
      <c r="M1152" s="62">
        <v>950</v>
      </c>
      <c r="N1152" s="55" t="s">
        <v>1345</v>
      </c>
      <c r="O1152" s="61" t="s">
        <v>52</v>
      </c>
      <c r="P1152" s="66"/>
      <c r="Q1152" s="66"/>
      <c r="R1152" s="66"/>
      <c r="S1152" s="66"/>
      <c r="T1152" s="66"/>
      <c r="U1152" s="66"/>
      <c r="V1152" s="66"/>
    </row>
    <row r="1153" spans="1:22" s="64" customFormat="1" x14ac:dyDescent="0.25">
      <c r="A1153" s="61" t="s">
        <v>1560</v>
      </c>
      <c r="B1153" s="511" t="s">
        <v>1565</v>
      </c>
      <c r="C1153" s="511"/>
      <c r="D1153" s="511"/>
      <c r="E1153" s="61" t="s">
        <v>1430</v>
      </c>
      <c r="F1153" s="61" t="s">
        <v>54</v>
      </c>
      <c r="G1153" s="61" t="s">
        <v>55</v>
      </c>
      <c r="H1153" s="61"/>
      <c r="I1153" s="61" t="s">
        <v>1366</v>
      </c>
      <c r="J1153" s="62">
        <v>810</v>
      </c>
      <c r="K1153" s="62">
        <v>900</v>
      </c>
      <c r="L1153" s="62">
        <v>900</v>
      </c>
      <c r="M1153" s="62">
        <v>1145</v>
      </c>
      <c r="N1153" s="55" t="s">
        <v>1345</v>
      </c>
      <c r="O1153" s="61" t="s">
        <v>52</v>
      </c>
      <c r="P1153" s="66"/>
      <c r="Q1153" s="66"/>
      <c r="R1153" s="66"/>
      <c r="S1153" s="66"/>
      <c r="T1153" s="66"/>
      <c r="U1153" s="66"/>
      <c r="V1153" s="66"/>
    </row>
    <row r="1154" spans="1:22" s="64" customFormat="1" x14ac:dyDescent="0.25">
      <c r="A1154" s="61" t="s">
        <v>1560</v>
      </c>
      <c r="B1154" s="511" t="s">
        <v>1566</v>
      </c>
      <c r="C1154" s="511"/>
      <c r="D1154" s="511"/>
      <c r="E1154" s="61" t="s">
        <v>1430</v>
      </c>
      <c r="F1154" s="61" t="s">
        <v>54</v>
      </c>
      <c r="G1154" s="61" t="s">
        <v>55</v>
      </c>
      <c r="H1154" s="61"/>
      <c r="I1154" s="61" t="s">
        <v>1366</v>
      </c>
      <c r="J1154" s="62">
        <v>360</v>
      </c>
      <c r="K1154" s="62">
        <v>400</v>
      </c>
      <c r="L1154" s="62">
        <v>400</v>
      </c>
      <c r="M1154" s="62">
        <v>510</v>
      </c>
      <c r="N1154" s="55" t="s">
        <v>1345</v>
      </c>
      <c r="O1154" s="61" t="s">
        <v>52</v>
      </c>
      <c r="P1154" s="66"/>
      <c r="Q1154" s="66"/>
      <c r="R1154" s="66"/>
      <c r="S1154" s="66"/>
      <c r="T1154" s="66"/>
      <c r="U1154" s="66"/>
      <c r="V1154" s="66"/>
    </row>
    <row r="1155" spans="1:22" s="64" customFormat="1" x14ac:dyDescent="0.25">
      <c r="A1155" s="61" t="s">
        <v>1560</v>
      </c>
      <c r="B1155" s="511" t="s">
        <v>1567</v>
      </c>
      <c r="C1155" s="511"/>
      <c r="D1155" s="511"/>
      <c r="E1155" s="61" t="s">
        <v>1430</v>
      </c>
      <c r="F1155" s="61" t="s">
        <v>54</v>
      </c>
      <c r="G1155" s="61" t="s">
        <v>55</v>
      </c>
      <c r="H1155" s="61"/>
      <c r="I1155" s="61" t="s">
        <v>1366</v>
      </c>
      <c r="J1155" s="62">
        <v>630</v>
      </c>
      <c r="K1155" s="62">
        <v>700</v>
      </c>
      <c r="L1155" s="62">
        <v>700</v>
      </c>
      <c r="M1155" s="62">
        <v>890</v>
      </c>
      <c r="N1155" s="55" t="s">
        <v>1345</v>
      </c>
      <c r="O1155" s="61" t="s">
        <v>52</v>
      </c>
      <c r="P1155" s="66"/>
      <c r="Q1155" s="66"/>
      <c r="R1155" s="66"/>
      <c r="S1155" s="66"/>
      <c r="T1155" s="66"/>
      <c r="U1155" s="66"/>
      <c r="V1155" s="66"/>
    </row>
    <row r="1156" spans="1:22" s="64" customFormat="1" x14ac:dyDescent="0.25">
      <c r="A1156" s="61" t="s">
        <v>1568</v>
      </c>
      <c r="B1156" s="511" t="s">
        <v>1569</v>
      </c>
      <c r="C1156" s="511"/>
      <c r="D1156" s="511"/>
      <c r="E1156" s="61" t="s">
        <v>1570</v>
      </c>
      <c r="F1156" s="61" t="s">
        <v>54</v>
      </c>
      <c r="G1156" s="61" t="s">
        <v>55</v>
      </c>
      <c r="H1156" s="61"/>
      <c r="I1156" s="61" t="s">
        <v>1366</v>
      </c>
      <c r="J1156" s="62">
        <v>200</v>
      </c>
      <c r="K1156" s="62">
        <v>220</v>
      </c>
      <c r="L1156" s="62">
        <v>220</v>
      </c>
      <c r="M1156" s="62">
        <v>280</v>
      </c>
      <c r="N1156" s="55" t="s">
        <v>1345</v>
      </c>
      <c r="O1156" s="61" t="s">
        <v>52</v>
      </c>
      <c r="P1156" s="66"/>
      <c r="Q1156" s="66"/>
      <c r="R1156" s="66"/>
      <c r="S1156" s="66"/>
      <c r="T1156" s="66"/>
      <c r="U1156" s="66"/>
      <c r="V1156" s="66"/>
    </row>
    <row r="1157" spans="1:22" s="64" customFormat="1" x14ac:dyDescent="0.25">
      <c r="A1157" s="61" t="s">
        <v>1568</v>
      </c>
      <c r="B1157" s="511" t="s">
        <v>1571</v>
      </c>
      <c r="C1157" s="511"/>
      <c r="D1157" s="511"/>
      <c r="E1157" s="61" t="s">
        <v>1570</v>
      </c>
      <c r="F1157" s="61" t="s">
        <v>54</v>
      </c>
      <c r="G1157" s="61" t="s">
        <v>55</v>
      </c>
      <c r="H1157" s="61"/>
      <c r="I1157" s="61" t="s">
        <v>1366</v>
      </c>
      <c r="J1157" s="62">
        <v>290</v>
      </c>
      <c r="K1157" s="62">
        <v>320</v>
      </c>
      <c r="L1157" s="62">
        <v>320</v>
      </c>
      <c r="M1157" s="62">
        <v>410</v>
      </c>
      <c r="N1157" s="55" t="s">
        <v>1345</v>
      </c>
      <c r="O1157" s="61" t="s">
        <v>52</v>
      </c>
      <c r="P1157" s="66"/>
      <c r="Q1157" s="66"/>
      <c r="R1157" s="66"/>
      <c r="S1157" s="66"/>
      <c r="T1157" s="66"/>
      <c r="U1157" s="66"/>
      <c r="V1157" s="66"/>
    </row>
    <row r="1158" spans="1:22" s="64" customFormat="1" x14ac:dyDescent="0.25">
      <c r="A1158" s="61" t="s">
        <v>1572</v>
      </c>
      <c r="B1158" s="511" t="s">
        <v>1575</v>
      </c>
      <c r="C1158" s="511"/>
      <c r="D1158" s="511"/>
      <c r="E1158" s="61" t="s">
        <v>1573</v>
      </c>
      <c r="F1158" s="61" t="s">
        <v>54</v>
      </c>
      <c r="G1158" s="61" t="s">
        <v>55</v>
      </c>
      <c r="H1158" s="61"/>
      <c r="I1158" s="61" t="s">
        <v>1366</v>
      </c>
      <c r="J1158" s="62">
        <v>90</v>
      </c>
      <c r="K1158" s="62">
        <v>100</v>
      </c>
      <c r="L1158" s="62">
        <v>100</v>
      </c>
      <c r="M1158" s="62">
        <v>130</v>
      </c>
      <c r="N1158" s="55" t="s">
        <v>1345</v>
      </c>
      <c r="O1158" s="61" t="s">
        <v>52</v>
      </c>
      <c r="P1158" s="66"/>
      <c r="Q1158" s="66"/>
      <c r="R1158" s="66"/>
      <c r="S1158" s="66"/>
      <c r="T1158" s="66"/>
      <c r="U1158" s="66"/>
      <c r="V1158" s="66"/>
    </row>
    <row r="1159" spans="1:22" s="64" customFormat="1" x14ac:dyDescent="0.25">
      <c r="A1159" s="61" t="s">
        <v>1572</v>
      </c>
      <c r="B1159" s="511" t="s">
        <v>1575</v>
      </c>
      <c r="C1159" s="511"/>
      <c r="D1159" s="511"/>
      <c r="E1159" s="61" t="s">
        <v>1573</v>
      </c>
      <c r="F1159" s="61" t="s">
        <v>481</v>
      </c>
      <c r="G1159" s="61" t="s">
        <v>55</v>
      </c>
      <c r="H1159" s="61"/>
      <c r="I1159" s="61" t="s">
        <v>1366</v>
      </c>
      <c r="J1159" s="62">
        <v>90</v>
      </c>
      <c r="K1159" s="62">
        <v>100</v>
      </c>
      <c r="L1159" s="62">
        <v>100</v>
      </c>
      <c r="M1159" s="62">
        <v>130</v>
      </c>
      <c r="N1159" s="55" t="s">
        <v>1345</v>
      </c>
      <c r="O1159" s="61" t="s">
        <v>52</v>
      </c>
      <c r="P1159" s="66"/>
      <c r="Q1159" s="66"/>
      <c r="R1159" s="66"/>
      <c r="S1159" s="66"/>
      <c r="T1159" s="66"/>
      <c r="U1159" s="66"/>
      <c r="V1159" s="66"/>
    </row>
    <row r="1160" spans="1:22" s="64" customFormat="1" x14ac:dyDescent="0.25">
      <c r="A1160" s="61" t="s">
        <v>1572</v>
      </c>
      <c r="B1160" s="511" t="s">
        <v>1575</v>
      </c>
      <c r="C1160" s="511"/>
      <c r="D1160" s="511"/>
      <c r="E1160" s="61" t="s">
        <v>1574</v>
      </c>
      <c r="F1160" s="61" t="s">
        <v>481</v>
      </c>
      <c r="G1160" s="61" t="s">
        <v>55</v>
      </c>
      <c r="H1160" s="61"/>
      <c r="I1160" s="61" t="s">
        <v>1366</v>
      </c>
      <c r="J1160" s="62">
        <v>90</v>
      </c>
      <c r="K1160" s="62">
        <v>100</v>
      </c>
      <c r="L1160" s="62">
        <v>100</v>
      </c>
      <c r="M1160" s="62">
        <v>130</v>
      </c>
      <c r="N1160" s="55" t="s">
        <v>1345</v>
      </c>
      <c r="O1160" s="61" t="s">
        <v>52</v>
      </c>
      <c r="P1160" s="66"/>
      <c r="Q1160" s="66"/>
      <c r="R1160" s="66"/>
      <c r="S1160" s="66"/>
      <c r="T1160" s="66"/>
      <c r="U1160" s="66"/>
      <c r="V1160" s="66"/>
    </row>
    <row r="1161" spans="1:22" s="64" customFormat="1" x14ac:dyDescent="0.25">
      <c r="A1161" s="61" t="s">
        <v>1572</v>
      </c>
      <c r="B1161" s="511" t="s">
        <v>1576</v>
      </c>
      <c r="C1161" s="511"/>
      <c r="D1161" s="511"/>
      <c r="E1161" s="61" t="s">
        <v>1573</v>
      </c>
      <c r="F1161" s="61" t="s">
        <v>54</v>
      </c>
      <c r="G1161" s="61" t="s">
        <v>55</v>
      </c>
      <c r="H1161" s="61"/>
      <c r="I1161" s="61" t="s">
        <v>1366</v>
      </c>
      <c r="J1161" s="62">
        <v>45</v>
      </c>
      <c r="K1161" s="62">
        <v>50</v>
      </c>
      <c r="L1161" s="62">
        <v>50</v>
      </c>
      <c r="M1161" s="62">
        <v>65</v>
      </c>
      <c r="N1161" s="55" t="s">
        <v>1345</v>
      </c>
      <c r="O1161" s="61" t="s">
        <v>52</v>
      </c>
      <c r="P1161" s="66"/>
      <c r="Q1161" s="66"/>
      <c r="R1161" s="66"/>
      <c r="S1161" s="66"/>
      <c r="T1161" s="66"/>
      <c r="U1161" s="66"/>
      <c r="V1161" s="66"/>
    </row>
    <row r="1162" spans="1:22" s="64" customFormat="1" x14ac:dyDescent="0.25">
      <c r="A1162" s="61" t="s">
        <v>1572</v>
      </c>
      <c r="B1162" s="511" t="s">
        <v>1576</v>
      </c>
      <c r="C1162" s="511"/>
      <c r="D1162" s="511"/>
      <c r="E1162" s="61" t="s">
        <v>1573</v>
      </c>
      <c r="F1162" s="61" t="s">
        <v>481</v>
      </c>
      <c r="G1162" s="61" t="s">
        <v>55</v>
      </c>
      <c r="H1162" s="61"/>
      <c r="I1162" s="61" t="s">
        <v>1366</v>
      </c>
      <c r="J1162" s="62">
        <v>45</v>
      </c>
      <c r="K1162" s="62">
        <v>50</v>
      </c>
      <c r="L1162" s="62">
        <v>50</v>
      </c>
      <c r="M1162" s="62">
        <v>65</v>
      </c>
      <c r="N1162" s="55" t="s">
        <v>1345</v>
      </c>
      <c r="O1162" s="61" t="s">
        <v>52</v>
      </c>
      <c r="P1162" s="66"/>
      <c r="Q1162" s="66"/>
      <c r="R1162" s="66"/>
      <c r="S1162" s="66"/>
      <c r="T1162" s="66"/>
      <c r="U1162" s="66"/>
      <c r="V1162" s="66"/>
    </row>
    <row r="1163" spans="1:22" s="64" customFormat="1" x14ac:dyDescent="0.25">
      <c r="A1163" s="61" t="s">
        <v>1572</v>
      </c>
      <c r="B1163" s="511" t="s">
        <v>1576</v>
      </c>
      <c r="C1163" s="511"/>
      <c r="D1163" s="511"/>
      <c r="E1163" s="61" t="s">
        <v>1574</v>
      </c>
      <c r="F1163" s="61" t="s">
        <v>481</v>
      </c>
      <c r="G1163" s="61" t="s">
        <v>55</v>
      </c>
      <c r="H1163" s="61"/>
      <c r="I1163" s="61" t="s">
        <v>1366</v>
      </c>
      <c r="J1163" s="62">
        <v>45</v>
      </c>
      <c r="K1163" s="62">
        <v>50</v>
      </c>
      <c r="L1163" s="62">
        <v>50</v>
      </c>
      <c r="M1163" s="62">
        <v>65</v>
      </c>
      <c r="N1163" s="55" t="s">
        <v>1345</v>
      </c>
      <c r="O1163" s="61" t="s">
        <v>52</v>
      </c>
      <c r="P1163" s="66"/>
      <c r="Q1163" s="66"/>
      <c r="R1163" s="66"/>
      <c r="S1163" s="66"/>
      <c r="T1163" s="66"/>
      <c r="U1163" s="66"/>
      <c r="V1163" s="66"/>
    </row>
    <row r="1164" spans="1:22" s="64" customFormat="1" x14ac:dyDescent="0.25">
      <c r="A1164" s="61" t="s">
        <v>1572</v>
      </c>
      <c r="B1164" s="511" t="s">
        <v>1577</v>
      </c>
      <c r="C1164" s="511"/>
      <c r="D1164" s="511"/>
      <c r="E1164" s="61" t="s">
        <v>1573</v>
      </c>
      <c r="F1164" s="61" t="s">
        <v>481</v>
      </c>
      <c r="G1164" s="61" t="s">
        <v>55</v>
      </c>
      <c r="H1164" s="61"/>
      <c r="I1164" s="61" t="s">
        <v>1366</v>
      </c>
      <c r="J1164" s="62">
        <v>90</v>
      </c>
      <c r="K1164" s="62">
        <v>100</v>
      </c>
      <c r="L1164" s="62">
        <v>100</v>
      </c>
      <c r="M1164" s="62">
        <v>130</v>
      </c>
      <c r="N1164" s="55" t="s">
        <v>1345</v>
      </c>
      <c r="O1164" s="61" t="s">
        <v>52</v>
      </c>
      <c r="P1164" s="66"/>
      <c r="Q1164" s="66"/>
      <c r="R1164" s="66"/>
      <c r="S1164" s="66"/>
      <c r="T1164" s="66"/>
      <c r="U1164" s="66"/>
      <c r="V1164" s="66"/>
    </row>
    <row r="1165" spans="1:22" s="64" customFormat="1" x14ac:dyDescent="0.25">
      <c r="A1165" s="61" t="s">
        <v>1572</v>
      </c>
      <c r="B1165" s="511" t="s">
        <v>1577</v>
      </c>
      <c r="C1165" s="511"/>
      <c r="D1165" s="511"/>
      <c r="E1165" s="61" t="s">
        <v>1574</v>
      </c>
      <c r="F1165" s="61" t="s">
        <v>481</v>
      </c>
      <c r="G1165" s="61" t="s">
        <v>55</v>
      </c>
      <c r="H1165" s="61"/>
      <c r="I1165" s="61" t="s">
        <v>1366</v>
      </c>
      <c r="J1165" s="62">
        <v>90</v>
      </c>
      <c r="K1165" s="62">
        <v>100</v>
      </c>
      <c r="L1165" s="62">
        <v>100</v>
      </c>
      <c r="M1165" s="62">
        <v>130</v>
      </c>
      <c r="N1165" s="55" t="s">
        <v>1345</v>
      </c>
      <c r="O1165" s="61" t="s">
        <v>52</v>
      </c>
      <c r="P1165" s="66"/>
      <c r="Q1165" s="66"/>
      <c r="R1165" s="66"/>
      <c r="S1165" s="66"/>
      <c r="T1165" s="66"/>
      <c r="U1165" s="66"/>
      <c r="V1165" s="66"/>
    </row>
    <row r="1166" spans="1:22" s="64" customFormat="1" x14ac:dyDescent="0.25">
      <c r="A1166" s="61" t="s">
        <v>1578</v>
      </c>
      <c r="B1166" s="511" t="s">
        <v>1579</v>
      </c>
      <c r="C1166" s="511"/>
      <c r="D1166" s="511"/>
      <c r="E1166" s="61" t="s">
        <v>1430</v>
      </c>
      <c r="F1166" s="61" t="s">
        <v>54</v>
      </c>
      <c r="G1166" s="61" t="s">
        <v>55</v>
      </c>
      <c r="H1166" s="61"/>
      <c r="I1166" s="61" t="s">
        <v>1366</v>
      </c>
      <c r="J1166" s="62">
        <v>315</v>
      </c>
      <c r="K1166" s="62">
        <v>350</v>
      </c>
      <c r="L1166" s="62">
        <v>350</v>
      </c>
      <c r="M1166" s="62">
        <v>445</v>
      </c>
      <c r="N1166" s="55" t="s">
        <v>1345</v>
      </c>
      <c r="O1166" s="61" t="s">
        <v>52</v>
      </c>
      <c r="P1166" s="66"/>
      <c r="Q1166" s="66"/>
      <c r="R1166" s="66"/>
      <c r="S1166" s="66"/>
      <c r="T1166" s="66"/>
      <c r="U1166" s="66"/>
      <c r="V1166" s="66"/>
    </row>
    <row r="1167" spans="1:22" s="64" customFormat="1" x14ac:dyDescent="0.25">
      <c r="A1167" s="61" t="s">
        <v>1578</v>
      </c>
      <c r="B1167" s="511" t="s">
        <v>1579</v>
      </c>
      <c r="C1167" s="511"/>
      <c r="D1167" s="511"/>
      <c r="E1167" s="61" t="s">
        <v>1580</v>
      </c>
      <c r="F1167" s="61" t="s">
        <v>389</v>
      </c>
      <c r="G1167" s="61" t="s">
        <v>55</v>
      </c>
      <c r="H1167" s="61"/>
      <c r="I1167" s="61" t="s">
        <v>1366</v>
      </c>
      <c r="J1167" s="62">
        <v>225</v>
      </c>
      <c r="K1167" s="62">
        <v>250</v>
      </c>
      <c r="L1167" s="62">
        <v>250</v>
      </c>
      <c r="M1167" s="62">
        <v>320</v>
      </c>
      <c r="N1167" s="55" t="s">
        <v>1345</v>
      </c>
      <c r="O1167" s="61" t="s">
        <v>52</v>
      </c>
      <c r="P1167" s="66"/>
      <c r="Q1167" s="66"/>
      <c r="R1167" s="66"/>
      <c r="S1167" s="66"/>
      <c r="T1167" s="66"/>
      <c r="U1167" s="66"/>
      <c r="V1167" s="66"/>
    </row>
    <row r="1168" spans="1:22" s="64" customFormat="1" x14ac:dyDescent="0.25">
      <c r="A1168" s="61" t="s">
        <v>1578</v>
      </c>
      <c r="B1168" s="511" t="s">
        <v>1579</v>
      </c>
      <c r="C1168" s="511"/>
      <c r="D1168" s="511"/>
      <c r="E1168" s="61" t="s">
        <v>1580</v>
      </c>
      <c r="F1168" s="61" t="s">
        <v>481</v>
      </c>
      <c r="G1168" s="61" t="s">
        <v>55</v>
      </c>
      <c r="H1168" s="61"/>
      <c r="I1168" s="61" t="s">
        <v>1366</v>
      </c>
      <c r="J1168" s="62">
        <v>225</v>
      </c>
      <c r="K1168" s="62">
        <v>250</v>
      </c>
      <c r="L1168" s="62">
        <v>250</v>
      </c>
      <c r="M1168" s="62">
        <v>320</v>
      </c>
      <c r="N1168" s="55" t="s">
        <v>1345</v>
      </c>
      <c r="O1168" s="61" t="s">
        <v>52</v>
      </c>
      <c r="P1168" s="66"/>
      <c r="Q1168" s="66"/>
      <c r="R1168" s="66"/>
      <c r="S1168" s="66"/>
      <c r="T1168" s="66"/>
      <c r="U1168" s="66"/>
      <c r="V1168" s="66"/>
    </row>
    <row r="1169" spans="1:24" s="64" customFormat="1" x14ac:dyDescent="0.25">
      <c r="A1169" s="61" t="s">
        <v>1578</v>
      </c>
      <c r="B1169" s="511" t="s">
        <v>1416</v>
      </c>
      <c r="C1169" s="511"/>
      <c r="D1169" s="511"/>
      <c r="E1169" s="61" t="s">
        <v>1580</v>
      </c>
      <c r="F1169" s="61" t="s">
        <v>481</v>
      </c>
      <c r="G1169" s="61" t="s">
        <v>55</v>
      </c>
      <c r="H1169" s="61"/>
      <c r="I1169" s="61" t="s">
        <v>1366</v>
      </c>
      <c r="J1169" s="62">
        <v>225</v>
      </c>
      <c r="K1169" s="62">
        <v>250</v>
      </c>
      <c r="L1169" s="62">
        <v>250</v>
      </c>
      <c r="M1169" s="62">
        <v>320</v>
      </c>
      <c r="N1169" s="55" t="s">
        <v>1345</v>
      </c>
      <c r="O1169" s="61" t="s">
        <v>52</v>
      </c>
      <c r="P1169" s="66"/>
      <c r="Q1169" s="66"/>
      <c r="R1169" s="66"/>
      <c r="S1169" s="66"/>
      <c r="T1169" s="66"/>
      <c r="U1169" s="66"/>
      <c r="V1169" s="66"/>
    </row>
    <row r="1170" spans="1:24" s="64" customFormat="1" x14ac:dyDescent="0.25">
      <c r="A1170" s="61" t="s">
        <v>1578</v>
      </c>
      <c r="B1170" s="511" t="s">
        <v>1416</v>
      </c>
      <c r="C1170" s="511"/>
      <c r="D1170" s="511"/>
      <c r="E1170" s="61" t="s">
        <v>1580</v>
      </c>
      <c r="F1170" s="61" t="s">
        <v>58</v>
      </c>
      <c r="G1170" s="61" t="s">
        <v>55</v>
      </c>
      <c r="H1170" s="61"/>
      <c r="I1170" s="61" t="s">
        <v>1366</v>
      </c>
      <c r="J1170" s="62">
        <v>225</v>
      </c>
      <c r="K1170" s="62">
        <v>250</v>
      </c>
      <c r="L1170" s="62">
        <v>250</v>
      </c>
      <c r="M1170" s="62">
        <v>320</v>
      </c>
      <c r="N1170" s="55" t="s">
        <v>1345</v>
      </c>
      <c r="O1170" s="61" t="s">
        <v>52</v>
      </c>
      <c r="P1170" s="66"/>
      <c r="Q1170" s="66"/>
      <c r="R1170" s="66"/>
      <c r="S1170" s="66"/>
      <c r="T1170" s="66"/>
      <c r="U1170" s="66"/>
      <c r="V1170" s="66"/>
    </row>
    <row r="1171" spans="1:24" s="64" customFormat="1" x14ac:dyDescent="0.25">
      <c r="A1171" s="61" t="s">
        <v>1578</v>
      </c>
      <c r="B1171" s="511" t="s">
        <v>1581</v>
      </c>
      <c r="C1171" s="511"/>
      <c r="D1171" s="511"/>
      <c r="E1171" s="61" t="s">
        <v>1430</v>
      </c>
      <c r="F1171" s="61" t="s">
        <v>54</v>
      </c>
      <c r="G1171" s="61" t="s">
        <v>55</v>
      </c>
      <c r="H1171" s="61"/>
      <c r="I1171" s="61" t="s">
        <v>1366</v>
      </c>
      <c r="J1171" s="62">
        <v>675</v>
      </c>
      <c r="K1171" s="62">
        <v>750</v>
      </c>
      <c r="L1171" s="62">
        <v>750</v>
      </c>
      <c r="M1171" s="62">
        <v>950</v>
      </c>
      <c r="N1171" s="55" t="s">
        <v>1345</v>
      </c>
      <c r="O1171" s="61" t="s">
        <v>52</v>
      </c>
      <c r="P1171" s="66"/>
      <c r="Q1171" s="66"/>
      <c r="R1171" s="66"/>
      <c r="S1171" s="66"/>
      <c r="T1171" s="66"/>
      <c r="U1171" s="66"/>
      <c r="V1171" s="66"/>
    </row>
    <row r="1172" spans="1:24" s="64" customFormat="1" x14ac:dyDescent="0.25">
      <c r="A1172" s="61" t="s">
        <v>1582</v>
      </c>
      <c r="B1172" s="511" t="s">
        <v>1583</v>
      </c>
      <c r="C1172" s="511"/>
      <c r="D1172" s="511"/>
      <c r="E1172" s="61" t="s">
        <v>1430</v>
      </c>
      <c r="F1172" s="61" t="s">
        <v>54</v>
      </c>
      <c r="G1172" s="61" t="s">
        <v>55</v>
      </c>
      <c r="H1172" s="61"/>
      <c r="I1172" s="61" t="s">
        <v>1366</v>
      </c>
      <c r="J1172" s="62">
        <v>630</v>
      </c>
      <c r="K1172" s="62">
        <v>700</v>
      </c>
      <c r="L1172" s="62">
        <v>700</v>
      </c>
      <c r="M1172" s="62">
        <v>890</v>
      </c>
      <c r="N1172" s="55" t="s">
        <v>1345</v>
      </c>
      <c r="O1172" s="61" t="s">
        <v>52</v>
      </c>
      <c r="P1172" s="66"/>
      <c r="Q1172" s="66"/>
      <c r="R1172" s="66"/>
      <c r="S1172" s="66"/>
      <c r="T1172" s="66"/>
      <c r="U1172" s="66"/>
      <c r="V1172" s="66"/>
    </row>
    <row r="1173" spans="1:24" s="64" customFormat="1" x14ac:dyDescent="0.25">
      <c r="A1173" s="61" t="s">
        <v>1582</v>
      </c>
      <c r="B1173" s="511" t="s">
        <v>1584</v>
      </c>
      <c r="C1173" s="511"/>
      <c r="D1173" s="511"/>
      <c r="E1173" s="61" t="s">
        <v>1430</v>
      </c>
      <c r="F1173" s="61" t="s">
        <v>54</v>
      </c>
      <c r="G1173" s="61" t="s">
        <v>55</v>
      </c>
      <c r="H1173" s="61"/>
      <c r="I1173" s="61" t="s">
        <v>1366</v>
      </c>
      <c r="J1173" s="62">
        <v>0</v>
      </c>
      <c r="K1173" s="62">
        <v>0</v>
      </c>
      <c r="L1173" s="62">
        <v>0</v>
      </c>
      <c r="M1173" s="62">
        <v>0</v>
      </c>
      <c r="N1173" s="55" t="s">
        <v>1345</v>
      </c>
      <c r="O1173" s="61" t="s">
        <v>52</v>
      </c>
      <c r="P1173" s="66"/>
      <c r="Q1173" s="66"/>
      <c r="R1173" s="66"/>
      <c r="S1173" s="66"/>
      <c r="T1173" s="66"/>
      <c r="U1173" s="66"/>
      <c r="V1173" s="66"/>
    </row>
    <row r="1174" spans="1:24" s="64" customFormat="1" x14ac:dyDescent="0.25">
      <c r="A1174" s="61" t="s">
        <v>1582</v>
      </c>
      <c r="B1174" s="511" t="s">
        <v>1585</v>
      </c>
      <c r="C1174" s="511"/>
      <c r="D1174" s="511"/>
      <c r="E1174" s="61" t="s">
        <v>1431</v>
      </c>
      <c r="F1174" s="61" t="s">
        <v>389</v>
      </c>
      <c r="G1174" s="61" t="s">
        <v>55</v>
      </c>
      <c r="H1174" s="61"/>
      <c r="I1174" s="61" t="s">
        <v>1366</v>
      </c>
      <c r="J1174" s="62">
        <v>10</v>
      </c>
      <c r="K1174" s="62">
        <v>10</v>
      </c>
      <c r="L1174" s="62">
        <v>10</v>
      </c>
      <c r="M1174" s="62">
        <v>15</v>
      </c>
      <c r="N1174" s="55" t="s">
        <v>1345</v>
      </c>
      <c r="O1174" s="61" t="s">
        <v>52</v>
      </c>
      <c r="P1174" s="66"/>
      <c r="Q1174" s="66"/>
      <c r="R1174" s="66"/>
      <c r="S1174" s="66"/>
      <c r="T1174" s="66"/>
      <c r="U1174" s="66"/>
      <c r="V1174" s="66"/>
    </row>
    <row r="1175" spans="1:24" s="64" customFormat="1" x14ac:dyDescent="0.25">
      <c r="A1175" s="61" t="s">
        <v>1582</v>
      </c>
      <c r="B1175" s="511" t="s">
        <v>1586</v>
      </c>
      <c r="C1175" s="511"/>
      <c r="D1175" s="511"/>
      <c r="E1175" s="61" t="s">
        <v>1430</v>
      </c>
      <c r="F1175" s="61" t="s">
        <v>54</v>
      </c>
      <c r="G1175" s="61" t="s">
        <v>55</v>
      </c>
      <c r="H1175" s="61"/>
      <c r="I1175" s="61" t="s">
        <v>1366</v>
      </c>
      <c r="J1175" s="62">
        <v>630</v>
      </c>
      <c r="K1175" s="62">
        <v>700</v>
      </c>
      <c r="L1175" s="62">
        <v>700</v>
      </c>
      <c r="M1175" s="62">
        <v>890</v>
      </c>
      <c r="N1175" s="55" t="s">
        <v>1345</v>
      </c>
      <c r="O1175" s="61" t="s">
        <v>52</v>
      </c>
      <c r="P1175" s="66"/>
      <c r="Q1175" s="66"/>
      <c r="R1175" s="66"/>
      <c r="S1175" s="66"/>
      <c r="T1175" s="66"/>
      <c r="U1175" s="66"/>
      <c r="V1175" s="66"/>
    </row>
    <row r="1176" spans="1:24" s="64" customFormat="1" x14ac:dyDescent="0.25">
      <c r="A1176" s="65"/>
      <c r="B1176" s="511"/>
      <c r="C1176" s="511"/>
      <c r="D1176" s="511"/>
      <c r="E1176" s="61"/>
      <c r="F1176" s="61"/>
      <c r="G1176" s="61"/>
      <c r="H1176" s="61"/>
      <c r="I1176" s="61"/>
      <c r="J1176" s="62"/>
      <c r="K1176" s="62"/>
      <c r="L1176" s="62"/>
      <c r="M1176" s="232"/>
      <c r="N1176" s="55"/>
      <c r="O1176" s="63"/>
      <c r="P1176" s="66"/>
      <c r="Q1176" s="66"/>
      <c r="R1176" s="66"/>
      <c r="S1176" s="66"/>
      <c r="T1176" s="66"/>
      <c r="U1176" s="66"/>
      <c r="V1176" s="66"/>
      <c r="W1176" s="66"/>
    </row>
    <row r="1177" spans="1:24" s="64" customFormat="1" x14ac:dyDescent="0.25">
      <c r="A1177" s="65"/>
      <c r="B1177" s="511"/>
      <c r="C1177" s="511"/>
      <c r="D1177" s="511"/>
      <c r="E1177" s="61"/>
      <c r="F1177" s="61"/>
      <c r="G1177" s="61"/>
      <c r="H1177" s="61"/>
      <c r="I1177" s="61"/>
      <c r="J1177" s="62"/>
      <c r="K1177" s="62"/>
      <c r="L1177" s="62"/>
      <c r="M1177" s="232"/>
      <c r="N1177" s="55"/>
      <c r="O1177" s="63"/>
      <c r="P1177" s="200"/>
      <c r="Q1177" s="200"/>
      <c r="R1177" s="200"/>
      <c r="S1177" s="200"/>
      <c r="T1177" s="200"/>
      <c r="U1177" s="66"/>
      <c r="V1177" s="66"/>
      <c r="W1177" s="66"/>
    </row>
    <row r="1178" spans="1:24" s="64" customFormat="1" ht="13.8" thickBot="1" x14ac:dyDescent="0.3">
      <c r="A1178" s="127"/>
      <c r="B1178" s="595"/>
      <c r="C1178" s="595"/>
      <c r="D1178" s="595"/>
      <c r="E1178" s="195"/>
      <c r="F1178" s="195"/>
      <c r="G1178" s="195"/>
      <c r="H1178" s="195"/>
      <c r="I1178" s="195"/>
      <c r="J1178" s="233"/>
      <c r="K1178" s="342"/>
      <c r="L1178" s="342"/>
      <c r="M1178" s="234"/>
      <c r="N1178" s="148"/>
      <c r="O1178" s="129"/>
      <c r="P1178" s="200"/>
      <c r="Q1178" s="200"/>
      <c r="R1178" s="200"/>
      <c r="S1178" s="200"/>
      <c r="T1178" s="200"/>
      <c r="U1178" s="66"/>
      <c r="V1178" s="66"/>
      <c r="W1178" s="66"/>
    </row>
    <row r="1179" spans="1:24" x14ac:dyDescent="0.25">
      <c r="A1179" s="199"/>
      <c r="B1179" s="199"/>
      <c r="E1179" s="199"/>
      <c r="J1179" s="199"/>
      <c r="K1179" s="199"/>
      <c r="L1179" s="199"/>
      <c r="M1179" s="199"/>
      <c r="O1179" s="199"/>
      <c r="P1179" s="177"/>
      <c r="Q1179" s="177"/>
      <c r="R1179" s="177"/>
      <c r="S1179" s="177"/>
      <c r="T1179" s="177"/>
      <c r="U1179" s="177"/>
      <c r="V1179" s="199"/>
      <c r="W1179" s="199"/>
      <c r="X1179" s="199"/>
    </row>
    <row r="1180" spans="1:24" ht="13.8" thickBot="1" x14ac:dyDescent="0.3">
      <c r="A1180" s="142"/>
      <c r="B1180" s="142"/>
      <c r="C1180" s="142"/>
      <c r="D1180" s="142"/>
      <c r="E1180" s="142"/>
      <c r="F1180" s="142"/>
      <c r="G1180" s="142"/>
      <c r="H1180" s="142"/>
      <c r="J1180" s="199"/>
      <c r="K1180" s="199"/>
      <c r="L1180" s="199"/>
      <c r="M1180" s="199"/>
      <c r="N1180" s="199"/>
      <c r="O1180" s="199"/>
      <c r="P1180" s="199"/>
      <c r="Q1180" s="199"/>
      <c r="R1180" s="199"/>
      <c r="S1180" s="199"/>
      <c r="T1180" s="199"/>
      <c r="U1180" s="199"/>
      <c r="V1180" s="199"/>
      <c r="W1180" s="177"/>
    </row>
    <row r="1181" spans="1:24" ht="13.8" thickBot="1" x14ac:dyDescent="0.3">
      <c r="A1181" s="501" t="s">
        <v>34</v>
      </c>
      <c r="B1181" s="570"/>
      <c r="C1181" s="571"/>
      <c r="D1181" s="235"/>
      <c r="E1181" s="198"/>
      <c r="F1181" s="198"/>
      <c r="G1181" s="198"/>
      <c r="H1181" s="198"/>
      <c r="I1181" s="177"/>
      <c r="J1181" s="177"/>
      <c r="K1181" s="177"/>
      <c r="L1181" s="177"/>
      <c r="M1181" s="177"/>
      <c r="N1181" s="199"/>
      <c r="O1181" s="199"/>
      <c r="P1181" s="199"/>
      <c r="Q1181" s="199"/>
      <c r="R1181" s="199"/>
      <c r="S1181" s="199"/>
      <c r="T1181" s="199"/>
      <c r="U1181" s="199"/>
      <c r="V1181" s="199"/>
      <c r="W1181" s="177"/>
    </row>
    <row r="1182" spans="1:24" ht="13.8" thickBot="1" x14ac:dyDescent="0.3">
      <c r="A1182" s="582" t="s">
        <v>556</v>
      </c>
      <c r="B1182" s="583"/>
      <c r="C1182" s="584"/>
      <c r="D1182" s="139"/>
      <c r="E1182" s="139"/>
      <c r="F1182" s="139"/>
      <c r="G1182" s="139"/>
      <c r="H1182" s="140"/>
      <c r="I1182" s="140"/>
      <c r="J1182" s="139"/>
      <c r="K1182" s="140"/>
      <c r="L1182" s="139"/>
      <c r="M1182" s="177"/>
      <c r="N1182" s="199"/>
      <c r="O1182" s="199"/>
      <c r="P1182" s="199"/>
      <c r="Q1182" s="199"/>
      <c r="R1182" s="199"/>
      <c r="S1182" s="199"/>
      <c r="T1182" s="199"/>
      <c r="U1182" s="199"/>
      <c r="V1182" s="199"/>
      <c r="W1182" s="177"/>
    </row>
    <row r="1183" spans="1:24" x14ac:dyDescent="0.25">
      <c r="A1183" s="211" t="s">
        <v>30</v>
      </c>
      <c r="B1183" s="156"/>
      <c r="C1183" s="213" t="s">
        <v>149</v>
      </c>
      <c r="D1183" s="213"/>
      <c r="E1183" s="214"/>
      <c r="F1183" s="214"/>
      <c r="G1183" s="214"/>
      <c r="H1183" s="215"/>
      <c r="I1183" s="215"/>
      <c r="J1183" s="214"/>
      <c r="K1183" s="215"/>
      <c r="L1183" s="236"/>
      <c r="M1183" s="177"/>
      <c r="N1183" s="199"/>
      <c r="O1183" s="199"/>
      <c r="P1183" s="199"/>
      <c r="Q1183" s="199"/>
      <c r="R1183" s="199"/>
      <c r="S1183" s="199"/>
      <c r="T1183" s="199"/>
      <c r="U1183" s="199"/>
      <c r="V1183" s="199"/>
      <c r="W1183" s="177"/>
    </row>
    <row r="1184" spans="1:24" x14ac:dyDescent="0.25">
      <c r="A1184" s="163" t="s">
        <v>35</v>
      </c>
      <c r="B1184" s="219"/>
      <c r="C1184" s="219"/>
      <c r="D1184" s="219"/>
      <c r="E1184" s="219"/>
      <c r="F1184" s="219"/>
      <c r="G1184" s="219"/>
      <c r="H1184" s="220"/>
      <c r="I1184" s="220"/>
      <c r="J1184" s="219"/>
      <c r="K1184" s="220"/>
      <c r="L1184" s="237"/>
      <c r="M1184" s="177"/>
      <c r="N1184" s="199"/>
      <c r="O1184" s="199"/>
      <c r="P1184" s="199"/>
      <c r="Q1184" s="199"/>
      <c r="R1184" s="199"/>
      <c r="S1184" s="199"/>
      <c r="T1184" s="199"/>
      <c r="U1184" s="199"/>
      <c r="V1184" s="199"/>
      <c r="W1184" s="177"/>
    </row>
    <row r="1185" spans="1:23" x14ac:dyDescent="0.25">
      <c r="A1185" s="163" t="s">
        <v>166</v>
      </c>
      <c r="B1185" s="219"/>
      <c r="C1185" s="219"/>
      <c r="D1185" s="219"/>
      <c r="E1185" s="219"/>
      <c r="F1185" s="219"/>
      <c r="G1185" s="219"/>
      <c r="H1185" s="220"/>
      <c r="I1185" s="220"/>
      <c r="J1185" s="219"/>
      <c r="K1185" s="220"/>
      <c r="L1185" s="237"/>
      <c r="M1185" s="177"/>
      <c r="N1185" s="199"/>
      <c r="O1185" s="199"/>
      <c r="P1185" s="199"/>
      <c r="Q1185" s="199"/>
      <c r="R1185" s="199"/>
      <c r="S1185" s="199"/>
      <c r="T1185" s="199"/>
      <c r="U1185" s="199"/>
      <c r="V1185" s="199"/>
      <c r="W1185" s="177"/>
    </row>
    <row r="1186" spans="1:23" x14ac:dyDescent="0.25">
      <c r="A1186" s="163" t="s">
        <v>861</v>
      </c>
      <c r="B1186" s="219"/>
      <c r="C1186" s="219"/>
      <c r="D1186" s="219"/>
      <c r="E1186" s="219"/>
      <c r="F1186" s="219"/>
      <c r="G1186" s="219"/>
      <c r="H1186" s="220"/>
      <c r="I1186" s="220"/>
      <c r="J1186" s="219"/>
      <c r="K1186" s="220"/>
      <c r="L1186" s="237"/>
      <c r="M1186" s="177"/>
      <c r="N1186" s="199"/>
      <c r="O1186" s="199"/>
      <c r="P1186" s="199"/>
      <c r="Q1186" s="199"/>
      <c r="R1186" s="199"/>
      <c r="S1186" s="199"/>
      <c r="T1186" s="199"/>
      <c r="U1186" s="199"/>
      <c r="V1186" s="199"/>
      <c r="W1186" s="177"/>
    </row>
    <row r="1187" spans="1:23" ht="13.8" thickBot="1" x14ac:dyDescent="0.3">
      <c r="A1187" s="137" t="s">
        <v>862</v>
      </c>
      <c r="B1187" s="224"/>
      <c r="C1187" s="224"/>
      <c r="D1187" s="224"/>
      <c r="E1187" s="224"/>
      <c r="F1187" s="224"/>
      <c r="G1187" s="224"/>
      <c r="H1187" s="225"/>
      <c r="I1187" s="225"/>
      <c r="J1187" s="224"/>
      <c r="K1187" s="225"/>
      <c r="L1187" s="238"/>
      <c r="M1187" s="177"/>
      <c r="N1187" s="199"/>
      <c r="O1187" s="199"/>
      <c r="P1187" s="199"/>
      <c r="Q1187" s="199"/>
      <c r="R1187" s="199"/>
      <c r="S1187" s="199"/>
      <c r="T1187" s="199"/>
      <c r="U1187" s="199"/>
      <c r="V1187" s="199"/>
      <c r="W1187" s="177"/>
    </row>
    <row r="1188" spans="1:23" ht="13.8" thickBot="1" x14ac:dyDescent="0.3">
      <c r="A1188" s="239"/>
      <c r="E1188" s="139"/>
      <c r="F1188" s="139"/>
      <c r="G1188" s="139"/>
      <c r="H1188" s="140"/>
      <c r="I1188" s="142"/>
      <c r="J1188" s="139"/>
      <c r="K1188" s="140"/>
      <c r="L1188" s="139"/>
      <c r="M1188" s="177"/>
      <c r="N1188" s="199"/>
      <c r="O1188" s="199"/>
      <c r="P1188" s="199"/>
      <c r="Q1188" s="199"/>
      <c r="R1188" s="177"/>
      <c r="V1188" s="240"/>
      <c r="W1188" s="240"/>
    </row>
    <row r="1189" spans="1:23" s="181" customFormat="1" ht="27" thickBot="1" x14ac:dyDescent="0.3">
      <c r="A1189" s="229" t="s">
        <v>31</v>
      </c>
      <c r="B1189" s="505" t="s">
        <v>13</v>
      </c>
      <c r="C1189" s="505"/>
      <c r="D1189" s="506"/>
      <c r="E1189" s="54" t="s">
        <v>12</v>
      </c>
      <c r="F1189" s="54" t="s">
        <v>14</v>
      </c>
      <c r="G1189" s="54" t="s">
        <v>262</v>
      </c>
      <c r="H1189" s="54" t="s">
        <v>32</v>
      </c>
      <c r="I1189" s="54" t="s">
        <v>16</v>
      </c>
      <c r="J1189" s="54" t="s">
        <v>17</v>
      </c>
      <c r="K1189" s="54" t="s">
        <v>18</v>
      </c>
      <c r="L1189" s="54" t="s">
        <v>19</v>
      </c>
      <c r="M1189" s="54" t="s">
        <v>20</v>
      </c>
      <c r="N1189" s="230" t="s">
        <v>117</v>
      </c>
      <c r="O1189" s="54" t="s">
        <v>90</v>
      </c>
      <c r="P1189" s="231" t="s">
        <v>722</v>
      </c>
      <c r="W1189" s="241"/>
    </row>
    <row r="1190" spans="1:23" s="64" customFormat="1" x14ac:dyDescent="0.25">
      <c r="A1190" s="336"/>
      <c r="B1190" s="543"/>
      <c r="C1190" s="543"/>
      <c r="D1190" s="543"/>
      <c r="E1190" s="337"/>
      <c r="F1190" s="337"/>
      <c r="G1190" s="337"/>
      <c r="H1190" s="337"/>
      <c r="I1190" s="337"/>
      <c r="J1190" s="346"/>
      <c r="K1190" s="346"/>
      <c r="L1190" s="346"/>
      <c r="M1190" s="346"/>
      <c r="N1190" s="347"/>
      <c r="O1190" s="337"/>
      <c r="P1190" s="366"/>
      <c r="Q1190" s="66"/>
      <c r="R1190" s="66"/>
      <c r="S1190" s="66"/>
      <c r="T1190" s="66"/>
      <c r="U1190" s="66"/>
      <c r="V1190" s="66"/>
      <c r="W1190" s="200"/>
    </row>
    <row r="1191" spans="1:23" s="64" customFormat="1" x14ac:dyDescent="0.25">
      <c r="A1191" s="65"/>
      <c r="B1191" s="511"/>
      <c r="C1191" s="511"/>
      <c r="D1191" s="511"/>
      <c r="E1191" s="61"/>
      <c r="F1191" s="61"/>
      <c r="G1191" s="61"/>
      <c r="H1191" s="61"/>
      <c r="I1191" s="61"/>
      <c r="J1191" s="188"/>
      <c r="K1191" s="188"/>
      <c r="L1191" s="188"/>
      <c r="M1191" s="188"/>
      <c r="N1191" s="55"/>
      <c r="O1191" s="61"/>
      <c r="P1191" s="63"/>
      <c r="Q1191" s="66"/>
      <c r="R1191" s="66"/>
      <c r="S1191" s="66"/>
      <c r="T1191" s="66"/>
      <c r="U1191" s="66"/>
      <c r="V1191" s="66"/>
      <c r="W1191" s="200"/>
    </row>
    <row r="1192" spans="1:23" s="64" customFormat="1" x14ac:dyDescent="0.25">
      <c r="A1192" s="65"/>
      <c r="B1192" s="511"/>
      <c r="C1192" s="511"/>
      <c r="D1192" s="511"/>
      <c r="E1192" s="61"/>
      <c r="F1192" s="61"/>
      <c r="G1192" s="61"/>
      <c r="H1192" s="61"/>
      <c r="I1192" s="61"/>
      <c r="J1192" s="188"/>
      <c r="K1192" s="188"/>
      <c r="L1192" s="188"/>
      <c r="M1192" s="188"/>
      <c r="N1192" s="55"/>
      <c r="O1192" s="61"/>
      <c r="P1192" s="63"/>
      <c r="Q1192" s="66"/>
      <c r="R1192" s="66"/>
      <c r="S1192" s="66"/>
      <c r="T1192" s="66"/>
      <c r="U1192" s="66"/>
      <c r="V1192" s="66"/>
      <c r="W1192" s="200"/>
    </row>
    <row r="1193" spans="1:23" s="64" customFormat="1" ht="13.8" thickBot="1" x14ac:dyDescent="0.3">
      <c r="A1193" s="127"/>
      <c r="B1193" s="595"/>
      <c r="C1193" s="595"/>
      <c r="D1193" s="595"/>
      <c r="E1193" s="195"/>
      <c r="F1193" s="195"/>
      <c r="G1193" s="195"/>
      <c r="H1193" s="195"/>
      <c r="I1193" s="195"/>
      <c r="J1193" s="194"/>
      <c r="K1193" s="194"/>
      <c r="L1193" s="194"/>
      <c r="M1193" s="194"/>
      <c r="N1193" s="148"/>
      <c r="O1193" s="193"/>
      <c r="P1193" s="197"/>
      <c r="Q1193" s="66"/>
      <c r="R1193" s="66"/>
      <c r="S1193" s="66"/>
      <c r="T1193" s="66"/>
      <c r="U1193" s="66"/>
      <c r="V1193" s="66"/>
      <c r="W1193" s="200"/>
    </row>
    <row r="1194" spans="1:23" ht="13.8" thickBot="1" x14ac:dyDescent="0.3">
      <c r="A1194" s="198"/>
      <c r="B1194" s="198"/>
      <c r="C1194" s="198"/>
      <c r="D1194" s="198"/>
      <c r="E1194" s="198"/>
      <c r="F1194" s="198"/>
      <c r="G1194" s="198"/>
      <c r="H1194" s="177"/>
      <c r="I1194" s="177"/>
      <c r="J1194" s="177"/>
      <c r="K1194" s="177"/>
      <c r="L1194" s="177"/>
      <c r="M1194" s="199"/>
      <c r="N1194" s="199"/>
      <c r="O1194" s="199"/>
      <c r="P1194" s="199"/>
      <c r="Q1194" s="199"/>
      <c r="R1194" s="199"/>
      <c r="S1194" s="199"/>
      <c r="T1194" s="199"/>
      <c r="U1194" s="199"/>
      <c r="V1194" s="177"/>
    </row>
    <row r="1195" spans="1:23" ht="13.8" thickBot="1" x14ac:dyDescent="0.3">
      <c r="A1195" s="501" t="s">
        <v>36</v>
      </c>
      <c r="B1195" s="502"/>
      <c r="C1195" s="502"/>
      <c r="D1195" s="502"/>
      <c r="E1195" s="502"/>
      <c r="F1195" s="502"/>
      <c r="G1195" s="502"/>
      <c r="H1195" s="502"/>
      <c r="I1195" s="503"/>
      <c r="K1195" s="177"/>
      <c r="L1195" s="199"/>
      <c r="M1195" s="199"/>
      <c r="N1195" s="199"/>
      <c r="O1195" s="199"/>
      <c r="P1195" s="199"/>
      <c r="Q1195" s="199"/>
      <c r="R1195" s="199"/>
      <c r="S1195" s="177"/>
      <c r="T1195" s="177"/>
      <c r="U1195" s="177"/>
    </row>
    <row r="1196" spans="1:23" ht="13.8" thickBot="1" x14ac:dyDescent="0.3">
      <c r="A1196" s="596" t="s">
        <v>37</v>
      </c>
      <c r="B1196" s="597"/>
      <c r="C1196" s="597"/>
      <c r="D1196" s="597"/>
      <c r="E1196" s="597"/>
      <c r="F1196" s="597"/>
      <c r="G1196" s="597"/>
      <c r="H1196" s="597"/>
      <c r="I1196" s="598"/>
      <c r="J1196" s="140"/>
      <c r="K1196" s="177"/>
      <c r="L1196" s="199"/>
      <c r="M1196" s="199"/>
      <c r="N1196" s="199"/>
      <c r="O1196" s="199"/>
      <c r="P1196" s="199"/>
      <c r="Q1196" s="199"/>
      <c r="R1196" s="199"/>
      <c r="S1196" s="177"/>
      <c r="T1196" s="177"/>
      <c r="U1196" s="177"/>
    </row>
    <row r="1197" spans="1:23" s="335" customFormat="1" ht="15.75" customHeight="1" thickBot="1" x14ac:dyDescent="0.3">
      <c r="A1197" s="384" t="s">
        <v>280</v>
      </c>
      <c r="B1197" s="544" t="s">
        <v>971</v>
      </c>
      <c r="C1197" s="545"/>
      <c r="D1197" s="545"/>
      <c r="E1197" s="545"/>
      <c r="F1197" s="545"/>
      <c r="G1197" s="545"/>
      <c r="H1197" s="545"/>
      <c r="I1197" s="546"/>
      <c r="J1197" s="370"/>
      <c r="K1197" s="371"/>
      <c r="L1197" s="338"/>
      <c r="M1197" s="338"/>
      <c r="N1197" s="338"/>
      <c r="O1197" s="338"/>
      <c r="P1197" s="338"/>
      <c r="Q1197" s="338"/>
      <c r="R1197" s="338"/>
      <c r="S1197" s="371"/>
      <c r="T1197" s="371"/>
      <c r="U1197" s="371"/>
    </row>
    <row r="1198" spans="1:23" s="335" customFormat="1" ht="15.75" customHeight="1" thickBot="1" x14ac:dyDescent="0.3">
      <c r="A1198" s="384" t="s">
        <v>1231</v>
      </c>
      <c r="B1198" s="544" t="s">
        <v>1232</v>
      </c>
      <c r="C1198" s="545"/>
      <c r="D1198" s="545"/>
      <c r="E1198" s="545"/>
      <c r="F1198" s="545"/>
      <c r="G1198" s="545"/>
      <c r="H1198" s="545"/>
      <c r="I1198" s="546"/>
      <c r="J1198" s="370"/>
      <c r="K1198" s="371"/>
      <c r="L1198" s="338"/>
      <c r="M1198" s="338"/>
      <c r="N1198" s="338"/>
      <c r="O1198" s="338"/>
      <c r="P1198" s="338"/>
      <c r="Q1198" s="338"/>
      <c r="R1198" s="338"/>
      <c r="S1198" s="371"/>
      <c r="T1198" s="371"/>
      <c r="U1198" s="371"/>
    </row>
    <row r="1199" spans="1:23" ht="13.8" thickBot="1" x14ac:dyDescent="0.3">
      <c r="A1199" s="239"/>
      <c r="J1199" s="199"/>
      <c r="K1199" s="177"/>
      <c r="L1199" s="199"/>
      <c r="M1199" s="199"/>
      <c r="N1199" s="199"/>
      <c r="O1199" s="199"/>
      <c r="P1199" s="199"/>
      <c r="Q1199" s="177"/>
    </row>
    <row r="1200" spans="1:23" ht="16.5" customHeight="1" thickBot="1" x14ac:dyDescent="0.3">
      <c r="A1200" s="593" t="s">
        <v>203</v>
      </c>
      <c r="B1200" s="594"/>
      <c r="C1200" s="594"/>
      <c r="D1200" s="594"/>
      <c r="E1200" s="594"/>
      <c r="F1200" s="594"/>
      <c r="G1200" s="594"/>
      <c r="H1200" s="578" t="s">
        <v>215</v>
      </c>
      <c r="I1200" s="576" t="s">
        <v>558</v>
      </c>
      <c r="J1200" s="576" t="s">
        <v>204</v>
      </c>
      <c r="K1200" s="576" t="s">
        <v>23</v>
      </c>
      <c r="L1200" s="576" t="s">
        <v>286</v>
      </c>
      <c r="M1200" s="580" t="s">
        <v>81</v>
      </c>
      <c r="N1200" s="199"/>
      <c r="O1200" s="177"/>
      <c r="Q1200" s="240"/>
      <c r="R1200" s="240"/>
    </row>
    <row r="1201" spans="1:18" s="141" customFormat="1" ht="13.8" thickBot="1" x14ac:dyDescent="0.3">
      <c r="A1201" s="585" t="s">
        <v>1648</v>
      </c>
      <c r="B1201" s="586"/>
      <c r="C1201" s="586"/>
      <c r="D1201" s="586"/>
      <c r="E1201" s="586"/>
      <c r="F1201" s="586"/>
      <c r="G1201" s="587"/>
      <c r="H1201" s="579"/>
      <c r="I1201" s="577"/>
      <c r="J1201" s="577"/>
      <c r="K1201" s="577"/>
      <c r="L1201" s="577"/>
      <c r="M1201" s="581"/>
      <c r="N1201" s="242"/>
      <c r="O1201" s="242"/>
      <c r="P1201" s="242"/>
      <c r="Q1201" s="242"/>
      <c r="R1201" s="242"/>
    </row>
    <row r="1202" spans="1:18" s="141" customFormat="1" ht="15.75" customHeight="1" thickBot="1" x14ac:dyDescent="0.3">
      <c r="A1202" s="588" t="s">
        <v>1329</v>
      </c>
      <c r="B1202" s="589"/>
      <c r="C1202" s="589"/>
      <c r="D1202" s="589"/>
      <c r="E1202" s="589"/>
      <c r="F1202" s="589"/>
      <c r="G1202" s="590"/>
      <c r="H1202" s="579"/>
      <c r="I1202" s="577"/>
      <c r="J1202" s="577"/>
      <c r="K1202" s="577"/>
      <c r="L1202" s="577"/>
      <c r="M1202" s="581"/>
      <c r="N1202" s="242"/>
      <c r="O1202" s="242"/>
      <c r="P1202" s="242"/>
      <c r="Q1202" s="242"/>
      <c r="R1202" s="242"/>
    </row>
    <row r="1203" spans="1:18" s="64" customFormat="1" ht="15.75" customHeight="1" x14ac:dyDescent="0.25">
      <c r="A1203" s="373" t="s">
        <v>97</v>
      </c>
      <c r="B1203" s="543" t="str">
        <f>IF($A1203="","",VLOOKUP($A1203,Listes!$A$3:$C$230,2,FALSE))</f>
        <v>Alameda Corridor Surcharge import</v>
      </c>
      <c r="C1203" s="543"/>
      <c r="D1203" s="543"/>
      <c r="E1203" s="542" t="s">
        <v>52</v>
      </c>
      <c r="F1203" s="542"/>
      <c r="G1203" s="542"/>
      <c r="H1203" s="374"/>
      <c r="I1203" s="375"/>
      <c r="J1203" s="375"/>
      <c r="K1203" s="375"/>
      <c r="L1203" s="375"/>
      <c r="M1203" s="376"/>
      <c r="N1203" s="66"/>
      <c r="O1203" s="66"/>
      <c r="P1203" s="66"/>
      <c r="Q1203" s="66"/>
      <c r="R1203" s="200"/>
    </row>
    <row r="1204" spans="1:18" s="64" customFormat="1" ht="15.75" customHeight="1" x14ac:dyDescent="0.25">
      <c r="A1204" s="377" t="s">
        <v>221</v>
      </c>
      <c r="B1204" s="511" t="str">
        <f>IF($A1204="","",VLOOKUP($A1204,Listes!$A$3:$C$230,2,FALSE))</f>
        <v>Bunker Adjustment Factor</v>
      </c>
      <c r="C1204" s="511"/>
      <c r="D1204" s="511"/>
      <c r="E1204" s="541" t="s">
        <v>52</v>
      </c>
      <c r="F1204" s="541"/>
      <c r="G1204" s="541"/>
      <c r="H1204" s="378"/>
      <c r="I1204" s="345"/>
      <c r="J1204" s="345"/>
      <c r="K1204" s="345"/>
      <c r="L1204" s="345" t="s">
        <v>1589</v>
      </c>
      <c r="M1204" s="379"/>
      <c r="N1204" s="66"/>
      <c r="O1204" s="66"/>
      <c r="P1204" s="66"/>
      <c r="Q1204" s="66"/>
      <c r="R1204" s="200"/>
    </row>
    <row r="1205" spans="1:18" s="64" customFormat="1" ht="15.75" customHeight="1" x14ac:dyDescent="0.25">
      <c r="A1205" s="377" t="s">
        <v>221</v>
      </c>
      <c r="B1205" s="511" t="str">
        <f>IF($A1205="","",VLOOKUP($A1205,Listes!$A$3:$C$230,2,FALSE))</f>
        <v>Bunker Adjustment Factor</v>
      </c>
      <c r="C1205" s="511"/>
      <c r="D1205" s="511"/>
      <c r="E1205" s="541" t="s">
        <v>52</v>
      </c>
      <c r="F1205" s="541"/>
      <c r="G1205" s="541"/>
      <c r="H1205" s="378"/>
      <c r="I1205" s="345"/>
      <c r="J1205" s="345"/>
      <c r="K1205" s="345"/>
      <c r="L1205" s="345"/>
      <c r="M1205" s="379"/>
      <c r="N1205" s="66"/>
      <c r="O1205" s="66"/>
      <c r="P1205" s="66"/>
      <c r="Q1205" s="66"/>
      <c r="R1205" s="200"/>
    </row>
    <row r="1206" spans="1:18" s="64" customFormat="1" ht="15.75" customHeight="1" x14ac:dyDescent="0.25">
      <c r="A1206" s="377" t="s">
        <v>951</v>
      </c>
      <c r="B1206" s="511" t="str">
        <f>IF($A1206="","",VLOOKUP($A1206,Listes!$A$3:$C$230,2,FALSE))</f>
        <v>Chassis Administration Fee On-Carriage</v>
      </c>
      <c r="C1206" s="511"/>
      <c r="D1206" s="511"/>
      <c r="E1206" s="541" t="s">
        <v>50</v>
      </c>
      <c r="F1206" s="541"/>
      <c r="G1206" s="541"/>
      <c r="H1206" s="378"/>
      <c r="I1206" s="345"/>
      <c r="J1206" s="345"/>
      <c r="K1206" s="345"/>
      <c r="L1206" s="345"/>
      <c r="M1206" s="379"/>
      <c r="N1206" s="66"/>
      <c r="O1206" s="66"/>
      <c r="P1206" s="66"/>
      <c r="Q1206" s="66"/>
      <c r="R1206" s="200"/>
    </row>
    <row r="1207" spans="1:18" s="64" customFormat="1" ht="15.75" customHeight="1" x14ac:dyDescent="0.25">
      <c r="A1207" s="377" t="s">
        <v>493</v>
      </c>
      <c r="B1207" s="511" t="str">
        <f>IF($A1207="","",VLOOKUP($A1207,Listes!$A$3:$C$230,2,FALSE))</f>
        <v>Chassis Provision Charge</v>
      </c>
      <c r="C1207" s="511"/>
      <c r="D1207" s="511"/>
      <c r="E1207" s="541" t="s">
        <v>50</v>
      </c>
      <c r="F1207" s="541"/>
      <c r="G1207" s="541"/>
      <c r="H1207" s="378"/>
      <c r="I1207" s="345"/>
      <c r="J1207" s="345"/>
      <c r="K1207" s="345"/>
      <c r="L1207" s="345"/>
      <c r="M1207" s="379"/>
      <c r="N1207" s="66"/>
      <c r="O1207" s="66"/>
      <c r="P1207" s="66"/>
      <c r="Q1207" s="66"/>
      <c r="R1207" s="200"/>
    </row>
    <row r="1208" spans="1:18" s="64" customFormat="1" ht="15.75" customHeight="1" x14ac:dyDescent="0.25">
      <c r="A1208" s="377" t="s">
        <v>249</v>
      </c>
      <c r="B1208" s="511" t="str">
        <f>IF($A1208="","",VLOOKUP($A1208,Listes!$A$3:$C$230,2,FALSE))</f>
        <v>Carrier Security Charge</v>
      </c>
      <c r="C1208" s="511"/>
      <c r="D1208" s="511"/>
      <c r="E1208" s="541" t="s">
        <v>50</v>
      </c>
      <c r="F1208" s="541"/>
      <c r="G1208" s="541"/>
      <c r="H1208" s="378"/>
      <c r="I1208" s="345"/>
      <c r="J1208" s="345"/>
      <c r="K1208" s="345"/>
      <c r="L1208" s="345"/>
      <c r="M1208" s="379"/>
      <c r="N1208" s="66"/>
      <c r="O1208" s="66"/>
      <c r="P1208" s="66"/>
      <c r="Q1208" s="66"/>
      <c r="R1208" s="200"/>
    </row>
    <row r="1209" spans="1:18" s="64" customFormat="1" ht="15.75" customHeight="1" x14ac:dyDescent="0.25">
      <c r="A1209" s="377" t="s">
        <v>1049</v>
      </c>
      <c r="B1209" s="511" t="str">
        <f>IF($A1209="","",VLOOKUP($A1209,Listes!$A$3:$C$230,2,FALSE))</f>
        <v>Container Maintenance Charge Destination</v>
      </c>
      <c r="C1209" s="511"/>
      <c r="D1209" s="511"/>
      <c r="E1209" s="541" t="s">
        <v>50</v>
      </c>
      <c r="F1209" s="541"/>
      <c r="G1209" s="541"/>
      <c r="H1209" s="378"/>
      <c r="I1209" s="345"/>
      <c r="J1209" s="345"/>
      <c r="K1209" s="345"/>
      <c r="L1209" s="345"/>
      <c r="M1209" s="379"/>
      <c r="N1209" s="66"/>
      <c r="O1209" s="66"/>
      <c r="P1209" s="66"/>
      <c r="Q1209" s="66"/>
      <c r="R1209" s="200"/>
    </row>
    <row r="1210" spans="1:18" s="64" customFormat="1" ht="15.75" customHeight="1" x14ac:dyDescent="0.25">
      <c r="A1210" s="377" t="s">
        <v>219</v>
      </c>
      <c r="B1210" s="511" t="str">
        <f>IF($A1210="","",VLOOKUP($A1210,Listes!$A$3:$C$230,2,FALSE))</f>
        <v>Destination THC / Destination Receiving Charge</v>
      </c>
      <c r="C1210" s="511"/>
      <c r="D1210" s="511"/>
      <c r="E1210" s="541" t="s">
        <v>52</v>
      </c>
      <c r="F1210" s="541"/>
      <c r="G1210" s="541"/>
      <c r="H1210" s="378"/>
      <c r="I1210" s="345"/>
      <c r="J1210" s="345"/>
      <c r="K1210" s="345"/>
      <c r="L1210" s="345"/>
      <c r="M1210" s="379"/>
      <c r="N1210" s="66"/>
      <c r="O1210" s="66"/>
      <c r="P1210" s="66"/>
      <c r="Q1210" s="66"/>
      <c r="R1210" s="200"/>
    </row>
    <row r="1211" spans="1:18" s="64" customFormat="1" ht="15.75" customHeight="1" x14ac:dyDescent="0.25">
      <c r="A1211" s="377" t="s">
        <v>780</v>
      </c>
      <c r="B1211" s="511" t="str">
        <f>IF($A1211="","",VLOOKUP($A1211,Listes!$A$3:$C$230,2,FALSE))</f>
        <v>Export Documentation Fees - Carrier</v>
      </c>
      <c r="C1211" s="511"/>
      <c r="D1211" s="511"/>
      <c r="E1211" s="541" t="s">
        <v>50</v>
      </c>
      <c r="F1211" s="541"/>
      <c r="G1211" s="541"/>
      <c r="H1211" s="378"/>
      <c r="I1211" s="345"/>
      <c r="J1211" s="345"/>
      <c r="K1211" s="345"/>
      <c r="L1211" s="345"/>
      <c r="M1211" s="379"/>
      <c r="N1211" s="66"/>
      <c r="O1211" s="66"/>
      <c r="P1211" s="66"/>
      <c r="Q1211" s="66"/>
      <c r="R1211" s="200"/>
    </row>
    <row r="1212" spans="1:18" s="64" customFormat="1" ht="15.75" customHeight="1" x14ac:dyDescent="0.25">
      <c r="A1212" s="377" t="s">
        <v>763</v>
      </c>
      <c r="B1212" s="511" t="str">
        <f>IF($A1212="","",VLOOKUP($A1212,Listes!$A$3:$C$230,2,FALSE))</f>
        <v>Export Declaration Surcharge</v>
      </c>
      <c r="C1212" s="511"/>
      <c r="D1212" s="511"/>
      <c r="E1212" s="541" t="s">
        <v>50</v>
      </c>
      <c r="F1212" s="541"/>
      <c r="G1212" s="541"/>
      <c r="H1212" s="378"/>
      <c r="I1212" s="345"/>
      <c r="J1212" s="345"/>
      <c r="K1212" s="345"/>
      <c r="L1212" s="345"/>
      <c r="M1212" s="379"/>
      <c r="N1212" s="66"/>
      <c r="O1212" s="66"/>
      <c r="P1212" s="66"/>
      <c r="Q1212" s="66"/>
      <c r="R1212" s="200"/>
    </row>
    <row r="1213" spans="1:18" s="64" customFormat="1" ht="15.75" customHeight="1" x14ac:dyDescent="0.25">
      <c r="A1213" s="377" t="s">
        <v>1093</v>
      </c>
      <c r="B1213" s="511" t="str">
        <f>IF($A1213="","",VLOOKUP($A1213,Listes!$A$3:$C$230,2,FALSE))</f>
        <v>Export Seal Fee</v>
      </c>
      <c r="C1213" s="511"/>
      <c r="D1213" s="511"/>
      <c r="E1213" s="541" t="s">
        <v>50</v>
      </c>
      <c r="F1213" s="541"/>
      <c r="G1213" s="541"/>
      <c r="H1213" s="378"/>
      <c r="I1213" s="345"/>
      <c r="J1213" s="345"/>
      <c r="K1213" s="345"/>
      <c r="L1213" s="345"/>
      <c r="M1213" s="379"/>
      <c r="N1213" s="66"/>
      <c r="O1213" s="66"/>
      <c r="P1213" s="66"/>
      <c r="Q1213" s="66"/>
      <c r="R1213" s="200"/>
    </row>
    <row r="1214" spans="1:18" s="64" customFormat="1" ht="15.75" customHeight="1" x14ac:dyDescent="0.25">
      <c r="A1214" s="377" t="s">
        <v>80</v>
      </c>
      <c r="B1214" s="511" t="str">
        <f>IF($A1214="","",VLOOKUP($A1214,Listes!$A$3:$C$230,2,FALSE))</f>
        <v>General Rate Increase</v>
      </c>
      <c r="C1214" s="511"/>
      <c r="D1214" s="511"/>
      <c r="E1214" s="541" t="s">
        <v>50</v>
      </c>
      <c r="F1214" s="541"/>
      <c r="G1214" s="541"/>
      <c r="H1214" s="378"/>
      <c r="I1214" s="345"/>
      <c r="J1214" s="345"/>
      <c r="K1214" s="345"/>
      <c r="L1214" s="345"/>
      <c r="M1214" s="379"/>
      <c r="N1214" s="66"/>
      <c r="O1214" s="66"/>
      <c r="P1214" s="66"/>
      <c r="Q1214" s="66"/>
      <c r="R1214" s="200"/>
    </row>
    <row r="1215" spans="1:18" s="64" customFormat="1" ht="15.75" customHeight="1" x14ac:dyDescent="0.25">
      <c r="A1215" s="377" t="s">
        <v>246</v>
      </c>
      <c r="B1215" s="511" t="str">
        <f>IF($A1215="","",VLOOKUP($A1215,Listes!$A$3:$C$230,2,FALSE))</f>
        <v>Hazardous Fees (Ocean)</v>
      </c>
      <c r="C1215" s="511"/>
      <c r="D1215" s="511"/>
      <c r="E1215" s="541" t="s">
        <v>50</v>
      </c>
      <c r="F1215" s="541"/>
      <c r="G1215" s="541"/>
      <c r="H1215" s="378"/>
      <c r="I1215" s="345"/>
      <c r="J1215" s="345"/>
      <c r="K1215" s="345"/>
      <c r="L1215" s="345"/>
      <c r="M1215" s="379"/>
      <c r="N1215" s="66"/>
      <c r="O1215" s="66"/>
      <c r="P1215" s="66"/>
      <c r="Q1215" s="66"/>
      <c r="R1215" s="200"/>
    </row>
    <row r="1216" spans="1:18" s="64" customFormat="1" ht="15.75" customHeight="1" x14ac:dyDescent="0.25">
      <c r="A1216" s="377" t="s">
        <v>793</v>
      </c>
      <c r="B1216" s="511" t="str">
        <f>IF($A1216="","",VLOOKUP($A1216,Listes!$A$3:$C$230,2,FALSE))</f>
        <v>Oncarriage Additional Intermodal Door Delivery Surcharge</v>
      </c>
      <c r="C1216" s="511"/>
      <c r="D1216" s="511"/>
      <c r="E1216" s="541" t="s">
        <v>52</v>
      </c>
      <c r="F1216" s="541"/>
      <c r="G1216" s="541"/>
      <c r="H1216" s="378"/>
      <c r="I1216" s="345"/>
      <c r="J1216" s="345"/>
      <c r="K1216" s="345"/>
      <c r="L1216" s="345"/>
      <c r="M1216" s="379"/>
      <c r="N1216" s="66"/>
      <c r="O1216" s="66"/>
      <c r="P1216" s="66"/>
      <c r="Q1216" s="66"/>
      <c r="R1216" s="200"/>
    </row>
    <row r="1217" spans="1:18" s="64" customFormat="1" ht="15.75" customHeight="1" x14ac:dyDescent="0.25">
      <c r="A1217" s="377" t="s">
        <v>90</v>
      </c>
      <c r="B1217" s="511" t="str">
        <f>IF($A1217="","",VLOOKUP($A1217,Listes!$A$3:$C$230,2,FALSE))</f>
        <v>Oncarriage Inland Fuel Charge</v>
      </c>
      <c r="C1217" s="511"/>
      <c r="D1217" s="511"/>
      <c r="E1217" s="541" t="s">
        <v>52</v>
      </c>
      <c r="F1217" s="541"/>
      <c r="G1217" s="541"/>
      <c r="H1217" s="378"/>
      <c r="I1217" s="345"/>
      <c r="J1217" s="345"/>
      <c r="K1217" s="345"/>
      <c r="L1217" s="345"/>
      <c r="M1217" s="379"/>
      <c r="N1217" s="66"/>
      <c r="O1217" s="66"/>
      <c r="P1217" s="66"/>
      <c r="Q1217" s="66"/>
      <c r="R1217" s="200"/>
    </row>
    <row r="1218" spans="1:18" s="64" customFormat="1" ht="15.75" customHeight="1" x14ac:dyDescent="0.25">
      <c r="A1218" s="377" t="s">
        <v>1072</v>
      </c>
      <c r="B1218" s="511" t="str">
        <f>IF($A1218="","",VLOOKUP($A1218,Listes!$A$3:$C$230,2,FALSE))</f>
        <v>Local Port Charge Destination Sanitary Fee</v>
      </c>
      <c r="C1218" s="511"/>
      <c r="D1218" s="511"/>
      <c r="E1218" s="541" t="s">
        <v>50</v>
      </c>
      <c r="F1218" s="541"/>
      <c r="G1218" s="541"/>
      <c r="H1218" s="378"/>
      <c r="I1218" s="345"/>
      <c r="J1218" s="345"/>
      <c r="K1218" s="345"/>
      <c r="L1218" s="345"/>
      <c r="M1218" s="379"/>
      <c r="N1218" s="66"/>
      <c r="O1218" s="66"/>
      <c r="P1218" s="66"/>
      <c r="Q1218" s="66"/>
      <c r="R1218" s="200"/>
    </row>
    <row r="1219" spans="1:18" s="64" customFormat="1" x14ac:dyDescent="0.25">
      <c r="A1219" s="377" t="s">
        <v>1074</v>
      </c>
      <c r="B1219" s="511" t="str">
        <f>IF($A1219="","",VLOOKUP($A1219,Listes!$A$3:$C$230,2,FALSE))</f>
        <v>Local Port Charge Origin Sanitary Fee</v>
      </c>
      <c r="C1219" s="511"/>
      <c r="D1219" s="511"/>
      <c r="E1219" s="541" t="s">
        <v>50</v>
      </c>
      <c r="F1219" s="541"/>
      <c r="G1219" s="541"/>
      <c r="H1219" s="378"/>
      <c r="I1219" s="345"/>
      <c r="J1219" s="345"/>
      <c r="K1219" s="345"/>
      <c r="L1219" s="345"/>
      <c r="M1219" s="379"/>
      <c r="N1219" s="66"/>
      <c r="O1219" s="66"/>
      <c r="P1219" s="66"/>
      <c r="Q1219" s="66"/>
      <c r="R1219" s="200"/>
    </row>
    <row r="1220" spans="1:18" s="64" customFormat="1" x14ac:dyDescent="0.25">
      <c r="A1220" s="377" t="s">
        <v>910</v>
      </c>
      <c r="B1220" s="511" t="str">
        <f>IF($A1220="","",VLOOKUP($A1220,Listes!$A$3:$C$230,2,FALSE))</f>
        <v>On-Carriage Emergency Inland Fuel Surcharge</v>
      </c>
      <c r="C1220" s="511"/>
      <c r="D1220" s="511"/>
      <c r="E1220" s="541" t="s">
        <v>52</v>
      </c>
      <c r="F1220" s="541"/>
      <c r="G1220" s="541"/>
      <c r="H1220" s="378"/>
      <c r="I1220" s="345"/>
      <c r="J1220" s="345"/>
      <c r="K1220" s="345"/>
      <c r="L1220" s="345"/>
      <c r="M1220" s="379"/>
      <c r="N1220" s="66"/>
      <c r="O1220" s="66"/>
      <c r="P1220" s="66"/>
      <c r="Q1220" s="66"/>
      <c r="R1220" s="200"/>
    </row>
    <row r="1221" spans="1:18" s="64" customFormat="1" ht="15.75" customHeight="1" x14ac:dyDescent="0.25">
      <c r="A1221" s="377" t="s">
        <v>936</v>
      </c>
      <c r="B1221" s="511" t="str">
        <f>IF($A1221="","",VLOOKUP($A1221,Listes!$A$3:$C$230,2,FALSE))</f>
        <v>On-Carriage Emergency Intermodal Surcharge</v>
      </c>
      <c r="C1221" s="511"/>
      <c r="D1221" s="511"/>
      <c r="E1221" s="541" t="s">
        <v>52</v>
      </c>
      <c r="F1221" s="541"/>
      <c r="G1221" s="541"/>
      <c r="H1221" s="378"/>
      <c r="I1221" s="345"/>
      <c r="J1221" s="345"/>
      <c r="K1221" s="345"/>
      <c r="L1221" s="345"/>
      <c r="M1221" s="379"/>
      <c r="N1221" s="66"/>
      <c r="O1221" s="66"/>
      <c r="P1221" s="66"/>
      <c r="Q1221" s="66"/>
      <c r="R1221" s="200"/>
    </row>
    <row r="1222" spans="1:18" s="64" customFormat="1" x14ac:dyDescent="0.25">
      <c r="A1222" s="377" t="s">
        <v>448</v>
      </c>
      <c r="B1222" s="511" t="str">
        <f>IF($A1222="","",VLOOKUP($A1222,Listes!$A$3:$C$230,2,FALSE))</f>
        <v>Inland Hazardous Charge Oncarriage</v>
      </c>
      <c r="C1222" s="511"/>
      <c r="D1222" s="511"/>
      <c r="E1222" s="541" t="s">
        <v>50</v>
      </c>
      <c r="F1222" s="541"/>
      <c r="G1222" s="541"/>
      <c r="H1222" s="378"/>
      <c r="I1222" s="345"/>
      <c r="J1222" s="345"/>
      <c r="K1222" s="345"/>
      <c r="L1222" s="345"/>
      <c r="M1222" s="379"/>
      <c r="N1222" s="66"/>
      <c r="O1222" s="66"/>
      <c r="P1222" s="66"/>
      <c r="Q1222" s="66"/>
      <c r="R1222" s="200"/>
    </row>
    <row r="1223" spans="1:18" s="64" customFormat="1" x14ac:dyDescent="0.25">
      <c r="A1223" s="377" t="s">
        <v>87</v>
      </c>
      <c r="B1223" s="511" t="str">
        <f>IF($A1223="","",VLOOKUP($A1223,Listes!$A$3:$C$230,2,FALSE))</f>
        <v>Origin THC / Origin Receiving Charge</v>
      </c>
      <c r="C1223" s="511"/>
      <c r="D1223" s="511"/>
      <c r="E1223" s="541" t="s">
        <v>50</v>
      </c>
      <c r="F1223" s="541"/>
      <c r="G1223" s="541"/>
      <c r="H1223" s="378"/>
      <c r="I1223" s="345"/>
      <c r="J1223" s="345"/>
      <c r="K1223" s="345"/>
      <c r="L1223" s="345"/>
      <c r="M1223" s="379"/>
      <c r="N1223" s="66"/>
      <c r="O1223" s="66"/>
      <c r="P1223" s="66"/>
      <c r="Q1223" s="66"/>
      <c r="R1223" s="200"/>
    </row>
    <row r="1224" spans="1:18" s="64" customFormat="1" ht="15.75" customHeight="1" x14ac:dyDescent="0.25">
      <c r="A1224" s="377" t="s">
        <v>451</v>
      </c>
      <c r="B1224" s="511" t="str">
        <f>IF($A1224="","",VLOOKUP($A1224,Listes!$A$3:$C$230,2,FALSE))</f>
        <v>Inland Hazardous Charge Precarriage</v>
      </c>
      <c r="C1224" s="511"/>
      <c r="D1224" s="511"/>
      <c r="E1224" s="541" t="s">
        <v>50</v>
      </c>
      <c r="F1224" s="541"/>
      <c r="G1224" s="541"/>
      <c r="H1224" s="378"/>
      <c r="I1224" s="345"/>
      <c r="J1224" s="345"/>
      <c r="K1224" s="345"/>
      <c r="L1224" s="345"/>
      <c r="M1224" s="379"/>
      <c r="N1224" s="66"/>
      <c r="O1224" s="66"/>
      <c r="P1224" s="66"/>
      <c r="Q1224" s="66"/>
      <c r="R1224" s="200"/>
    </row>
    <row r="1225" spans="1:18" s="64" customFormat="1" ht="15.75" customHeight="1" x14ac:dyDescent="0.25">
      <c r="A1225" s="377" t="s">
        <v>85</v>
      </c>
      <c r="B1225" s="511" t="str">
        <f>IF($A1225="","",VLOOKUP($A1225,Listes!$A$3:$C$230,2,FALSE))</f>
        <v>Peak Season</v>
      </c>
      <c r="C1225" s="511"/>
      <c r="D1225" s="511"/>
      <c r="E1225" s="541" t="s">
        <v>52</v>
      </c>
      <c r="F1225" s="541"/>
      <c r="G1225" s="541"/>
      <c r="H1225" s="378"/>
      <c r="I1225" s="345"/>
      <c r="J1225" s="345"/>
      <c r="K1225" s="345"/>
      <c r="L1225" s="345"/>
      <c r="M1225" s="379"/>
      <c r="N1225" s="66"/>
      <c r="O1225" s="66"/>
      <c r="P1225" s="66"/>
      <c r="Q1225" s="66"/>
      <c r="R1225" s="200"/>
    </row>
    <row r="1226" spans="1:18" s="64" customFormat="1" ht="15.75" customHeight="1" x14ac:dyDescent="0.25">
      <c r="A1226" s="377" t="s">
        <v>765</v>
      </c>
      <c r="B1226" s="511" t="str">
        <f>IF($A1226="","",VLOOKUP($A1226,Listes!$A$3:$C$230,2,FALSE))</f>
        <v>Peak Season Surcharge 2</v>
      </c>
      <c r="C1226" s="511"/>
      <c r="D1226" s="511"/>
      <c r="E1226" s="541" t="s">
        <v>52</v>
      </c>
      <c r="F1226" s="541"/>
      <c r="G1226" s="541"/>
      <c r="H1226" s="378"/>
      <c r="I1226" s="345"/>
      <c r="J1226" s="345"/>
      <c r="K1226" s="345"/>
      <c r="L1226" s="345"/>
      <c r="M1226" s="379"/>
      <c r="N1226" s="66"/>
      <c r="O1226" s="66"/>
      <c r="P1226" s="66"/>
      <c r="Q1226" s="66"/>
      <c r="R1226" s="200"/>
    </row>
    <row r="1227" spans="1:18" s="64" customFormat="1" ht="15.75" customHeight="1" x14ac:dyDescent="0.25">
      <c r="A1227" s="377" t="s">
        <v>890</v>
      </c>
      <c r="B1227" s="511" t="str">
        <f>IF($A1227="","",VLOOKUP($A1227,Listes!$A$3:$C$230,2,FALSE))</f>
        <v>Peak Season Surcharge 3</v>
      </c>
      <c r="C1227" s="511"/>
      <c r="D1227" s="511"/>
      <c r="E1227" s="541" t="s">
        <v>52</v>
      </c>
      <c r="F1227" s="541"/>
      <c r="G1227" s="541"/>
      <c r="H1227" s="378"/>
      <c r="I1227" s="345"/>
      <c r="J1227" s="345"/>
      <c r="K1227" s="345"/>
      <c r="L1227" s="345"/>
      <c r="M1227" s="379"/>
      <c r="N1227" s="66"/>
      <c r="O1227" s="66"/>
      <c r="P1227" s="66"/>
      <c r="Q1227" s="66"/>
      <c r="R1227" s="200"/>
    </row>
    <row r="1228" spans="1:18" s="64" customFormat="1" x14ac:dyDescent="0.25">
      <c r="A1228" s="377" t="s">
        <v>264</v>
      </c>
      <c r="B1228" s="511" t="str">
        <f>IF($A1228="","",VLOOKUP($A1228,Listes!$A$3:$C$230,2,FALSE))</f>
        <v>Destination Terminal Security Charge</v>
      </c>
      <c r="C1228" s="511"/>
      <c r="D1228" s="511"/>
      <c r="E1228" s="541" t="s">
        <v>50</v>
      </c>
      <c r="F1228" s="541"/>
      <c r="G1228" s="541"/>
      <c r="H1228" s="378"/>
      <c r="I1228" s="345"/>
      <c r="J1228" s="345"/>
      <c r="K1228" s="345"/>
      <c r="L1228" s="345"/>
      <c r="M1228" s="379"/>
      <c r="N1228" s="66"/>
      <c r="O1228" s="66"/>
      <c r="P1228" s="66"/>
      <c r="Q1228" s="66"/>
      <c r="R1228" s="200"/>
    </row>
    <row r="1229" spans="1:18" s="64" customFormat="1" ht="13.8" thickBot="1" x14ac:dyDescent="0.3">
      <c r="A1229" s="380" t="s">
        <v>344</v>
      </c>
      <c r="B1229" s="635" t="str">
        <f>IF($A1229="","",VLOOKUP($A1229,Listes!$A$3:$C$230,2,FALSE))</f>
        <v>Tri-Axle / Super Chassis Oncarriage Surcharge</v>
      </c>
      <c r="C1229" s="635"/>
      <c r="D1229" s="635"/>
      <c r="E1229" s="634" t="s">
        <v>50</v>
      </c>
      <c r="F1229" s="634"/>
      <c r="G1229" s="634"/>
      <c r="H1229" s="381"/>
      <c r="I1229" s="382"/>
      <c r="J1229" s="382"/>
      <c r="K1229" s="382"/>
      <c r="L1229" s="382"/>
      <c r="M1229" s="383"/>
      <c r="N1229" s="66"/>
      <c r="O1229" s="66"/>
      <c r="P1229" s="66"/>
      <c r="Q1229" s="66"/>
      <c r="R1229" s="200"/>
    </row>
    <row r="1230" spans="1:18" ht="13.8" thickBot="1" x14ac:dyDescent="0.3">
      <c r="A1230" s="643" t="s">
        <v>205</v>
      </c>
      <c r="B1230" s="644"/>
      <c r="C1230" s="644"/>
      <c r="D1230" s="644"/>
      <c r="E1230" s="644"/>
      <c r="F1230" s="644"/>
      <c r="G1230" s="644"/>
      <c r="H1230" s="644"/>
      <c r="I1230" s="645"/>
      <c r="K1230" s="177"/>
      <c r="L1230" s="199"/>
      <c r="M1230" s="199"/>
      <c r="N1230" s="199"/>
      <c r="O1230" s="199"/>
      <c r="P1230" s="199"/>
      <c r="Q1230" s="177"/>
    </row>
    <row r="1231" spans="1:18" ht="13.8" thickBot="1" x14ac:dyDescent="0.3">
      <c r="A1231" s="572" t="s">
        <v>532</v>
      </c>
      <c r="B1231" s="573"/>
      <c r="C1231" s="573"/>
      <c r="D1231" s="573"/>
      <c r="E1231" s="573"/>
      <c r="F1231" s="573"/>
      <c r="G1231" s="573"/>
      <c r="H1231" s="573"/>
      <c r="I1231" s="574"/>
      <c r="K1231" s="199"/>
      <c r="L1231" s="199"/>
      <c r="M1231" s="199"/>
      <c r="N1231" s="199"/>
      <c r="O1231" s="177"/>
    </row>
    <row r="1232" spans="1:18" ht="13.8" thickBot="1" x14ac:dyDescent="0.3">
      <c r="A1232" s="142"/>
      <c r="B1232" s="142"/>
      <c r="C1232" s="243"/>
      <c r="D1232" s="139"/>
      <c r="E1232" s="140"/>
      <c r="F1232" s="140"/>
      <c r="G1232" s="140"/>
      <c r="H1232" s="140"/>
      <c r="I1232" s="140"/>
      <c r="J1232" s="139"/>
      <c r="L1232" s="177"/>
      <c r="M1232" s="199"/>
      <c r="N1232" s="199"/>
      <c r="O1232" s="199"/>
      <c r="P1232" s="199"/>
      <c r="Q1232" s="199"/>
      <c r="R1232" s="177"/>
    </row>
    <row r="1233" spans="1:23" ht="15.6" customHeight="1" x14ac:dyDescent="0.25">
      <c r="A1233" s="618" t="s">
        <v>467</v>
      </c>
      <c r="B1233" s="619"/>
      <c r="C1233" s="619"/>
      <c r="D1233" s="619"/>
      <c r="E1233" s="499" t="s">
        <v>274</v>
      </c>
      <c r="F1233" s="499">
        <v>20</v>
      </c>
      <c r="G1233" s="499">
        <v>40</v>
      </c>
      <c r="H1233" s="499" t="s">
        <v>19</v>
      </c>
      <c r="I1233" s="499" t="s">
        <v>20</v>
      </c>
      <c r="J1233" s="642" t="s">
        <v>281</v>
      </c>
      <c r="K1233" s="642" t="s">
        <v>33</v>
      </c>
      <c r="L1233" s="640" t="s">
        <v>206</v>
      </c>
      <c r="M1233" s="139"/>
      <c r="N1233" s="199"/>
      <c r="O1233" s="199"/>
      <c r="P1233" s="199"/>
      <c r="Q1233" s="199"/>
      <c r="R1233" s="199"/>
      <c r="S1233" s="199"/>
      <c r="T1233" s="199"/>
      <c r="U1233" s="199"/>
    </row>
    <row r="1234" spans="1:23" x14ac:dyDescent="0.25">
      <c r="A1234" s="21" t="s">
        <v>207</v>
      </c>
      <c r="B1234" s="22" t="s">
        <v>11</v>
      </c>
      <c r="C1234" s="22" t="s">
        <v>12</v>
      </c>
      <c r="D1234" s="22" t="s">
        <v>208</v>
      </c>
      <c r="E1234" s="620"/>
      <c r="F1234" s="620"/>
      <c r="G1234" s="620"/>
      <c r="H1234" s="620"/>
      <c r="I1234" s="620"/>
      <c r="J1234" s="620"/>
      <c r="K1234" s="620"/>
      <c r="L1234" s="641"/>
      <c r="M1234" s="139"/>
      <c r="N1234" s="199"/>
      <c r="O1234" s="199"/>
      <c r="P1234" s="199"/>
      <c r="Q1234" s="199"/>
      <c r="R1234" s="199"/>
      <c r="S1234" s="199"/>
      <c r="T1234" s="199"/>
      <c r="U1234" s="199"/>
    </row>
    <row r="1235" spans="1:23" s="64" customFormat="1" x14ac:dyDescent="0.25">
      <c r="A1235" s="339"/>
      <c r="B1235" s="23"/>
      <c r="C1235" s="23"/>
      <c r="D1235" s="23"/>
      <c r="E1235" s="23"/>
      <c r="F1235" s="62"/>
      <c r="G1235" s="62"/>
      <c r="H1235" s="62"/>
      <c r="I1235" s="62"/>
      <c r="J1235" s="23"/>
      <c r="K1235" s="55"/>
      <c r="L1235" s="340"/>
      <c r="M1235" s="372"/>
      <c r="N1235" s="66"/>
      <c r="O1235" s="66"/>
      <c r="P1235" s="66"/>
      <c r="Q1235" s="66"/>
      <c r="R1235" s="66"/>
      <c r="S1235" s="66"/>
      <c r="T1235" s="66"/>
      <c r="U1235" s="66"/>
    </row>
    <row r="1236" spans="1:23" s="64" customFormat="1" x14ac:dyDescent="0.25">
      <c r="A1236" s="339"/>
      <c r="B1236" s="23"/>
      <c r="C1236" s="23"/>
      <c r="D1236" s="23"/>
      <c r="E1236" s="23"/>
      <c r="F1236" s="62"/>
      <c r="G1236" s="62"/>
      <c r="H1236" s="62"/>
      <c r="I1236" s="62"/>
      <c r="J1236" s="23"/>
      <c r="K1236" s="55"/>
      <c r="L1236" s="340"/>
      <c r="M1236" s="66"/>
      <c r="N1236" s="66"/>
      <c r="O1236" s="66"/>
      <c r="P1236" s="66"/>
      <c r="Q1236" s="66"/>
      <c r="R1236" s="66"/>
      <c r="S1236" s="66"/>
      <c r="T1236" s="66"/>
      <c r="U1236" s="66"/>
    </row>
    <row r="1237" spans="1:23" s="64" customFormat="1" x14ac:dyDescent="0.25">
      <c r="A1237" s="339"/>
      <c r="B1237" s="23"/>
      <c r="C1237" s="23"/>
      <c r="D1237" s="23"/>
      <c r="E1237" s="23"/>
      <c r="F1237" s="62"/>
      <c r="G1237" s="62"/>
      <c r="H1237" s="62"/>
      <c r="I1237" s="62"/>
      <c r="J1237" s="23"/>
      <c r="K1237" s="55"/>
      <c r="L1237" s="340"/>
      <c r="M1237" s="66"/>
      <c r="N1237" s="66"/>
      <c r="O1237" s="66"/>
      <c r="P1237" s="66"/>
      <c r="Q1237" s="66"/>
      <c r="R1237" s="66"/>
      <c r="S1237" s="66"/>
      <c r="T1237" s="66"/>
      <c r="U1237" s="66"/>
    </row>
    <row r="1238" spans="1:23" s="64" customFormat="1" ht="13.8" thickBot="1" x14ac:dyDescent="0.3">
      <c r="A1238" s="341"/>
      <c r="B1238" s="24"/>
      <c r="C1238" s="24"/>
      <c r="D1238" s="24"/>
      <c r="E1238" s="24"/>
      <c r="F1238" s="342"/>
      <c r="G1238" s="342"/>
      <c r="H1238" s="342"/>
      <c r="I1238" s="342"/>
      <c r="J1238" s="24"/>
      <c r="K1238" s="148"/>
      <c r="L1238" s="343"/>
      <c r="M1238" s="66"/>
      <c r="N1238" s="66"/>
      <c r="O1238" s="66"/>
      <c r="P1238" s="66"/>
      <c r="Q1238" s="66"/>
      <c r="R1238" s="66"/>
      <c r="S1238" s="66"/>
      <c r="T1238" s="66"/>
      <c r="U1238" s="66"/>
    </row>
    <row r="1239" spans="1:23" s="64" customFormat="1" x14ac:dyDescent="0.25">
      <c r="A1239" s="338"/>
      <c r="B1239" s="338"/>
      <c r="C1239" s="338"/>
      <c r="D1239" s="338"/>
      <c r="E1239" s="338"/>
      <c r="F1239" s="338"/>
      <c r="G1239" s="338"/>
      <c r="H1239" s="338"/>
      <c r="I1239" s="338"/>
      <c r="J1239" s="338"/>
      <c r="K1239" s="338"/>
      <c r="L1239" s="344"/>
      <c r="M1239" s="66"/>
      <c r="N1239" s="66"/>
      <c r="O1239" s="66"/>
      <c r="P1239" s="66"/>
      <c r="Q1239" s="66"/>
      <c r="R1239" s="66"/>
      <c r="S1239" s="66"/>
      <c r="T1239" s="66"/>
      <c r="U1239" s="66"/>
    </row>
    <row r="1240" spans="1:23" ht="15.6" customHeight="1" x14ac:dyDescent="0.25">
      <c r="A1240" s="575" t="s">
        <v>531</v>
      </c>
      <c r="B1240" s="575"/>
      <c r="C1240" s="575"/>
      <c r="D1240" s="575"/>
      <c r="E1240" s="575" t="s">
        <v>274</v>
      </c>
      <c r="F1240" s="575">
        <v>20</v>
      </c>
      <c r="G1240" s="575">
        <v>40</v>
      </c>
      <c r="H1240" s="575" t="s">
        <v>19</v>
      </c>
      <c r="I1240" s="575" t="s">
        <v>20</v>
      </c>
      <c r="J1240" s="610" t="s">
        <v>281</v>
      </c>
      <c r="K1240" s="610" t="s">
        <v>33</v>
      </c>
      <c r="L1240" s="575" t="s">
        <v>206</v>
      </c>
      <c r="M1240" s="575" t="s">
        <v>23</v>
      </c>
      <c r="O1240" s="177"/>
      <c r="P1240" s="199"/>
      <c r="Q1240" s="199"/>
      <c r="R1240" s="199"/>
      <c r="S1240" s="199"/>
      <c r="T1240" s="199"/>
      <c r="U1240" s="199"/>
      <c r="V1240" s="199"/>
      <c r="W1240" s="199"/>
    </row>
    <row r="1241" spans="1:23" x14ac:dyDescent="0.25">
      <c r="A1241" s="25" t="s">
        <v>207</v>
      </c>
      <c r="B1241" s="25" t="s">
        <v>11</v>
      </c>
      <c r="C1241" s="25" t="s">
        <v>12</v>
      </c>
      <c r="D1241" s="25" t="s">
        <v>208</v>
      </c>
      <c r="E1241" s="575"/>
      <c r="F1241" s="575"/>
      <c r="G1241" s="575"/>
      <c r="H1241" s="575"/>
      <c r="I1241" s="575"/>
      <c r="J1241" s="575"/>
      <c r="K1241" s="575"/>
      <c r="L1241" s="575"/>
      <c r="M1241" s="575"/>
      <c r="O1241" s="177"/>
      <c r="P1241" s="199"/>
      <c r="Q1241" s="199"/>
      <c r="R1241" s="199"/>
      <c r="S1241" s="199"/>
      <c r="T1241" s="199"/>
      <c r="U1241" s="199"/>
      <c r="V1241" s="199"/>
      <c r="W1241" s="199"/>
    </row>
    <row r="1242" spans="1:23" s="64" customFormat="1" x14ac:dyDescent="0.25">
      <c r="A1242" s="26"/>
      <c r="B1242" s="26"/>
      <c r="C1242" s="26"/>
      <c r="D1242" s="26"/>
      <c r="E1242" s="26"/>
      <c r="F1242" s="244"/>
      <c r="G1242" s="244"/>
      <c r="H1242" s="244"/>
      <c r="I1242" s="244"/>
      <c r="J1242" s="26"/>
      <c r="K1242" s="245"/>
      <c r="L1242" s="27"/>
      <c r="M1242" s="27"/>
      <c r="O1242" s="200"/>
      <c r="P1242" s="66"/>
      <c r="Q1242" s="66"/>
      <c r="R1242" s="66"/>
      <c r="S1242" s="66"/>
      <c r="T1242" s="66"/>
      <c r="U1242" s="66"/>
      <c r="V1242" s="66"/>
      <c r="W1242" s="66"/>
    </row>
    <row r="1243" spans="1:23" s="64" customFormat="1" x14ac:dyDescent="0.25">
      <c r="A1243" s="26"/>
      <c r="B1243" s="26"/>
      <c r="C1243" s="26"/>
      <c r="D1243" s="26"/>
      <c r="E1243" s="26"/>
      <c r="F1243" s="244"/>
      <c r="G1243" s="244"/>
      <c r="H1243" s="244"/>
      <c r="I1243" s="244"/>
      <c r="J1243" s="26"/>
      <c r="K1243" s="245"/>
      <c r="L1243" s="27"/>
      <c r="M1243" s="27"/>
      <c r="O1243" s="200"/>
      <c r="P1243" s="66"/>
      <c r="Q1243" s="66"/>
      <c r="R1243" s="66"/>
      <c r="S1243" s="66"/>
      <c r="T1243" s="66"/>
      <c r="U1243" s="66"/>
      <c r="V1243" s="66"/>
      <c r="W1243" s="66"/>
    </row>
    <row r="1244" spans="1:23" s="64" customFormat="1" x14ac:dyDescent="0.25">
      <c r="A1244" s="26"/>
      <c r="B1244" s="26"/>
      <c r="C1244" s="26"/>
      <c r="D1244" s="26"/>
      <c r="E1244" s="26"/>
      <c r="F1244" s="244"/>
      <c r="G1244" s="244"/>
      <c r="H1244" s="244"/>
      <c r="I1244" s="244"/>
      <c r="J1244" s="26"/>
      <c r="K1244" s="245"/>
      <c r="L1244" s="27"/>
      <c r="M1244" s="27"/>
      <c r="O1244" s="200"/>
      <c r="P1244" s="66"/>
      <c r="Q1244" s="66"/>
      <c r="R1244" s="66"/>
      <c r="S1244" s="66"/>
      <c r="T1244" s="66"/>
      <c r="U1244" s="66"/>
      <c r="V1244" s="66"/>
      <c r="W1244" s="66"/>
    </row>
    <row r="1245" spans="1:23" s="64" customFormat="1" x14ac:dyDescent="0.25">
      <c r="A1245" s="26"/>
      <c r="B1245" s="26"/>
      <c r="C1245" s="26"/>
      <c r="D1245" s="26"/>
      <c r="E1245" s="26"/>
      <c r="F1245" s="244"/>
      <c r="G1245" s="244"/>
      <c r="H1245" s="244"/>
      <c r="I1245" s="244"/>
      <c r="J1245" s="26"/>
      <c r="K1245" s="245"/>
      <c r="L1245" s="27"/>
      <c r="M1245" s="27"/>
      <c r="N1245" s="66"/>
      <c r="O1245" s="200"/>
      <c r="P1245" s="66"/>
      <c r="Q1245" s="66"/>
      <c r="R1245" s="66"/>
      <c r="S1245" s="66"/>
      <c r="T1245" s="66"/>
      <c r="U1245" s="66"/>
      <c r="V1245" s="66"/>
      <c r="W1245" s="66"/>
    </row>
    <row r="1246" spans="1:23" x14ac:dyDescent="0.25">
      <c r="F1246" s="140"/>
      <c r="G1246" s="20"/>
      <c r="H1246" s="181"/>
      <c r="I1246" s="181"/>
      <c r="J1246" s="199"/>
      <c r="K1246" s="177"/>
      <c r="L1246" s="199"/>
      <c r="M1246" s="199"/>
      <c r="N1246" s="199"/>
      <c r="O1246" s="199"/>
      <c r="P1246" s="199"/>
      <c r="Q1246" s="199"/>
    </row>
    <row r="1247" spans="1:23" ht="13.8" thickBot="1" x14ac:dyDescent="0.3">
      <c r="A1247" s="239"/>
      <c r="B1247" s="246"/>
      <c r="C1247" s="247"/>
      <c r="D1247" s="247"/>
      <c r="J1247" s="140"/>
      <c r="K1247" s="177"/>
      <c r="L1247" s="199"/>
      <c r="M1247" s="199"/>
      <c r="N1247" s="199"/>
      <c r="O1247" s="199"/>
      <c r="P1247" s="199"/>
      <c r="Q1247" s="199"/>
      <c r="R1247" s="199"/>
      <c r="S1247" s="177"/>
      <c r="T1247" s="177"/>
      <c r="U1247" s="177"/>
    </row>
    <row r="1248" spans="1:23" ht="13.8" thickBot="1" x14ac:dyDescent="0.3">
      <c r="A1248" s="501" t="s">
        <v>209</v>
      </c>
      <c r="B1248" s="502"/>
      <c r="C1248" s="502"/>
      <c r="D1248" s="502"/>
      <c r="E1248" s="503"/>
      <c r="J1248" s="140"/>
      <c r="K1248" s="177"/>
      <c r="L1248" s="199"/>
      <c r="M1248" s="199"/>
      <c r="N1248" s="199"/>
      <c r="O1248" s="199"/>
      <c r="P1248" s="199"/>
      <c r="Q1248" s="199"/>
      <c r="R1248" s="199"/>
      <c r="S1248" s="177"/>
      <c r="T1248" s="177"/>
      <c r="U1248" s="177"/>
    </row>
    <row r="1249" spans="1:21" ht="13.8" thickBot="1" x14ac:dyDescent="0.3">
      <c r="A1249" s="243"/>
      <c r="F1249" s="140"/>
      <c r="G1249" s="20"/>
      <c r="H1249" s="139"/>
      <c r="I1249" s="140"/>
      <c r="J1249" s="140"/>
      <c r="K1249" s="177"/>
      <c r="L1249" s="199"/>
      <c r="M1249" s="199"/>
      <c r="N1249" s="199"/>
      <c r="O1249" s="199"/>
      <c r="P1249" s="199"/>
      <c r="Q1249" s="199"/>
      <c r="R1249" s="199"/>
      <c r="S1249" s="177"/>
      <c r="T1249" s="177"/>
      <c r="U1249" s="177"/>
    </row>
    <row r="1250" spans="1:21" ht="13.8" thickBot="1" x14ac:dyDescent="0.3">
      <c r="A1250" s="636" t="s">
        <v>210</v>
      </c>
      <c r="B1250" s="638"/>
      <c r="C1250" s="638"/>
      <c r="D1250" s="638"/>
      <c r="E1250" s="638"/>
      <c r="F1250" s="639"/>
      <c r="G1250" s="20"/>
      <c r="H1250" s="139"/>
      <c r="I1250" s="140"/>
      <c r="J1250" s="140"/>
      <c r="K1250" s="177"/>
      <c r="L1250" s="199"/>
      <c r="M1250" s="199"/>
      <c r="N1250" s="199"/>
      <c r="O1250" s="199"/>
      <c r="P1250" s="199"/>
      <c r="Q1250" s="199"/>
      <c r="R1250" s="199"/>
      <c r="S1250" s="177"/>
      <c r="T1250" s="177"/>
      <c r="U1250" s="177"/>
    </row>
    <row r="1251" spans="1:21" ht="16.5" customHeight="1" x14ac:dyDescent="0.25">
      <c r="A1251" s="547" t="s">
        <v>211</v>
      </c>
      <c r="B1251" s="612"/>
      <c r="C1251" s="612"/>
      <c r="D1251" s="612"/>
      <c r="E1251" s="612"/>
      <c r="F1251" s="548"/>
      <c r="G1251" s="20"/>
      <c r="H1251" s="248"/>
      <c r="I1251" s="140"/>
      <c r="J1251" s="140"/>
      <c r="K1251" s="177"/>
      <c r="L1251" s="199"/>
      <c r="M1251" s="199"/>
      <c r="N1251" s="199"/>
      <c r="O1251" s="199"/>
      <c r="P1251" s="199"/>
      <c r="Q1251" s="199"/>
      <c r="R1251" s="199"/>
      <c r="S1251" s="177"/>
      <c r="T1251" s="177"/>
      <c r="U1251" s="177"/>
    </row>
    <row r="1252" spans="1:21" ht="13.8" thickBot="1" x14ac:dyDescent="0.3">
      <c r="A1252" s="621" t="s">
        <v>212</v>
      </c>
      <c r="B1252" s="573"/>
      <c r="C1252" s="573"/>
      <c r="D1252" s="573"/>
      <c r="E1252" s="573"/>
      <c r="F1252" s="574"/>
    </row>
    <row r="1253" spans="1:21" x14ac:dyDescent="0.25">
      <c r="A1253" s="250" t="s">
        <v>213</v>
      </c>
      <c r="B1253" s="146" t="s">
        <v>214</v>
      </c>
      <c r="C1253" s="147" t="s">
        <v>215</v>
      </c>
      <c r="D1253" s="251" t="s">
        <v>216</v>
      </c>
      <c r="E1253" s="199"/>
      <c r="H1253" s="20"/>
      <c r="I1253" s="20"/>
    </row>
    <row r="1254" spans="1:21" s="64" customFormat="1" x14ac:dyDescent="0.25">
      <c r="A1254" s="324"/>
      <c r="B1254" s="325" t="s">
        <v>324</v>
      </c>
      <c r="C1254" s="326" t="s">
        <v>61</v>
      </c>
      <c r="D1254" s="293">
        <v>0.9</v>
      </c>
      <c r="E1254" s="66"/>
      <c r="F1254" s="66"/>
      <c r="G1254" s="66"/>
    </row>
    <row r="1255" spans="1:21" s="64" customFormat="1" x14ac:dyDescent="0.25">
      <c r="A1255" s="324"/>
      <c r="B1255" s="325" t="s">
        <v>324</v>
      </c>
      <c r="C1255" s="326" t="s">
        <v>394</v>
      </c>
      <c r="D1255" s="293">
        <v>1</v>
      </c>
      <c r="E1255" s="66"/>
      <c r="F1255" s="66"/>
      <c r="G1255" s="66"/>
    </row>
    <row r="1256" spans="1:21" s="64" customFormat="1" ht="13.8" thickBot="1" x14ac:dyDescent="0.3">
      <c r="A1256" s="327"/>
      <c r="B1256" s="328" t="s">
        <v>324</v>
      </c>
      <c r="C1256" s="329" t="s">
        <v>395</v>
      </c>
      <c r="D1256" s="294">
        <v>1.266</v>
      </c>
      <c r="E1256" s="66"/>
      <c r="F1256" s="66"/>
      <c r="G1256" s="66"/>
    </row>
    <row r="1257" spans="1:21" ht="13.8" thickBot="1" x14ac:dyDescent="0.3"/>
    <row r="1258" spans="1:21" ht="13.8" thickBot="1" x14ac:dyDescent="0.3">
      <c r="A1258" s="501" t="s">
        <v>217</v>
      </c>
      <c r="B1258" s="502"/>
      <c r="C1258" s="502"/>
      <c r="D1258" s="502"/>
      <c r="E1258" s="502"/>
      <c r="F1258" s="502"/>
      <c r="G1258" s="502"/>
      <c r="H1258" s="502"/>
      <c r="I1258" s="503"/>
      <c r="K1258" s="177"/>
      <c r="L1258" s="199"/>
      <c r="M1258" s="199"/>
      <c r="N1258" s="199"/>
      <c r="O1258" s="199"/>
      <c r="P1258" s="199"/>
      <c r="Q1258" s="199"/>
      <c r="R1258" s="199"/>
      <c r="S1258" s="177"/>
      <c r="T1258" s="177"/>
      <c r="U1258" s="177"/>
    </row>
    <row r="1259" spans="1:21" ht="13.8" thickBot="1" x14ac:dyDescent="0.3">
      <c r="A1259" s="252" t="s">
        <v>218</v>
      </c>
      <c r="B1259" s="253"/>
      <c r="C1259" s="133"/>
      <c r="D1259" s="133"/>
      <c r="E1259" s="133"/>
      <c r="F1259" s="133"/>
      <c r="G1259" s="220"/>
      <c r="H1259" s="133"/>
      <c r="I1259" s="254"/>
      <c r="J1259" s="140"/>
      <c r="K1259" s="177"/>
      <c r="L1259" s="199"/>
      <c r="M1259" s="199"/>
      <c r="N1259" s="199"/>
      <c r="O1259" s="199"/>
      <c r="P1259" s="199"/>
      <c r="Q1259" s="199"/>
      <c r="R1259" s="199"/>
      <c r="S1259" s="177"/>
      <c r="T1259" s="177"/>
      <c r="U1259" s="177"/>
    </row>
    <row r="1260" spans="1:21" s="335" customFormat="1" x14ac:dyDescent="0.25">
      <c r="A1260" s="369"/>
      <c r="B1260" s="622"/>
      <c r="C1260" s="623"/>
      <c r="D1260" s="623"/>
      <c r="E1260" s="623"/>
      <c r="F1260" s="623"/>
      <c r="G1260" s="623"/>
      <c r="H1260" s="623"/>
      <c r="I1260" s="624"/>
      <c r="J1260" s="370"/>
      <c r="K1260" s="371"/>
      <c r="L1260" s="338"/>
      <c r="M1260" s="338"/>
      <c r="N1260" s="338"/>
      <c r="O1260" s="338"/>
      <c r="P1260" s="338"/>
      <c r="Q1260" s="338"/>
      <c r="R1260" s="338"/>
      <c r="S1260" s="371"/>
      <c r="T1260" s="371"/>
      <c r="U1260" s="371"/>
    </row>
    <row r="1261" spans="1:21" s="64" customFormat="1" x14ac:dyDescent="0.25">
      <c r="A1261" s="255"/>
      <c r="B1261" s="611"/>
      <c r="C1261" s="562"/>
      <c r="D1261" s="562"/>
      <c r="E1261" s="562"/>
      <c r="F1261" s="562"/>
      <c r="G1261" s="562"/>
      <c r="H1261" s="562"/>
      <c r="I1261" s="563"/>
    </row>
    <row r="1262" spans="1:21" s="64" customFormat="1" x14ac:dyDescent="0.25">
      <c r="A1262" s="255"/>
      <c r="B1262" s="611"/>
      <c r="C1262" s="562"/>
      <c r="D1262" s="562"/>
      <c r="E1262" s="562"/>
      <c r="F1262" s="562"/>
      <c r="G1262" s="562"/>
      <c r="H1262" s="562"/>
      <c r="I1262" s="563"/>
    </row>
    <row r="1263" spans="1:21" s="64" customFormat="1" x14ac:dyDescent="0.25">
      <c r="A1263" s="255"/>
      <c r="B1263" s="611"/>
      <c r="C1263" s="562"/>
      <c r="D1263" s="562"/>
      <c r="E1263" s="562"/>
      <c r="F1263" s="562"/>
      <c r="G1263" s="562"/>
      <c r="H1263" s="562"/>
      <c r="I1263" s="563"/>
    </row>
    <row r="1264" spans="1:21" s="64" customFormat="1" x14ac:dyDescent="0.25">
      <c r="A1264" s="255"/>
      <c r="B1264" s="611"/>
      <c r="C1264" s="562"/>
      <c r="D1264" s="562"/>
      <c r="E1264" s="562"/>
      <c r="F1264" s="562"/>
      <c r="G1264" s="562"/>
      <c r="H1264" s="562"/>
      <c r="I1264" s="563"/>
    </row>
    <row r="1265" spans="1:9" s="64" customFormat="1" x14ac:dyDescent="0.25">
      <c r="A1265" s="255"/>
      <c r="B1265" s="611"/>
      <c r="C1265" s="562"/>
      <c r="D1265" s="562"/>
      <c r="E1265" s="562"/>
      <c r="F1265" s="562"/>
      <c r="G1265" s="562"/>
      <c r="H1265" s="562"/>
      <c r="I1265" s="563"/>
    </row>
    <row r="1266" spans="1:9" s="64" customFormat="1" x14ac:dyDescent="0.25">
      <c r="A1266" s="255"/>
      <c r="B1266" s="611"/>
      <c r="C1266" s="562"/>
      <c r="D1266" s="562"/>
      <c r="E1266" s="562"/>
      <c r="F1266" s="562"/>
      <c r="G1266" s="562"/>
      <c r="H1266" s="562"/>
      <c r="I1266" s="563"/>
    </row>
    <row r="1267" spans="1:9" s="64" customFormat="1" x14ac:dyDescent="0.25">
      <c r="A1267" s="255"/>
      <c r="B1267" s="611"/>
      <c r="C1267" s="562"/>
      <c r="D1267" s="562"/>
      <c r="E1267" s="562"/>
      <c r="F1267" s="562"/>
      <c r="G1267" s="562"/>
      <c r="H1267" s="562"/>
      <c r="I1267" s="563"/>
    </row>
    <row r="1268" spans="1:9" s="64" customFormat="1" x14ac:dyDescent="0.25">
      <c r="A1268" s="255"/>
      <c r="B1268" s="611"/>
      <c r="C1268" s="562"/>
      <c r="D1268" s="562"/>
      <c r="E1268" s="562"/>
      <c r="F1268" s="562"/>
      <c r="G1268" s="562"/>
      <c r="H1268" s="562"/>
      <c r="I1268" s="563"/>
    </row>
    <row r="1269" spans="1:9" s="64" customFormat="1" x14ac:dyDescent="0.25">
      <c r="A1269" s="255"/>
      <c r="B1269" s="611"/>
      <c r="C1269" s="562"/>
      <c r="D1269" s="562"/>
      <c r="E1269" s="562"/>
      <c r="F1269" s="562"/>
      <c r="G1269" s="562"/>
      <c r="H1269" s="562"/>
      <c r="I1269" s="563"/>
    </row>
    <row r="1270" spans="1:9" s="64" customFormat="1" x14ac:dyDescent="0.25">
      <c r="A1270" s="255"/>
      <c r="B1270" s="611"/>
      <c r="C1270" s="562"/>
      <c r="D1270" s="562"/>
      <c r="E1270" s="562"/>
      <c r="F1270" s="562"/>
      <c r="G1270" s="562"/>
      <c r="H1270" s="562"/>
      <c r="I1270" s="563"/>
    </row>
    <row r="1271" spans="1:9" s="64" customFormat="1" x14ac:dyDescent="0.25">
      <c r="A1271" s="255"/>
      <c r="B1271" s="611"/>
      <c r="C1271" s="562"/>
      <c r="D1271" s="562"/>
      <c r="E1271" s="562"/>
      <c r="F1271" s="562"/>
      <c r="G1271" s="562"/>
      <c r="H1271" s="562"/>
      <c r="I1271" s="563"/>
    </row>
    <row r="1272" spans="1:9" s="64" customFormat="1" x14ac:dyDescent="0.25">
      <c r="A1272" s="255"/>
      <c r="B1272" s="611"/>
      <c r="C1272" s="562"/>
      <c r="D1272" s="562"/>
      <c r="E1272" s="562"/>
      <c r="F1272" s="562"/>
      <c r="G1272" s="562"/>
      <c r="H1272" s="562"/>
      <c r="I1272" s="563"/>
    </row>
    <row r="1273" spans="1:9" s="64" customFormat="1" x14ac:dyDescent="0.25">
      <c r="A1273" s="255"/>
      <c r="B1273" s="611"/>
      <c r="C1273" s="562"/>
      <c r="D1273" s="562"/>
      <c r="E1273" s="562"/>
      <c r="F1273" s="562"/>
      <c r="G1273" s="562"/>
      <c r="H1273" s="562"/>
      <c r="I1273" s="563"/>
    </row>
    <row r="1274" spans="1:9" s="64" customFormat="1" ht="13.8" thickBot="1" x14ac:dyDescent="0.3">
      <c r="A1274" s="256"/>
      <c r="B1274" s="615"/>
      <c r="C1274" s="616"/>
      <c r="D1274" s="616"/>
      <c r="E1274" s="616"/>
      <c r="F1274" s="616"/>
      <c r="G1274" s="616"/>
      <c r="H1274" s="616"/>
      <c r="I1274" s="617"/>
    </row>
    <row r="1276" spans="1:9" s="64" customFormat="1" x14ac:dyDescent="0.25">
      <c r="F1276" s="66"/>
      <c r="G1276" s="66"/>
      <c r="H1276" s="66"/>
      <c r="I1276" s="66"/>
    </row>
    <row r="1277" spans="1:9" s="64" customFormat="1" ht="13.8" thickBot="1" x14ac:dyDescent="0.3">
      <c r="F1277" s="66"/>
      <c r="G1277" s="66"/>
      <c r="H1277" s="66"/>
      <c r="I1277" s="66"/>
    </row>
    <row r="1278" spans="1:9" s="64" customFormat="1" ht="13.8" thickBot="1" x14ac:dyDescent="0.3">
      <c r="A1278" s="636" t="s">
        <v>3</v>
      </c>
      <c r="B1278" s="637"/>
      <c r="F1278" s="66"/>
      <c r="G1278" s="66"/>
      <c r="H1278" s="66"/>
      <c r="I1278" s="66"/>
    </row>
    <row r="1279" spans="1:9" s="258" customFormat="1" ht="13.8" thickBot="1" x14ac:dyDescent="0.3">
      <c r="A1279" s="257"/>
      <c r="B1279" s="257"/>
      <c r="F1279" s="259"/>
      <c r="G1279" s="259"/>
      <c r="H1279" s="259"/>
      <c r="I1279" s="259"/>
    </row>
    <row r="1280" spans="1:9" s="64" customFormat="1" ht="15.75" customHeight="1" thickBot="1" x14ac:dyDescent="0.3">
      <c r="A1280" s="582" t="s">
        <v>2</v>
      </c>
      <c r="B1280" s="583"/>
      <c r="C1280" s="583"/>
      <c r="D1280" s="583"/>
      <c r="E1280" s="583"/>
      <c r="F1280" s="583"/>
      <c r="G1280" s="584"/>
      <c r="H1280" s="66"/>
      <c r="I1280" s="66"/>
    </row>
    <row r="1281" spans="1:23" s="258" customFormat="1" ht="15.75" customHeight="1" thickBot="1" x14ac:dyDescent="0.3">
      <c r="A1281" s="257"/>
      <c r="B1281" s="257"/>
      <c r="C1281" s="257"/>
      <c r="D1281" s="257"/>
      <c r="E1281" s="257"/>
      <c r="F1281" s="257"/>
      <c r="G1281" s="257"/>
      <c r="H1281" s="259"/>
      <c r="I1281" s="259"/>
    </row>
    <row r="1282" spans="1:23" s="64" customFormat="1" ht="15.75" customHeight="1" thickBot="1" x14ac:dyDescent="0.3">
      <c r="A1282" s="627" t="s">
        <v>1</v>
      </c>
      <c r="B1282" s="628"/>
      <c r="C1282" s="628"/>
      <c r="D1282" s="628"/>
      <c r="E1282" s="629"/>
      <c r="F1282" s="260"/>
      <c r="G1282" s="260"/>
      <c r="H1282" s="66"/>
      <c r="I1282" s="66"/>
    </row>
    <row r="1283" spans="1:23" s="64" customFormat="1" x14ac:dyDescent="0.25">
      <c r="A1283" s="630" t="s">
        <v>558</v>
      </c>
      <c r="B1283" s="613" t="s">
        <v>1649</v>
      </c>
      <c r="C1283" s="576" t="s">
        <v>0</v>
      </c>
      <c r="D1283" s="576" t="s">
        <v>541</v>
      </c>
      <c r="E1283" s="613" t="s">
        <v>1650</v>
      </c>
      <c r="F1283" s="576" t="s">
        <v>410</v>
      </c>
      <c r="G1283" s="576" t="s">
        <v>397</v>
      </c>
      <c r="H1283" s="576" t="s">
        <v>559</v>
      </c>
      <c r="I1283" s="576" t="s">
        <v>11</v>
      </c>
      <c r="J1283" s="576" t="s">
        <v>12</v>
      </c>
      <c r="K1283" s="576" t="s">
        <v>13</v>
      </c>
      <c r="L1283" s="576" t="s">
        <v>423</v>
      </c>
      <c r="M1283" s="576" t="s">
        <v>542</v>
      </c>
      <c r="N1283" s="580"/>
    </row>
    <row r="1284" spans="1:23" s="64" customFormat="1" ht="32.25" customHeight="1" thickBot="1" x14ac:dyDescent="0.3">
      <c r="A1284" s="631"/>
      <c r="B1284" s="614"/>
      <c r="C1284" s="607"/>
      <c r="D1284" s="607"/>
      <c r="E1284" s="614"/>
      <c r="F1284" s="607"/>
      <c r="G1284" s="607"/>
      <c r="H1284" s="607"/>
      <c r="I1284" s="607"/>
      <c r="J1284" s="607"/>
      <c r="K1284" s="607"/>
      <c r="L1284" s="607"/>
      <c r="M1284" s="607"/>
      <c r="N1284" s="608"/>
    </row>
    <row r="1285" spans="1:23" s="64" customFormat="1" x14ac:dyDescent="0.25">
      <c r="A1285" s="336"/>
      <c r="B1285" s="337"/>
      <c r="C1285" s="364"/>
      <c r="D1285" s="337"/>
      <c r="E1285" s="337"/>
      <c r="F1285" s="337"/>
      <c r="G1285" s="337"/>
      <c r="H1285" s="337"/>
      <c r="I1285" s="337"/>
      <c r="J1285" s="337"/>
      <c r="K1285" s="337"/>
      <c r="L1285" s="368"/>
      <c r="M1285" s="632"/>
      <c r="N1285" s="633"/>
    </row>
    <row r="1286" spans="1:23" s="64" customFormat="1" x14ac:dyDescent="0.25">
      <c r="A1286" s="65"/>
      <c r="B1286" s="61"/>
      <c r="C1286" s="23"/>
      <c r="D1286" s="61"/>
      <c r="E1286" s="61"/>
      <c r="F1286" s="61"/>
      <c r="G1286" s="61"/>
      <c r="H1286" s="61"/>
      <c r="I1286" s="61"/>
      <c r="J1286" s="61"/>
      <c r="K1286" s="61"/>
      <c r="L1286" s="261"/>
      <c r="M1286" s="625"/>
      <c r="N1286" s="626"/>
    </row>
    <row r="1287" spans="1:23" s="64" customFormat="1" x14ac:dyDescent="0.25">
      <c r="A1287" s="65"/>
      <c r="B1287" s="61"/>
      <c r="C1287" s="23"/>
      <c r="D1287" s="61"/>
      <c r="E1287" s="61"/>
      <c r="F1287" s="61"/>
      <c r="G1287" s="61"/>
      <c r="H1287" s="61"/>
      <c r="I1287" s="61"/>
      <c r="J1287" s="61"/>
      <c r="K1287" s="61"/>
      <c r="L1287" s="261"/>
      <c r="M1287" s="625"/>
      <c r="N1287" s="626"/>
    </row>
    <row r="1288" spans="1:23" s="64" customFormat="1" x14ac:dyDescent="0.25">
      <c r="A1288" s="65"/>
      <c r="B1288" s="61"/>
      <c r="C1288" s="23"/>
      <c r="D1288" s="61"/>
      <c r="E1288" s="61"/>
      <c r="F1288" s="61"/>
      <c r="G1288" s="61"/>
      <c r="H1288" s="61"/>
      <c r="I1288" s="61"/>
      <c r="J1288" s="61"/>
      <c r="K1288" s="61"/>
      <c r="L1288" s="261"/>
      <c r="M1288" s="625"/>
      <c r="N1288" s="626"/>
    </row>
    <row r="1289" spans="1:23" s="64" customFormat="1" x14ac:dyDescent="0.25">
      <c r="A1289" s="65"/>
      <c r="B1289" s="61"/>
      <c r="C1289" s="23"/>
      <c r="D1289" s="61"/>
      <c r="E1289" s="61"/>
      <c r="F1289" s="61"/>
      <c r="G1289" s="61"/>
      <c r="H1289" s="61"/>
      <c r="I1289" s="61"/>
      <c r="J1289" s="61"/>
      <c r="K1289" s="61"/>
      <c r="L1289" s="261"/>
      <c r="M1289" s="625"/>
      <c r="N1289" s="626"/>
    </row>
    <row r="1290" spans="1:23" s="64" customFormat="1" ht="13.8" thickBot="1" x14ac:dyDescent="0.3">
      <c r="A1290" s="127"/>
      <c r="B1290" s="195"/>
      <c r="C1290" s="24"/>
      <c r="D1290" s="195"/>
      <c r="E1290" s="195"/>
      <c r="F1290" s="195"/>
      <c r="G1290" s="195"/>
      <c r="H1290" s="195"/>
      <c r="I1290" s="195"/>
      <c r="J1290" s="195"/>
      <c r="K1290" s="195"/>
      <c r="L1290" s="262"/>
      <c r="M1290" s="601"/>
      <c r="N1290" s="602"/>
    </row>
    <row r="1291" spans="1:23" s="64" customFormat="1" x14ac:dyDescent="0.25">
      <c r="F1291" s="66"/>
      <c r="G1291" s="66"/>
      <c r="H1291" s="66"/>
      <c r="I1291" s="66"/>
    </row>
    <row r="1292" spans="1:23" s="64" customFormat="1" ht="13.8" thickBot="1" x14ac:dyDescent="0.3">
      <c r="F1292" s="66"/>
      <c r="G1292" s="66"/>
      <c r="H1292" s="66"/>
      <c r="I1292" s="66"/>
    </row>
    <row r="1293" spans="1:23" s="64" customFormat="1" ht="13.8" thickBot="1" x14ac:dyDescent="0.3">
      <c r="A1293" s="582" t="s">
        <v>709</v>
      </c>
      <c r="B1293" s="583"/>
      <c r="C1293" s="583"/>
      <c r="D1293" s="583"/>
      <c r="E1293" s="583"/>
      <c r="F1293" s="583"/>
      <c r="G1293" s="584"/>
      <c r="H1293" s="66"/>
      <c r="I1293" s="66"/>
    </row>
    <row r="1294" spans="1:23" s="64" customFormat="1" ht="13.8" thickBot="1" x14ac:dyDescent="0.3">
      <c r="F1294" s="66"/>
      <c r="G1294" s="66"/>
      <c r="H1294" s="66"/>
      <c r="I1294" s="66"/>
    </row>
    <row r="1295" spans="1:23" s="64" customFormat="1" ht="13.8" thickBot="1" x14ac:dyDescent="0.3">
      <c r="A1295" s="627" t="s">
        <v>1</v>
      </c>
      <c r="B1295" s="628"/>
      <c r="C1295" s="628"/>
      <c r="D1295" s="628"/>
      <c r="E1295" s="628"/>
      <c r="F1295" s="628"/>
      <c r="G1295" s="628"/>
      <c r="H1295" s="629"/>
      <c r="I1295" s="66"/>
    </row>
    <row r="1296" spans="1:23" s="64" customFormat="1" ht="16.5" customHeight="1" thickBot="1" x14ac:dyDescent="0.3">
      <c r="A1296" s="630" t="s">
        <v>558</v>
      </c>
      <c r="B1296" s="613" t="s">
        <v>1649</v>
      </c>
      <c r="C1296" s="576" t="s">
        <v>0</v>
      </c>
      <c r="D1296" s="576" t="s">
        <v>541</v>
      </c>
      <c r="E1296" s="613" t="s">
        <v>1650</v>
      </c>
      <c r="F1296" s="576" t="s">
        <v>41</v>
      </c>
      <c r="G1296" s="609" t="s">
        <v>708</v>
      </c>
      <c r="H1296" s="609"/>
      <c r="I1296" s="609"/>
      <c r="J1296" s="609"/>
      <c r="K1296" s="609"/>
      <c r="L1296" s="609"/>
      <c r="M1296" s="609"/>
      <c r="N1296" s="609"/>
      <c r="O1296" s="576" t="s">
        <v>410</v>
      </c>
      <c r="P1296" s="576" t="s">
        <v>397</v>
      </c>
      <c r="Q1296" s="576" t="s">
        <v>559</v>
      </c>
      <c r="R1296" s="576" t="s">
        <v>11</v>
      </c>
      <c r="S1296" s="576" t="s">
        <v>12</v>
      </c>
      <c r="T1296" s="576" t="s">
        <v>13</v>
      </c>
      <c r="U1296" s="576" t="s">
        <v>423</v>
      </c>
      <c r="V1296" s="576" t="s">
        <v>542</v>
      </c>
      <c r="W1296" s="580"/>
    </row>
    <row r="1297" spans="1:23" s="64" customFormat="1" ht="13.8" thickBot="1" x14ac:dyDescent="0.3">
      <c r="A1297" s="631"/>
      <c r="B1297" s="614"/>
      <c r="C1297" s="607"/>
      <c r="D1297" s="607"/>
      <c r="E1297" s="614"/>
      <c r="F1297" s="607"/>
      <c r="G1297" s="54" t="s">
        <v>406</v>
      </c>
      <c r="H1297" s="54" t="s">
        <v>42</v>
      </c>
      <c r="I1297" s="54" t="s">
        <v>407</v>
      </c>
      <c r="J1297" s="54" t="s">
        <v>43</v>
      </c>
      <c r="K1297" s="54" t="s">
        <v>408</v>
      </c>
      <c r="L1297" s="54" t="s">
        <v>44</v>
      </c>
      <c r="M1297" s="54" t="s">
        <v>409</v>
      </c>
      <c r="N1297" s="54" t="s">
        <v>45</v>
      </c>
      <c r="O1297" s="607"/>
      <c r="P1297" s="607"/>
      <c r="Q1297" s="607"/>
      <c r="R1297" s="607"/>
      <c r="S1297" s="607"/>
      <c r="T1297" s="607"/>
      <c r="U1297" s="607"/>
      <c r="V1297" s="607"/>
      <c r="W1297" s="608"/>
    </row>
    <row r="1298" spans="1:23" s="64" customFormat="1" x14ac:dyDescent="0.25">
      <c r="A1298" s="336"/>
      <c r="B1298" s="337"/>
      <c r="C1298" s="364"/>
      <c r="D1298" s="337"/>
      <c r="E1298" s="337"/>
      <c r="F1298" s="367"/>
      <c r="G1298" s="337"/>
      <c r="H1298" s="337"/>
      <c r="I1298" s="337"/>
      <c r="J1298" s="337"/>
      <c r="K1298" s="337"/>
      <c r="L1298" s="337"/>
      <c r="M1298" s="337"/>
      <c r="N1298" s="337"/>
      <c r="O1298" s="337"/>
      <c r="P1298" s="337"/>
      <c r="Q1298" s="337"/>
      <c r="R1298" s="337"/>
      <c r="S1298" s="337"/>
      <c r="T1298" s="337"/>
      <c r="U1298" s="368"/>
      <c r="V1298" s="603"/>
      <c r="W1298" s="604"/>
    </row>
    <row r="1299" spans="1:23" s="64" customFormat="1" x14ac:dyDescent="0.25">
      <c r="A1299" s="65"/>
      <c r="B1299" s="61"/>
      <c r="C1299" s="23"/>
      <c r="D1299" s="61"/>
      <c r="E1299" s="61"/>
      <c r="F1299" s="60"/>
      <c r="G1299" s="61"/>
      <c r="H1299" s="61"/>
      <c r="I1299" s="61"/>
      <c r="J1299" s="61"/>
      <c r="K1299" s="61"/>
      <c r="L1299" s="61"/>
      <c r="M1299" s="61"/>
      <c r="N1299" s="61"/>
      <c r="O1299" s="61"/>
      <c r="P1299" s="61"/>
      <c r="Q1299" s="61"/>
      <c r="R1299" s="61"/>
      <c r="S1299" s="61"/>
      <c r="T1299" s="61"/>
      <c r="U1299" s="261"/>
      <c r="V1299" s="605"/>
      <c r="W1299" s="606"/>
    </row>
    <row r="1300" spans="1:23" s="64" customFormat="1" x14ac:dyDescent="0.25">
      <c r="A1300" s="65"/>
      <c r="B1300" s="61"/>
      <c r="C1300" s="23"/>
      <c r="D1300" s="61"/>
      <c r="E1300" s="61"/>
      <c r="F1300" s="60"/>
      <c r="G1300" s="61"/>
      <c r="H1300" s="61"/>
      <c r="I1300" s="61"/>
      <c r="J1300" s="61"/>
      <c r="K1300" s="61"/>
      <c r="L1300" s="61"/>
      <c r="M1300" s="61"/>
      <c r="N1300" s="61"/>
      <c r="O1300" s="61"/>
      <c r="P1300" s="61"/>
      <c r="Q1300" s="61"/>
      <c r="R1300" s="61"/>
      <c r="S1300" s="61"/>
      <c r="T1300" s="61"/>
      <c r="U1300" s="261"/>
      <c r="V1300" s="605"/>
      <c r="W1300" s="606"/>
    </row>
    <row r="1301" spans="1:23" s="64" customFormat="1" x14ac:dyDescent="0.25">
      <c r="A1301" s="65"/>
      <c r="B1301" s="61"/>
      <c r="C1301" s="23"/>
      <c r="D1301" s="61"/>
      <c r="E1301" s="61"/>
      <c r="F1301" s="60"/>
      <c r="G1301" s="61"/>
      <c r="H1301" s="61"/>
      <c r="I1301" s="61"/>
      <c r="J1301" s="61"/>
      <c r="K1301" s="61"/>
      <c r="L1301" s="61"/>
      <c r="M1301" s="61"/>
      <c r="N1301" s="61"/>
      <c r="O1301" s="61"/>
      <c r="P1301" s="61"/>
      <c r="Q1301" s="61"/>
      <c r="R1301" s="61"/>
      <c r="S1301" s="61"/>
      <c r="T1301" s="61"/>
      <c r="U1301" s="261"/>
      <c r="V1301" s="605"/>
      <c r="W1301" s="606"/>
    </row>
    <row r="1302" spans="1:23" s="64" customFormat="1" x14ac:dyDescent="0.25">
      <c r="A1302" s="65"/>
      <c r="B1302" s="61"/>
      <c r="C1302" s="23"/>
      <c r="D1302" s="61"/>
      <c r="E1302" s="61"/>
      <c r="F1302" s="60"/>
      <c r="G1302" s="61"/>
      <c r="H1302" s="61"/>
      <c r="I1302" s="61"/>
      <c r="J1302" s="61"/>
      <c r="K1302" s="61"/>
      <c r="L1302" s="61"/>
      <c r="M1302" s="61"/>
      <c r="N1302" s="61"/>
      <c r="O1302" s="61"/>
      <c r="P1302" s="61"/>
      <c r="Q1302" s="61"/>
      <c r="R1302" s="61"/>
      <c r="S1302" s="61"/>
      <c r="T1302" s="61"/>
      <c r="U1302" s="261"/>
      <c r="V1302" s="605"/>
      <c r="W1302" s="606"/>
    </row>
    <row r="1303" spans="1:23" s="64" customFormat="1" ht="13.8" thickBot="1" x14ac:dyDescent="0.3">
      <c r="A1303" s="127"/>
      <c r="B1303" s="195"/>
      <c r="C1303" s="24"/>
      <c r="D1303" s="195"/>
      <c r="E1303" s="195"/>
      <c r="F1303" s="263"/>
      <c r="G1303" s="195"/>
      <c r="H1303" s="195"/>
      <c r="I1303" s="195"/>
      <c r="J1303" s="195"/>
      <c r="K1303" s="195"/>
      <c r="L1303" s="195"/>
      <c r="M1303" s="195"/>
      <c r="N1303" s="195"/>
      <c r="O1303" s="195"/>
      <c r="P1303" s="195"/>
      <c r="Q1303" s="195"/>
      <c r="R1303" s="195"/>
      <c r="S1303" s="195"/>
      <c r="T1303" s="195"/>
      <c r="U1303" s="262"/>
      <c r="V1303" s="599"/>
      <c r="W1303" s="600"/>
    </row>
    <row r="1304" spans="1:23" s="64" customFormat="1" x14ac:dyDescent="0.25">
      <c r="F1304" s="66"/>
      <c r="G1304" s="66"/>
      <c r="H1304" s="66"/>
      <c r="I1304" s="66"/>
    </row>
    <row r="1305" spans="1:23" s="64" customFormat="1" x14ac:dyDescent="0.25">
      <c r="F1305" s="66"/>
      <c r="G1305" s="66"/>
      <c r="H1305" s="66"/>
      <c r="I1305" s="66"/>
    </row>
    <row r="1306" spans="1:23" s="64" customFormat="1" ht="13.8" thickBot="1" x14ac:dyDescent="0.3">
      <c r="F1306" s="66"/>
      <c r="G1306" s="66"/>
      <c r="H1306" s="66"/>
      <c r="I1306" s="66"/>
    </row>
    <row r="1307" spans="1:23" ht="13.8" thickBot="1" x14ac:dyDescent="0.3">
      <c r="A1307" s="143" t="s">
        <v>427</v>
      </c>
      <c r="B1307" s="264" t="s">
        <v>428</v>
      </c>
    </row>
    <row r="1308" spans="1:23" x14ac:dyDescent="0.25">
      <c r="A1308" s="146" t="s">
        <v>429</v>
      </c>
      <c r="B1308" s="366" t="s">
        <v>50</v>
      </c>
    </row>
    <row r="1309" spans="1:23" x14ac:dyDescent="0.25">
      <c r="A1309" s="265" t="s">
        <v>64</v>
      </c>
      <c r="B1309" s="63" t="s">
        <v>50</v>
      </c>
    </row>
    <row r="1310" spans="1:23" x14ac:dyDescent="0.25">
      <c r="A1310" s="265" t="s">
        <v>243</v>
      </c>
      <c r="B1310" s="63" t="s">
        <v>50</v>
      </c>
    </row>
    <row r="1311" spans="1:23" x14ac:dyDescent="0.25">
      <c r="A1311" s="265" t="s">
        <v>244</v>
      </c>
      <c r="B1311" s="63" t="s">
        <v>50</v>
      </c>
    </row>
    <row r="1312" spans="1:23" x14ac:dyDescent="0.25">
      <c r="A1312" s="265" t="s">
        <v>245</v>
      </c>
      <c r="B1312" s="63" t="s">
        <v>52</v>
      </c>
    </row>
    <row r="1313" spans="1:9" x14ac:dyDescent="0.25">
      <c r="A1313" s="265" t="s">
        <v>267</v>
      </c>
      <c r="B1313" s="63" t="s">
        <v>52</v>
      </c>
    </row>
    <row r="1314" spans="1:9" x14ac:dyDescent="0.25">
      <c r="A1314" s="266" t="s">
        <v>265</v>
      </c>
      <c r="B1314" s="63" t="s">
        <v>52</v>
      </c>
    </row>
    <row r="1315" spans="1:9" x14ac:dyDescent="0.25">
      <c r="A1315" s="266" t="s">
        <v>430</v>
      </c>
      <c r="B1315" s="63" t="s">
        <v>50</v>
      </c>
    </row>
    <row r="1316" spans="1:9" ht="13.8" thickBot="1" x14ac:dyDescent="0.3">
      <c r="A1316" s="267" t="s">
        <v>433</v>
      </c>
      <c r="B1316" s="129" t="s">
        <v>50</v>
      </c>
      <c r="F1316" s="20"/>
      <c r="G1316" s="20"/>
      <c r="H1316" s="20"/>
      <c r="I1316" s="20"/>
    </row>
  </sheetData>
  <sheetProtection formatCells="0" formatColumns="0" formatRows="0" insertColumns="0" insertRows="0" deleteColumns="0" deleteRows="0" sort="0" autoFilter="0"/>
  <dataConsolidate>
    <dataRefs count="2">
      <dataRef ref="B9" sheet="APPENDIX B-1  (FE - USWC)"/>
      <dataRef ref="A14:A18" sheet="APPENDIX B-1  (FE - USWC)"/>
    </dataRefs>
  </dataConsolidate>
  <mergeCells count="814">
    <mergeCell ref="B1155:D1155"/>
    <mergeCell ref="B1156:D1156"/>
    <mergeCell ref="B1157:D1157"/>
    <mergeCell ref="B1158:D1158"/>
    <mergeCell ref="B1159:D1159"/>
    <mergeCell ref="B1160:D1160"/>
    <mergeCell ref="B1161:D1161"/>
    <mergeCell ref="B1162:D1162"/>
    <mergeCell ref="B1163:D1163"/>
    <mergeCell ref="B1173:D1173"/>
    <mergeCell ref="B1174:D1174"/>
    <mergeCell ref="B1175:D1175"/>
    <mergeCell ref="B1164:D1164"/>
    <mergeCell ref="B1165:D1165"/>
    <mergeCell ref="B1166:D1166"/>
    <mergeCell ref="B1167:D1167"/>
    <mergeCell ref="B1168:D1168"/>
    <mergeCell ref="B1169:D1169"/>
    <mergeCell ref="B1170:D1170"/>
    <mergeCell ref="B1171:D1171"/>
    <mergeCell ref="B1172:D1172"/>
    <mergeCell ref="B1137:D1137"/>
    <mergeCell ref="B1138:D1138"/>
    <mergeCell ref="B1139:D1139"/>
    <mergeCell ref="B1140:D1140"/>
    <mergeCell ref="B1141:D1141"/>
    <mergeCell ref="B1142:D1142"/>
    <mergeCell ref="B1143:D1143"/>
    <mergeCell ref="B1144:D1144"/>
    <mergeCell ref="B1145:D1145"/>
    <mergeCell ref="B1146:D1146"/>
    <mergeCell ref="B1147:D1147"/>
    <mergeCell ref="B1148:D1148"/>
    <mergeCell ref="B1149:D1149"/>
    <mergeCell ref="B1150:D1150"/>
    <mergeCell ref="B1151:D1151"/>
    <mergeCell ref="B1152:D1152"/>
    <mergeCell ref="B1153:D1153"/>
    <mergeCell ref="B1154:D1154"/>
    <mergeCell ref="B1119:D1119"/>
    <mergeCell ref="B1120:D1120"/>
    <mergeCell ref="B1121:D1121"/>
    <mergeCell ref="B1122:D1122"/>
    <mergeCell ref="B1123:D1123"/>
    <mergeCell ref="B1124:D1124"/>
    <mergeCell ref="B1125:D1125"/>
    <mergeCell ref="B1126:D1126"/>
    <mergeCell ref="B1127:D1127"/>
    <mergeCell ref="B1128:D1128"/>
    <mergeCell ref="B1129:D1129"/>
    <mergeCell ref="B1130:D1130"/>
    <mergeCell ref="B1131:D1131"/>
    <mergeCell ref="B1132:D1132"/>
    <mergeCell ref="B1133:D1133"/>
    <mergeCell ref="B1134:D1134"/>
    <mergeCell ref="B1135:D1135"/>
    <mergeCell ref="B1136:D1136"/>
    <mergeCell ref="B1101:D1101"/>
    <mergeCell ref="B1102:D1102"/>
    <mergeCell ref="B1103:D1103"/>
    <mergeCell ref="B1104:D1104"/>
    <mergeCell ref="B1105:D1105"/>
    <mergeCell ref="B1106:D1106"/>
    <mergeCell ref="B1107:D1107"/>
    <mergeCell ref="B1108:D1108"/>
    <mergeCell ref="B1109:D1109"/>
    <mergeCell ref="B1110:D1110"/>
    <mergeCell ref="B1111:D1111"/>
    <mergeCell ref="B1112:D1112"/>
    <mergeCell ref="B1113:D1113"/>
    <mergeCell ref="B1114:D1114"/>
    <mergeCell ref="B1115:D1115"/>
    <mergeCell ref="B1116:D1116"/>
    <mergeCell ref="B1117:D1117"/>
    <mergeCell ref="B1118:D1118"/>
    <mergeCell ref="B1083:D1083"/>
    <mergeCell ref="B1084:D1084"/>
    <mergeCell ref="B1085:D1085"/>
    <mergeCell ref="B1086:D1086"/>
    <mergeCell ref="B1087:D1087"/>
    <mergeCell ref="B1088:D1088"/>
    <mergeCell ref="B1089:D1089"/>
    <mergeCell ref="B1090:D1090"/>
    <mergeCell ref="B1091:D1091"/>
    <mergeCell ref="B1092:D1092"/>
    <mergeCell ref="B1093:D1093"/>
    <mergeCell ref="B1094:D1094"/>
    <mergeCell ref="B1095:D1095"/>
    <mergeCell ref="B1096:D1096"/>
    <mergeCell ref="B1097:D1097"/>
    <mergeCell ref="B1098:D1098"/>
    <mergeCell ref="B1099:D1099"/>
    <mergeCell ref="B1100:D1100"/>
    <mergeCell ref="B1065:D1065"/>
    <mergeCell ref="B1066:D1066"/>
    <mergeCell ref="B1067:D1067"/>
    <mergeCell ref="B1068:D1068"/>
    <mergeCell ref="B1069:D1069"/>
    <mergeCell ref="B1070:D1070"/>
    <mergeCell ref="B1071:D1071"/>
    <mergeCell ref="B1072:D1072"/>
    <mergeCell ref="B1073:D1073"/>
    <mergeCell ref="B1074:D1074"/>
    <mergeCell ref="B1075:D1075"/>
    <mergeCell ref="B1076:D1076"/>
    <mergeCell ref="B1077:D1077"/>
    <mergeCell ref="B1078:D1078"/>
    <mergeCell ref="B1079:D1079"/>
    <mergeCell ref="B1080:D1080"/>
    <mergeCell ref="B1081:D1081"/>
    <mergeCell ref="B1082:D1082"/>
    <mergeCell ref="B1047:D1047"/>
    <mergeCell ref="B1048:D1048"/>
    <mergeCell ref="B1049:D1049"/>
    <mergeCell ref="B1050:D1050"/>
    <mergeCell ref="B1051:D1051"/>
    <mergeCell ref="B1052:D1052"/>
    <mergeCell ref="B1053:D1053"/>
    <mergeCell ref="B1054:D1054"/>
    <mergeCell ref="B1055:D1055"/>
    <mergeCell ref="B1056:D1056"/>
    <mergeCell ref="B1057:D1057"/>
    <mergeCell ref="B1058:D1058"/>
    <mergeCell ref="B1059:D1059"/>
    <mergeCell ref="B1060:D1060"/>
    <mergeCell ref="B1061:D1061"/>
    <mergeCell ref="B1062:D1062"/>
    <mergeCell ref="B1063:D1063"/>
    <mergeCell ref="B1064:D1064"/>
    <mergeCell ref="B1029:D1029"/>
    <mergeCell ref="B1030:D1030"/>
    <mergeCell ref="B1031:D1031"/>
    <mergeCell ref="B1032:D1032"/>
    <mergeCell ref="B1033:D1033"/>
    <mergeCell ref="B1034:D1034"/>
    <mergeCell ref="B1035:D1035"/>
    <mergeCell ref="B1036:D1036"/>
    <mergeCell ref="B1037:D1037"/>
    <mergeCell ref="B1038:D1038"/>
    <mergeCell ref="B1039:D1039"/>
    <mergeCell ref="B1040:D1040"/>
    <mergeCell ref="B1041:D1041"/>
    <mergeCell ref="B1042:D1042"/>
    <mergeCell ref="B1043:D1043"/>
    <mergeCell ref="B1044:D1044"/>
    <mergeCell ref="B1045:D1045"/>
    <mergeCell ref="B1046:D1046"/>
    <mergeCell ref="B1011:D1011"/>
    <mergeCell ref="B1012:D1012"/>
    <mergeCell ref="B1013:D1013"/>
    <mergeCell ref="B1014:D1014"/>
    <mergeCell ref="B1015:D1015"/>
    <mergeCell ref="B1016:D1016"/>
    <mergeCell ref="B1017:D1017"/>
    <mergeCell ref="B1018:D1018"/>
    <mergeCell ref="B1019:D1019"/>
    <mergeCell ref="B1020:D1020"/>
    <mergeCell ref="B1021:D1021"/>
    <mergeCell ref="B1022:D1022"/>
    <mergeCell ref="B1023:D1023"/>
    <mergeCell ref="B1024:D1024"/>
    <mergeCell ref="B1025:D1025"/>
    <mergeCell ref="B1026:D1026"/>
    <mergeCell ref="B1027:D1027"/>
    <mergeCell ref="B1028:D1028"/>
    <mergeCell ref="B993:D993"/>
    <mergeCell ref="B994:D994"/>
    <mergeCell ref="B995:D995"/>
    <mergeCell ref="B996:D996"/>
    <mergeCell ref="B997:D997"/>
    <mergeCell ref="B998:D998"/>
    <mergeCell ref="B999:D999"/>
    <mergeCell ref="B1000:D1000"/>
    <mergeCell ref="B1001:D1001"/>
    <mergeCell ref="B1002:D1002"/>
    <mergeCell ref="B1003:D1003"/>
    <mergeCell ref="B1004:D1004"/>
    <mergeCell ref="B1005:D1005"/>
    <mergeCell ref="B1006:D1006"/>
    <mergeCell ref="B1007:D1007"/>
    <mergeCell ref="B1008:D1008"/>
    <mergeCell ref="B1009:D1009"/>
    <mergeCell ref="B1010:D1010"/>
    <mergeCell ref="B975:D975"/>
    <mergeCell ref="B976:D976"/>
    <mergeCell ref="B977:D977"/>
    <mergeCell ref="B978:D978"/>
    <mergeCell ref="B979:D979"/>
    <mergeCell ref="B980:D980"/>
    <mergeCell ref="B981:D981"/>
    <mergeCell ref="B982:D982"/>
    <mergeCell ref="B983:D983"/>
    <mergeCell ref="B984:D984"/>
    <mergeCell ref="B985:D985"/>
    <mergeCell ref="B986:D986"/>
    <mergeCell ref="B987:D987"/>
    <mergeCell ref="B988:D988"/>
    <mergeCell ref="B989:D989"/>
    <mergeCell ref="B990:D990"/>
    <mergeCell ref="B991:D991"/>
    <mergeCell ref="B992:D992"/>
    <mergeCell ref="B957:D957"/>
    <mergeCell ref="B958:D958"/>
    <mergeCell ref="B959:D959"/>
    <mergeCell ref="B960:D960"/>
    <mergeCell ref="B961:D961"/>
    <mergeCell ref="B962:D962"/>
    <mergeCell ref="B963:D963"/>
    <mergeCell ref="B964:D964"/>
    <mergeCell ref="B965:D965"/>
    <mergeCell ref="B966:D966"/>
    <mergeCell ref="B967:D967"/>
    <mergeCell ref="B968:D968"/>
    <mergeCell ref="B969:D969"/>
    <mergeCell ref="B970:D970"/>
    <mergeCell ref="B971:D971"/>
    <mergeCell ref="B972:D972"/>
    <mergeCell ref="B973:D973"/>
    <mergeCell ref="B974:D974"/>
    <mergeCell ref="B939:D939"/>
    <mergeCell ref="B940:D940"/>
    <mergeCell ref="B941:D941"/>
    <mergeCell ref="B942:D942"/>
    <mergeCell ref="B943:D943"/>
    <mergeCell ref="B944:D944"/>
    <mergeCell ref="B945:D945"/>
    <mergeCell ref="B946:D946"/>
    <mergeCell ref="B947:D947"/>
    <mergeCell ref="B948:D948"/>
    <mergeCell ref="B949:D949"/>
    <mergeCell ref="B950:D950"/>
    <mergeCell ref="B951:D951"/>
    <mergeCell ref="B952:D952"/>
    <mergeCell ref="B953:D953"/>
    <mergeCell ref="B954:D954"/>
    <mergeCell ref="B955:D955"/>
    <mergeCell ref="B956:D956"/>
    <mergeCell ref="B921:D921"/>
    <mergeCell ref="B922:D922"/>
    <mergeCell ref="B923:D923"/>
    <mergeCell ref="B924:D924"/>
    <mergeCell ref="B925:D925"/>
    <mergeCell ref="B926:D926"/>
    <mergeCell ref="B927:D927"/>
    <mergeCell ref="B928:D928"/>
    <mergeCell ref="B929:D929"/>
    <mergeCell ref="B930:D930"/>
    <mergeCell ref="B931:D931"/>
    <mergeCell ref="B932:D932"/>
    <mergeCell ref="B933:D933"/>
    <mergeCell ref="B934:D934"/>
    <mergeCell ref="B935:D935"/>
    <mergeCell ref="B936:D936"/>
    <mergeCell ref="B937:D937"/>
    <mergeCell ref="B938:D938"/>
    <mergeCell ref="B903:D903"/>
    <mergeCell ref="B904:D904"/>
    <mergeCell ref="B905:D905"/>
    <mergeCell ref="B906:D906"/>
    <mergeCell ref="B907:D907"/>
    <mergeCell ref="B908:D908"/>
    <mergeCell ref="B909:D909"/>
    <mergeCell ref="B910:D910"/>
    <mergeCell ref="B911:D911"/>
    <mergeCell ref="B912:D912"/>
    <mergeCell ref="B913:D913"/>
    <mergeCell ref="B914:D914"/>
    <mergeCell ref="B915:D915"/>
    <mergeCell ref="B916:D916"/>
    <mergeCell ref="B917:D917"/>
    <mergeCell ref="B918:D918"/>
    <mergeCell ref="B919:D919"/>
    <mergeCell ref="B920:D920"/>
    <mergeCell ref="B885:D885"/>
    <mergeCell ref="B886:D886"/>
    <mergeCell ref="B887:D887"/>
    <mergeCell ref="B888:D888"/>
    <mergeCell ref="B889:D889"/>
    <mergeCell ref="B890:D890"/>
    <mergeCell ref="B891:D891"/>
    <mergeCell ref="B892:D892"/>
    <mergeCell ref="B893:D893"/>
    <mergeCell ref="B894:D894"/>
    <mergeCell ref="B895:D895"/>
    <mergeCell ref="B896:D896"/>
    <mergeCell ref="B897:D897"/>
    <mergeCell ref="B898:D898"/>
    <mergeCell ref="B899:D899"/>
    <mergeCell ref="B900:D900"/>
    <mergeCell ref="B901:D901"/>
    <mergeCell ref="B902:D902"/>
    <mergeCell ref="B867:D867"/>
    <mergeCell ref="B868:D868"/>
    <mergeCell ref="B869:D869"/>
    <mergeCell ref="B870:D870"/>
    <mergeCell ref="B871:D871"/>
    <mergeCell ref="B872:D872"/>
    <mergeCell ref="B873:D873"/>
    <mergeCell ref="B874:D874"/>
    <mergeCell ref="B875:D875"/>
    <mergeCell ref="B876:D876"/>
    <mergeCell ref="B877:D877"/>
    <mergeCell ref="B878:D878"/>
    <mergeCell ref="B879:D879"/>
    <mergeCell ref="B880:D880"/>
    <mergeCell ref="B881:D881"/>
    <mergeCell ref="B882:D882"/>
    <mergeCell ref="B883:D883"/>
    <mergeCell ref="B884:D884"/>
    <mergeCell ref="B849:D849"/>
    <mergeCell ref="B850:D850"/>
    <mergeCell ref="B851:D851"/>
    <mergeCell ref="B852:D852"/>
    <mergeCell ref="B853:D853"/>
    <mergeCell ref="B854:D854"/>
    <mergeCell ref="B855:D855"/>
    <mergeCell ref="B856:D856"/>
    <mergeCell ref="B857:D857"/>
    <mergeCell ref="B858:D858"/>
    <mergeCell ref="B859:D859"/>
    <mergeCell ref="B860:D860"/>
    <mergeCell ref="B861:D861"/>
    <mergeCell ref="B862:D862"/>
    <mergeCell ref="B863:D863"/>
    <mergeCell ref="B864:D864"/>
    <mergeCell ref="B865:D865"/>
    <mergeCell ref="B866:D866"/>
    <mergeCell ref="B831:D831"/>
    <mergeCell ref="B832:D832"/>
    <mergeCell ref="B833:D833"/>
    <mergeCell ref="B834:D834"/>
    <mergeCell ref="B835:D835"/>
    <mergeCell ref="B836:D836"/>
    <mergeCell ref="B837:D837"/>
    <mergeCell ref="B838:D838"/>
    <mergeCell ref="B839:D839"/>
    <mergeCell ref="B840:D840"/>
    <mergeCell ref="B841:D841"/>
    <mergeCell ref="B842:D842"/>
    <mergeCell ref="B843:D843"/>
    <mergeCell ref="B844:D844"/>
    <mergeCell ref="B845:D845"/>
    <mergeCell ref="B846:D846"/>
    <mergeCell ref="B847:D847"/>
    <mergeCell ref="B848:D848"/>
    <mergeCell ref="B813:D813"/>
    <mergeCell ref="B814:D814"/>
    <mergeCell ref="B815:D815"/>
    <mergeCell ref="B816:D816"/>
    <mergeCell ref="B817:D817"/>
    <mergeCell ref="B818:D818"/>
    <mergeCell ref="B819:D819"/>
    <mergeCell ref="B820:D820"/>
    <mergeCell ref="B821:D821"/>
    <mergeCell ref="B822:D822"/>
    <mergeCell ref="B823:D823"/>
    <mergeCell ref="B824:D824"/>
    <mergeCell ref="B825:D825"/>
    <mergeCell ref="B826:D826"/>
    <mergeCell ref="B827:D827"/>
    <mergeCell ref="B828:D828"/>
    <mergeCell ref="B829:D829"/>
    <mergeCell ref="B830:D830"/>
    <mergeCell ref="B795:D795"/>
    <mergeCell ref="B796:D796"/>
    <mergeCell ref="B797:D797"/>
    <mergeCell ref="B798:D798"/>
    <mergeCell ref="B799:D799"/>
    <mergeCell ref="B800:D800"/>
    <mergeCell ref="B801:D801"/>
    <mergeCell ref="B802:D802"/>
    <mergeCell ref="B803:D803"/>
    <mergeCell ref="B804:D804"/>
    <mergeCell ref="B805:D805"/>
    <mergeCell ref="B806:D806"/>
    <mergeCell ref="B807:D807"/>
    <mergeCell ref="B808:D808"/>
    <mergeCell ref="B809:D809"/>
    <mergeCell ref="B810:D810"/>
    <mergeCell ref="B811:D811"/>
    <mergeCell ref="B812:D812"/>
    <mergeCell ref="B777:D777"/>
    <mergeCell ref="B778:D778"/>
    <mergeCell ref="B779:D779"/>
    <mergeCell ref="B780:D780"/>
    <mergeCell ref="B781:D781"/>
    <mergeCell ref="B782:D782"/>
    <mergeCell ref="B783:D783"/>
    <mergeCell ref="B784:D784"/>
    <mergeCell ref="B785:D785"/>
    <mergeCell ref="B786:D786"/>
    <mergeCell ref="B787:D787"/>
    <mergeCell ref="B788:D788"/>
    <mergeCell ref="B789:D789"/>
    <mergeCell ref="B790:D790"/>
    <mergeCell ref="B791:D791"/>
    <mergeCell ref="B792:D792"/>
    <mergeCell ref="B793:D793"/>
    <mergeCell ref="B794:D794"/>
    <mergeCell ref="B759:D759"/>
    <mergeCell ref="B760:D760"/>
    <mergeCell ref="B761:D761"/>
    <mergeCell ref="B762:D762"/>
    <mergeCell ref="B763:D763"/>
    <mergeCell ref="B764:D764"/>
    <mergeCell ref="B765:D765"/>
    <mergeCell ref="B766:D766"/>
    <mergeCell ref="B767:D767"/>
    <mergeCell ref="B768:D768"/>
    <mergeCell ref="B769:D769"/>
    <mergeCell ref="B770:D770"/>
    <mergeCell ref="B771:D771"/>
    <mergeCell ref="B772:D772"/>
    <mergeCell ref="B773:D773"/>
    <mergeCell ref="B774:D774"/>
    <mergeCell ref="B775:D775"/>
    <mergeCell ref="B776:D776"/>
    <mergeCell ref="B741:D741"/>
    <mergeCell ref="B742:D742"/>
    <mergeCell ref="B743:D743"/>
    <mergeCell ref="B744:D744"/>
    <mergeCell ref="B745:D745"/>
    <mergeCell ref="B746:D746"/>
    <mergeCell ref="B747:D747"/>
    <mergeCell ref="B748:D748"/>
    <mergeCell ref="B749:D749"/>
    <mergeCell ref="B750:D750"/>
    <mergeCell ref="B751:D751"/>
    <mergeCell ref="B752:D752"/>
    <mergeCell ref="B753:D753"/>
    <mergeCell ref="B754:D754"/>
    <mergeCell ref="B755:D755"/>
    <mergeCell ref="B756:D756"/>
    <mergeCell ref="B757:D757"/>
    <mergeCell ref="B758:D758"/>
    <mergeCell ref="B723:D723"/>
    <mergeCell ref="B724:D724"/>
    <mergeCell ref="B725:D725"/>
    <mergeCell ref="B726:D726"/>
    <mergeCell ref="B727:D727"/>
    <mergeCell ref="B728:D728"/>
    <mergeCell ref="B729:D729"/>
    <mergeCell ref="B730:D730"/>
    <mergeCell ref="B731:D731"/>
    <mergeCell ref="B732:D732"/>
    <mergeCell ref="B733:D733"/>
    <mergeCell ref="B734:D734"/>
    <mergeCell ref="B735:D735"/>
    <mergeCell ref="B736:D736"/>
    <mergeCell ref="B737:D737"/>
    <mergeCell ref="B738:D738"/>
    <mergeCell ref="B739:D739"/>
    <mergeCell ref="B740:D740"/>
    <mergeCell ref="B705:D705"/>
    <mergeCell ref="B706:D706"/>
    <mergeCell ref="B707:D707"/>
    <mergeCell ref="B708:D708"/>
    <mergeCell ref="B709:D709"/>
    <mergeCell ref="B710:D710"/>
    <mergeCell ref="B711:D711"/>
    <mergeCell ref="B712:D712"/>
    <mergeCell ref="B713:D713"/>
    <mergeCell ref="B714:D714"/>
    <mergeCell ref="B715:D715"/>
    <mergeCell ref="B716:D716"/>
    <mergeCell ref="B717:D717"/>
    <mergeCell ref="B718:D718"/>
    <mergeCell ref="B719:D719"/>
    <mergeCell ref="B720:D720"/>
    <mergeCell ref="B721:D721"/>
    <mergeCell ref="B722:D722"/>
    <mergeCell ref="B687:D687"/>
    <mergeCell ref="B688:D688"/>
    <mergeCell ref="B689:D689"/>
    <mergeCell ref="B690:D690"/>
    <mergeCell ref="B691:D691"/>
    <mergeCell ref="B692:D692"/>
    <mergeCell ref="B693:D693"/>
    <mergeCell ref="B694:D694"/>
    <mergeCell ref="B695:D695"/>
    <mergeCell ref="B696:D696"/>
    <mergeCell ref="B697:D697"/>
    <mergeCell ref="B698:D698"/>
    <mergeCell ref="B699:D699"/>
    <mergeCell ref="B700:D700"/>
    <mergeCell ref="B701:D701"/>
    <mergeCell ref="B702:D702"/>
    <mergeCell ref="B703:D703"/>
    <mergeCell ref="B704:D704"/>
    <mergeCell ref="B683:D683"/>
    <mergeCell ref="B684:D684"/>
    <mergeCell ref="B685:D685"/>
    <mergeCell ref="B686:D686"/>
    <mergeCell ref="B669:D669"/>
    <mergeCell ref="B670:D670"/>
    <mergeCell ref="B671:D671"/>
    <mergeCell ref="B672:D672"/>
    <mergeCell ref="B673:D673"/>
    <mergeCell ref="B674:D674"/>
    <mergeCell ref="B675:D675"/>
    <mergeCell ref="B676:D676"/>
    <mergeCell ref="B677:D677"/>
    <mergeCell ref="B634:D634"/>
    <mergeCell ref="B635:D635"/>
    <mergeCell ref="B636:D636"/>
    <mergeCell ref="B637:D637"/>
    <mergeCell ref="B638:D638"/>
    <mergeCell ref="B639:D639"/>
    <mergeCell ref="B640:D640"/>
    <mergeCell ref="B641:D641"/>
    <mergeCell ref="B660:D660"/>
    <mergeCell ref="B651:D651"/>
    <mergeCell ref="B652:D652"/>
    <mergeCell ref="B653:D653"/>
    <mergeCell ref="B654:D654"/>
    <mergeCell ref="B655:D655"/>
    <mergeCell ref="B656:D656"/>
    <mergeCell ref="B657:D657"/>
    <mergeCell ref="B658:D658"/>
    <mergeCell ref="B659:D659"/>
    <mergeCell ref="B1214:D1214"/>
    <mergeCell ref="E1217:G1217"/>
    <mergeCell ref="B642:D642"/>
    <mergeCell ref="B643:D643"/>
    <mergeCell ref="B644:D644"/>
    <mergeCell ref="B645:D645"/>
    <mergeCell ref="B646:D646"/>
    <mergeCell ref="B647:D647"/>
    <mergeCell ref="B648:D648"/>
    <mergeCell ref="B649:D649"/>
    <mergeCell ref="B650:D650"/>
    <mergeCell ref="B661:D661"/>
    <mergeCell ref="B662:D662"/>
    <mergeCell ref="B663:D663"/>
    <mergeCell ref="B664:D664"/>
    <mergeCell ref="B665:D665"/>
    <mergeCell ref="B666:D666"/>
    <mergeCell ref="B667:D667"/>
    <mergeCell ref="B668:D668"/>
    <mergeCell ref="B678:D678"/>
    <mergeCell ref="B679:D679"/>
    <mergeCell ref="B680:D680"/>
    <mergeCell ref="B681:D681"/>
    <mergeCell ref="B682:D682"/>
    <mergeCell ref="L1233:L1234"/>
    <mergeCell ref="J1233:J1234"/>
    <mergeCell ref="K1233:K1234"/>
    <mergeCell ref="I1240:I1241"/>
    <mergeCell ref="H1233:H1234"/>
    <mergeCell ref="B1221:D1221"/>
    <mergeCell ref="F1233:F1234"/>
    <mergeCell ref="A1230:I1230"/>
    <mergeCell ref="E1228:G1228"/>
    <mergeCell ref="B1225:D1225"/>
    <mergeCell ref="J1283:J1284"/>
    <mergeCell ref="E1229:G1229"/>
    <mergeCell ref="B1227:D1227"/>
    <mergeCell ref="E1227:G1227"/>
    <mergeCell ref="B1228:D1228"/>
    <mergeCell ref="A1258:I1258"/>
    <mergeCell ref="I1233:I1234"/>
    <mergeCell ref="B1267:I1267"/>
    <mergeCell ref="B1270:I1270"/>
    <mergeCell ref="B1229:D1229"/>
    <mergeCell ref="F1240:F1241"/>
    <mergeCell ref="A1278:B1278"/>
    <mergeCell ref="A1250:F1250"/>
    <mergeCell ref="B1219:D1219"/>
    <mergeCell ref="E1219:G1219"/>
    <mergeCell ref="E1218:G1218"/>
    <mergeCell ref="B1220:D1220"/>
    <mergeCell ref="E1225:G1225"/>
    <mergeCell ref="B1226:D1226"/>
    <mergeCell ref="E1226:G1226"/>
    <mergeCell ref="E1224:G1224"/>
    <mergeCell ref="B1223:D1223"/>
    <mergeCell ref="B1224:D1224"/>
    <mergeCell ref="E1223:G1223"/>
    <mergeCell ref="B1218:D1218"/>
    <mergeCell ref="L1283:L1284"/>
    <mergeCell ref="A1280:G1280"/>
    <mergeCell ref="M1289:N1289"/>
    <mergeCell ref="A1293:G1293"/>
    <mergeCell ref="D1296:D1297"/>
    <mergeCell ref="A1295:H1295"/>
    <mergeCell ref="F1296:F1297"/>
    <mergeCell ref="A1296:A1297"/>
    <mergeCell ref="B1296:B1297"/>
    <mergeCell ref="C1296:C1297"/>
    <mergeCell ref="M1285:N1285"/>
    <mergeCell ref="M1286:N1286"/>
    <mergeCell ref="M1288:N1288"/>
    <mergeCell ref="M1287:N1287"/>
    <mergeCell ref="D1283:D1284"/>
    <mergeCell ref="E1283:E1284"/>
    <mergeCell ref="F1283:F1284"/>
    <mergeCell ref="A1282:E1282"/>
    <mergeCell ref="I1283:I1284"/>
    <mergeCell ref="H1283:H1284"/>
    <mergeCell ref="G1283:G1284"/>
    <mergeCell ref="A1283:A1284"/>
    <mergeCell ref="K1283:K1284"/>
    <mergeCell ref="M1283:N1284"/>
    <mergeCell ref="E1296:E1297"/>
    <mergeCell ref="B1283:B1284"/>
    <mergeCell ref="B1274:I1274"/>
    <mergeCell ref="C1283:C1284"/>
    <mergeCell ref="A1233:D1233"/>
    <mergeCell ref="H1240:H1241"/>
    <mergeCell ref="G1233:G1234"/>
    <mergeCell ref="E1233:E1234"/>
    <mergeCell ref="A1252:F1252"/>
    <mergeCell ref="B1264:I1264"/>
    <mergeCell ref="B1260:I1260"/>
    <mergeCell ref="B1272:I1272"/>
    <mergeCell ref="B1268:I1268"/>
    <mergeCell ref="B1273:I1273"/>
    <mergeCell ref="B1269:I1269"/>
    <mergeCell ref="B1271:I1271"/>
    <mergeCell ref="M1240:M1241"/>
    <mergeCell ref="J1240:J1241"/>
    <mergeCell ref="L1240:L1241"/>
    <mergeCell ref="K1240:K1241"/>
    <mergeCell ref="B1266:I1266"/>
    <mergeCell ref="B1265:I1265"/>
    <mergeCell ref="A1251:F1251"/>
    <mergeCell ref="B1261:I1261"/>
    <mergeCell ref="B1262:I1262"/>
    <mergeCell ref="B1263:I1263"/>
    <mergeCell ref="V1303:W1303"/>
    <mergeCell ref="M1290:N1290"/>
    <mergeCell ref="V1298:W1298"/>
    <mergeCell ref="V1299:W1299"/>
    <mergeCell ref="V1300:W1300"/>
    <mergeCell ref="Q1296:Q1297"/>
    <mergeCell ref="R1296:R1297"/>
    <mergeCell ref="S1296:S1297"/>
    <mergeCell ref="T1296:T1297"/>
    <mergeCell ref="V1296:W1297"/>
    <mergeCell ref="V1301:W1301"/>
    <mergeCell ref="V1302:W1302"/>
    <mergeCell ref="O1296:O1297"/>
    <mergeCell ref="P1296:P1297"/>
    <mergeCell ref="U1296:U1297"/>
    <mergeCell ref="G1296:N1296"/>
    <mergeCell ref="M1200:M1202"/>
    <mergeCell ref="A1181:C1181"/>
    <mergeCell ref="B1192:D1192"/>
    <mergeCell ref="B632:D632"/>
    <mergeCell ref="A625:C625"/>
    <mergeCell ref="A624:C624"/>
    <mergeCell ref="L1200:L1202"/>
    <mergeCell ref="A1201:G1201"/>
    <mergeCell ref="H615:H616"/>
    <mergeCell ref="A1202:G1202"/>
    <mergeCell ref="B1191:D1191"/>
    <mergeCell ref="M615:M616"/>
    <mergeCell ref="I615:I616"/>
    <mergeCell ref="I1200:I1202"/>
    <mergeCell ref="A1200:G1200"/>
    <mergeCell ref="B1177:D1177"/>
    <mergeCell ref="B1176:D1176"/>
    <mergeCell ref="A1182:C1182"/>
    <mergeCell ref="B1193:D1193"/>
    <mergeCell ref="K615:K616"/>
    <mergeCell ref="B1178:D1178"/>
    <mergeCell ref="A1196:I1196"/>
    <mergeCell ref="B1198:I1198"/>
    <mergeCell ref="G615:G616"/>
    <mergeCell ref="K1200:K1202"/>
    <mergeCell ref="H1200:H1202"/>
    <mergeCell ref="J1200:J1202"/>
    <mergeCell ref="B1203:D1203"/>
    <mergeCell ref="E1205:G1205"/>
    <mergeCell ref="B1207:D1207"/>
    <mergeCell ref="E1207:G1207"/>
    <mergeCell ref="E1204:G1204"/>
    <mergeCell ref="B1204:D1204"/>
    <mergeCell ref="A12:J12"/>
    <mergeCell ref="A614:D614"/>
    <mergeCell ref="B45:B46"/>
    <mergeCell ref="A514:A515"/>
    <mergeCell ref="B33:H33"/>
    <mergeCell ref="B34:H34"/>
    <mergeCell ref="B35:H35"/>
    <mergeCell ref="A1248:E1248"/>
    <mergeCell ref="A1231:I1231"/>
    <mergeCell ref="A1240:D1240"/>
    <mergeCell ref="E1240:E1241"/>
    <mergeCell ref="G1240:G1241"/>
    <mergeCell ref="B1217:D1217"/>
    <mergeCell ref="B1208:D1208"/>
    <mergeCell ref="E1220:G1220"/>
    <mergeCell ref="B1222:D1222"/>
    <mergeCell ref="E1222:G1222"/>
    <mergeCell ref="E1221:G1221"/>
    <mergeCell ref="B1209:D1209"/>
    <mergeCell ref="E1209:G1209"/>
    <mergeCell ref="B1215:D1215"/>
    <mergeCell ref="E1215:G1215"/>
    <mergeCell ref="B1212:D1212"/>
    <mergeCell ref="E1212:G1212"/>
    <mergeCell ref="A1:B1"/>
    <mergeCell ref="C1:F1"/>
    <mergeCell ref="A2:B2"/>
    <mergeCell ref="C2:F2"/>
    <mergeCell ref="A5:B5"/>
    <mergeCell ref="C5:F5"/>
    <mergeCell ref="A6:B6"/>
    <mergeCell ref="A8:B8"/>
    <mergeCell ref="A3:B3"/>
    <mergeCell ref="C3:F3"/>
    <mergeCell ref="A4:B4"/>
    <mergeCell ref="C4:F4"/>
    <mergeCell ref="A7:B7"/>
    <mergeCell ref="C7:F7"/>
    <mergeCell ref="C8:F8"/>
    <mergeCell ref="C6:F6"/>
    <mergeCell ref="B36:H36"/>
    <mergeCell ref="B514:B515"/>
    <mergeCell ref="F615:F616"/>
    <mergeCell ref="E615:E616"/>
    <mergeCell ref="D615:D616"/>
    <mergeCell ref="C615:C616"/>
    <mergeCell ref="B1216:D1216"/>
    <mergeCell ref="E1216:G1216"/>
    <mergeCell ref="E1203:G1203"/>
    <mergeCell ref="B1206:D1206"/>
    <mergeCell ref="E1206:G1206"/>
    <mergeCell ref="E1208:G1208"/>
    <mergeCell ref="B1205:D1205"/>
    <mergeCell ref="B1190:D1190"/>
    <mergeCell ref="B1197:I1197"/>
    <mergeCell ref="E1210:G1210"/>
    <mergeCell ref="E1214:G1214"/>
    <mergeCell ref="B1213:D1213"/>
    <mergeCell ref="E1213:G1213"/>
    <mergeCell ref="B1211:D1211"/>
    <mergeCell ref="E1211:G1211"/>
    <mergeCell ref="D514:D515"/>
    <mergeCell ref="B615:B616"/>
    <mergeCell ref="B1210:D1210"/>
    <mergeCell ref="B38:H38"/>
    <mergeCell ref="B37:H37"/>
    <mergeCell ref="B32:H32"/>
    <mergeCell ref="J13:K13"/>
    <mergeCell ref="B19:I19"/>
    <mergeCell ref="J17:K17"/>
    <mergeCell ref="L14:M14"/>
    <mergeCell ref="B15:I15"/>
    <mergeCell ref="L15:M15"/>
    <mergeCell ref="B16:I16"/>
    <mergeCell ref="J16:K16"/>
    <mergeCell ref="L16:M16"/>
    <mergeCell ref="J15:K15"/>
    <mergeCell ref="B14:I14"/>
    <mergeCell ref="J14:K14"/>
    <mergeCell ref="L17:M17"/>
    <mergeCell ref="B17:I17"/>
    <mergeCell ref="L13:M13"/>
    <mergeCell ref="L18:M18"/>
    <mergeCell ref="L19:M19"/>
    <mergeCell ref="B13:I13"/>
    <mergeCell ref="B18:I18"/>
    <mergeCell ref="J18:K18"/>
    <mergeCell ref="J19:K19"/>
    <mergeCell ref="B22:H22"/>
    <mergeCell ref="J514:J515"/>
    <mergeCell ref="C514:C515"/>
    <mergeCell ref="I45:I46"/>
    <mergeCell ref="E45:E46"/>
    <mergeCell ref="G514:G515"/>
    <mergeCell ref="B29:H29"/>
    <mergeCell ref="B30:H30"/>
    <mergeCell ref="B31:H31"/>
    <mergeCell ref="F514:F515"/>
    <mergeCell ref="B26:H26"/>
    <mergeCell ref="B23:H23"/>
    <mergeCell ref="B24:H24"/>
    <mergeCell ref="B39:H39"/>
    <mergeCell ref="B25:H25"/>
    <mergeCell ref="E514:E515"/>
    <mergeCell ref="C45:C46"/>
    <mergeCell ref="D45:D46"/>
    <mergeCell ref="G45:G46"/>
    <mergeCell ref="H45:H46"/>
    <mergeCell ref="B27:H27"/>
    <mergeCell ref="B28:H28"/>
    <mergeCell ref="H514:H515"/>
    <mergeCell ref="I514:I515"/>
    <mergeCell ref="AC615:AC616"/>
    <mergeCell ref="AA615:AA616"/>
    <mergeCell ref="AB615:AB616"/>
    <mergeCell ref="L615:L616"/>
    <mergeCell ref="A1195:I1195"/>
    <mergeCell ref="J615:J616"/>
    <mergeCell ref="B1189:D1189"/>
    <mergeCell ref="AA45:AA46"/>
    <mergeCell ref="AA514:AA515"/>
    <mergeCell ref="X45:X46"/>
    <mergeCell ref="Y45:Y46"/>
    <mergeCell ref="Z45:Z46"/>
    <mergeCell ref="Y514:Y515"/>
    <mergeCell ref="Z514:Z515"/>
    <mergeCell ref="Z615:Z616"/>
    <mergeCell ref="X514:X515"/>
    <mergeCell ref="L45:L46"/>
    <mergeCell ref="K514:K515"/>
    <mergeCell ref="F45:F46"/>
    <mergeCell ref="J45:J46"/>
    <mergeCell ref="K45:K46"/>
    <mergeCell ref="A45:A46"/>
    <mergeCell ref="A615:A616"/>
    <mergeCell ref="B633:D633"/>
  </mergeCells>
  <phoneticPr fontId="3" type="noConversion"/>
  <conditionalFormatting sqref="A23:A25">
    <cfRule type="duplicateValues" dxfId="1" priority="1"/>
  </conditionalFormatting>
  <dataValidations count="37">
    <dataValidation type="list" allowBlank="1" showInputMessage="1" showErrorMessage="1" sqref="B1308:B1316" xr:uid="{00000000-0002-0000-0500-000000000000}">
      <formula1>Autom</formula1>
    </dataValidation>
    <dataValidation type="list" showInputMessage="1" showErrorMessage="1" sqref="C1285:C1290 C1298:C1303" xr:uid="{00000000-0002-0000-0500-000001000000}">
      <formula1>IF($B1285="I",DDTARIFFUS,DDTARIFF)</formula1>
    </dataValidation>
    <dataValidation type="list" allowBlank="1" showInputMessage="1" showErrorMessage="1" sqref="B1298:B1303 B1285:B1290" xr:uid="{00000000-0002-0000-0500-000002000000}">
      <formula1>EXPIMP</formula1>
    </dataValidation>
    <dataValidation type="list" allowBlank="1" showInputMessage="1" showErrorMessage="1" sqref="O1298:O1303 F1285:F1290" xr:uid="{00000000-0002-0000-0500-000003000000}">
      <formula1>EQTYPE</formula1>
    </dataValidation>
    <dataValidation type="list" allowBlank="1" showInputMessage="1" showErrorMessage="1" sqref="P1298:P1303 G1285:G1290" xr:uid="{00000000-0002-0000-0500-000004000000}">
      <formula1>OPREEFER</formula1>
    </dataValidation>
    <dataValidation type="list" allowBlank="1" showInputMessage="1" showErrorMessage="1" sqref="F1298:F1303" xr:uid="{00000000-0002-0000-0500-000005000000}">
      <formula1>CURRENCY</formula1>
    </dataValidation>
    <dataValidation type="whole" allowBlank="1" showInputMessage="1" showErrorMessage="1" error="Only whole numbers can be entered into this field" sqref="D1298:D1303 D1285:D1290" xr:uid="{00000000-0002-0000-0500-000006000000}">
      <formula1>1</formula1>
      <formula2>99</formula2>
    </dataValidation>
    <dataValidation type="list" showInputMessage="1" showErrorMessage="1" sqref="E1298:E1303 E1285:E1290" xr:uid="{00000000-0002-0000-0500-000007000000}">
      <formula1>DAYS</formula1>
    </dataValidation>
    <dataValidation type="whole" allowBlank="1" showInputMessage="1" showErrorMessage="1" error="Only whole numbers may be entered into this field_x000a_" sqref="G1298:G1303 M1298:M1303 K1298:K1303 I1298:I1303" xr:uid="{00000000-0002-0000-0500-000008000000}">
      <formula1>1</formula1>
      <formula2>99</formula2>
    </dataValidation>
    <dataValidation type="decimal" allowBlank="1" showInputMessage="1" showErrorMessage="1" error="Only numbers may be entered into this field" sqref="H1298:H1303 N1298:N1303 L1298:L1303 J1298:J1303" xr:uid="{00000000-0002-0000-0500-000009000000}">
      <formula1>1</formula1>
      <formula2>1000000000</formula2>
    </dataValidation>
    <dataValidation type="list" showInputMessage="1" showErrorMessage="1" sqref="K1235:K1238 N1176:N1178 N1190:N1193 A617:A620 K1242:K1245 A610:A611 A509:A510" xr:uid="{00000000-0002-0000-0500-00000A000000}">
      <formula1>$A$14:$A$20</formula1>
    </dataValidation>
    <dataValidation type="list" allowBlank="1" showInputMessage="1" showErrorMessage="1" sqref="J1235:J1238 J1242:J1245" xr:uid="{00000000-0002-0000-0500-00000B000000}">
      <formula1>GRIPSS</formula1>
    </dataValidation>
    <dataValidation type="decimal" allowBlank="1" showInputMessage="1" showErrorMessage="1" sqref="F1242:I1245 F1235:I1238 I617:L620 J1190:M1193 I47:L510 I516:K611" xr:uid="{00000000-0002-0000-0500-00000C000000}">
      <formula1>0</formula1>
      <formula2>999999999999999</formula2>
    </dataValidation>
    <dataValidation type="list" allowBlank="1" showInputMessage="1" showErrorMessage="1" sqref="E1235:E1238 E1242:E1245" xr:uid="{00000000-0002-0000-0500-00000D000000}">
      <formula1>GRIPSS_EQ</formula1>
    </dataValidation>
    <dataValidation type="list" showInputMessage="1" showErrorMessage="1" sqref="A1285:A1290 A1298:A1303" xr:uid="{00000000-0002-0000-0500-00000E000000}">
      <formula1>BULLET</formula1>
    </dataValidation>
    <dataValidation type="date" allowBlank="1" showInputMessage="1" showErrorMessage="1" sqref="J1203:K1229 X47:Y510" xr:uid="{00000000-0002-0000-0500-00000F000000}">
      <formula1>10101</formula1>
      <formula2>311299</formula2>
    </dataValidation>
    <dataValidation type="list" showDropDown="1" showErrorMessage="1" sqref="O1189:P1189 O632" xr:uid="{00000000-0002-0000-0500-000010000000}">
      <formula1>Charges</formula1>
    </dataValidation>
    <dataValidation type="list" allowBlank="1" showInputMessage="1" showErrorMessage="1" sqref="O1190:P1193 O633:O1178" xr:uid="{00000000-0002-0000-0500-000011000000}">
      <formula1 xml:space="preserve"> droppull</formula1>
    </dataValidation>
    <dataValidation type="list" allowBlank="1" showInputMessage="1" showErrorMessage="1" sqref="P617:P620 G1190:G1193 G633:G1178 L516:L611 N516:N611" xr:uid="{00000000-0002-0000-0500-000012000000}">
      <formula1>YesNo</formula1>
    </dataValidation>
    <dataValidation type="list" allowBlank="1" showInputMessage="1" showErrorMessage="1" sqref="M617:M620" xr:uid="{00000000-0002-0000-0500-000013000000}">
      <formula1>Equip</formula1>
    </dataValidation>
    <dataValidation type="list" allowBlank="1" showInputMessage="1" showErrorMessage="1" sqref="F1190:F1193 F633:F1178" xr:uid="{00000000-0002-0000-0500-000014000000}">
      <formula1>ArbMode</formula1>
    </dataValidation>
    <dataValidation type="list" allowBlank="1" showInputMessage="1" showErrorMessage="1" sqref="G617:G620 G47:G510 G516:G611" xr:uid="{00000000-0002-0000-0500-000015000000}">
      <formula1>SDD</formula1>
    </dataValidation>
    <dataValidation type="list" allowBlank="1" showInputMessage="1" showErrorMessage="1" sqref="Q616:Y616 M46:W46" xr:uid="{00000000-0002-0000-0500-000016000000}">
      <formula1>Container</formula1>
    </dataValidation>
    <dataValidation type="list" allowBlank="1" showInputMessage="1" showErrorMessage="1" sqref="O515:W515" xr:uid="{00000000-0002-0000-0500-000017000000}">
      <formula1>Reefer</formula1>
    </dataValidation>
    <dataValidation type="list" allowBlank="1" showInputMessage="1" showErrorMessage="1" sqref="F617:F620 F47:F510 F516:F611" xr:uid="{00000000-0002-0000-0500-000018000000}">
      <formula1>Mode</formula1>
    </dataValidation>
    <dataValidation type="list" allowBlank="1" showInputMessage="1" showErrorMessage="1" sqref="O617:O620 M516:M611" xr:uid="{00000000-0002-0000-0500-000019000000}">
      <formula1>ShipperOwn</formula1>
    </dataValidation>
    <dataValidation type="list" allowBlank="1" showInputMessage="1" showErrorMessage="1" sqref="N617:N620" xr:uid="{00000000-0002-0000-0500-00001A000000}">
      <formula1>OOG</formula1>
    </dataValidation>
    <dataValidation type="list" allowBlank="1" showErrorMessage="1" sqref="M45:W45 Q615:Y615 O514:W514" xr:uid="{00000000-0002-0000-0500-00001B000000}">
      <formula1>Exceptions</formula1>
    </dataValidation>
    <dataValidation type="list" allowBlank="1" showInputMessage="1" showErrorMessage="1" sqref="AC617:AC620 AC278:AC508 AA47:AA510 AA516:AA611" xr:uid="{00000000-0002-0000-0500-00001C000000}">
      <formula1>CST</formula1>
    </dataValidation>
    <dataValidation type="list" allowBlank="1" showInputMessage="1" showErrorMessage="1" sqref="I1203:I1229" xr:uid="{00000000-0002-0000-0500-00001D000000}">
      <formula1>$A$14:$A$20</formula1>
    </dataValidation>
    <dataValidation type="list" allowBlank="1" showErrorMessage="1" sqref="A1203:A1229" xr:uid="{00000000-0002-0000-0500-00001E000000}">
      <formula1>Charges</formula1>
    </dataValidation>
    <dataValidation allowBlank="1" showInputMessage="1" showErrorMessage="1" promptTitle="Acceptable Values:" prompt="- Applicable _x000a_- Not applicable _x000a_- Included_x000a_- Amount and OSPF for cases of fixed per D40 OSPF_x000a_    (example-  &quot;375 OSPF&quot;)" sqref="E1203:G1229" xr:uid="{00000000-0002-0000-0500-00001F000000}"/>
    <dataValidation type="list" allowBlank="1" showInputMessage="1" showErrorMessage="1" errorTitle="Pick up the list" promptTitle="Blank = ALL" sqref="H1203:H1229" xr:uid="{00000000-0002-0000-0500-000020000000}">
      <formula1>Type_note2</formula1>
    </dataValidation>
    <dataValidation type="list" showInputMessage="1" showErrorMessage="1" sqref="N633:N1175" xr:uid="{4C9F2D6D-84AE-4226-93A9-441AA4221A51}">
      <formula1>$A$14:$A$18</formula1>
    </dataValidation>
    <dataValidation type="list" showInputMessage="1" showErrorMessage="1" sqref="A47:A277 A516:A562" xr:uid="{C83F0E75-636F-4BEE-933B-9CBD2025B97E}">
      <formula1>$A$14:$A$19</formula1>
    </dataValidation>
    <dataValidation type="list" showInputMessage="1" showErrorMessage="1" sqref="A278:A508" xr:uid="{2D7B2E09-DF3D-4D42-B6FB-C502E9C96400}">
      <formula1>$A$14:$A$22</formula1>
    </dataValidation>
    <dataValidation type="list" showInputMessage="1" showErrorMessage="1" sqref="A563:A609" xr:uid="{AD0706F1-2D2E-4091-9E51-763F3CA35DE7}">
      <formula1>$A$14:$A$21</formula1>
    </dataValidation>
  </dataValidations>
  <pageMargins left="0.25" right="0.25" top="0.25" bottom="0.25" header="0.5" footer="0"/>
  <pageSetup scale="27" fitToHeight="0" orientation="landscape" r:id="rId1"/>
  <headerFooter alignWithMargins="0"/>
  <rowBreaks count="1" manualBreakCount="1">
    <brk id="1198" max="16383"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3">
    <tabColor rgb="FFFF0000"/>
    <pageSetUpPr fitToPage="1"/>
  </sheetPr>
  <dimension ref="A1:BB1715"/>
  <sheetViews>
    <sheetView showGridLines="0" zoomScaleNormal="100" zoomScaleSheetLayoutView="75" workbookViewId="0">
      <selection sqref="A1:B1"/>
    </sheetView>
  </sheetViews>
  <sheetFormatPr defaultColWidth="9.109375" defaultRowHeight="13.2" x14ac:dyDescent="0.25"/>
  <cols>
    <col min="1" max="1" width="34.109375" style="20" customWidth="1"/>
    <col min="2" max="2" width="18.5546875" style="20" customWidth="1"/>
    <col min="3" max="3" width="18.109375" style="20" customWidth="1"/>
    <col min="4" max="4" width="17.44140625" style="20" customWidth="1"/>
    <col min="5" max="5" width="19.109375" style="20" customWidth="1"/>
    <col min="6" max="6" width="12.109375" style="199" customWidth="1"/>
    <col min="7" max="8" width="17.44140625" style="199" customWidth="1"/>
    <col min="9" max="9" width="17.88671875" style="199" customWidth="1"/>
    <col min="10" max="10" width="32.109375" style="20" customWidth="1"/>
    <col min="11" max="11" width="22" style="20" bestFit="1" customWidth="1"/>
    <col min="12" max="12" width="18.5546875" style="20" customWidth="1"/>
    <col min="13" max="13" width="20" style="20" bestFit="1" customWidth="1"/>
    <col min="14" max="14" width="17.88671875" style="20" customWidth="1"/>
    <col min="15" max="16" width="16.5546875" style="20" customWidth="1"/>
    <col min="17" max="17" width="17.5546875" style="20" customWidth="1"/>
    <col min="18" max="18" width="15.88671875" style="20" customWidth="1"/>
    <col min="19" max="19" width="16.88671875" style="20" customWidth="1"/>
    <col min="20" max="20" width="16.5546875" style="20" customWidth="1"/>
    <col min="21" max="21" width="16.88671875" style="20" customWidth="1"/>
    <col min="22" max="22" width="17.5546875" style="20" customWidth="1"/>
    <col min="23" max="23" width="18" style="20" customWidth="1"/>
    <col min="24" max="25" width="18.44140625" style="20" bestFit="1" customWidth="1"/>
    <col min="26" max="26" width="9.88671875" style="20" customWidth="1"/>
    <col min="27" max="27" width="14.109375" style="20" customWidth="1"/>
    <col min="28" max="28" width="9.88671875" style="20" customWidth="1"/>
    <col min="29" max="29" width="14.109375" style="20" customWidth="1"/>
    <col min="30" max="16384" width="9.109375" style="20"/>
  </cols>
  <sheetData>
    <row r="1" spans="1:54" x14ac:dyDescent="0.25">
      <c r="A1" s="547" t="s">
        <v>455</v>
      </c>
      <c r="B1" s="548"/>
      <c r="C1" s="549" t="str">
        <f>Cover!B1</f>
        <v>25-3117</v>
      </c>
      <c r="D1" s="550"/>
      <c r="E1" s="550"/>
      <c r="F1" s="551"/>
      <c r="G1" s="135"/>
      <c r="H1" s="20"/>
      <c r="I1" s="20"/>
    </row>
    <row r="2" spans="1:54" x14ac:dyDescent="0.25">
      <c r="A2" s="552" t="s">
        <v>1024</v>
      </c>
      <c r="B2" s="553"/>
      <c r="C2" s="554"/>
      <c r="D2" s="418"/>
      <c r="E2" s="418"/>
      <c r="F2" s="555"/>
      <c r="G2" s="20"/>
      <c r="H2" s="20"/>
      <c r="I2" s="20"/>
    </row>
    <row r="3" spans="1:54" x14ac:dyDescent="0.25">
      <c r="A3" s="552" t="s">
        <v>466</v>
      </c>
      <c r="B3" s="553"/>
      <c r="C3" s="558">
        <f>Cover!B2</f>
        <v>58</v>
      </c>
      <c r="D3" s="559"/>
      <c r="E3" s="559"/>
      <c r="F3" s="560"/>
      <c r="G3" s="20"/>
      <c r="H3" s="20"/>
      <c r="I3" s="20"/>
    </row>
    <row r="4" spans="1:54" x14ac:dyDescent="0.25">
      <c r="A4" s="552" t="s">
        <v>1019</v>
      </c>
      <c r="B4" s="553"/>
      <c r="C4" s="561" t="str">
        <f>Cover!B7</f>
        <v>LOGISTIQUE PRIME FREIGHT INC</v>
      </c>
      <c r="D4" s="562"/>
      <c r="E4" s="562"/>
      <c r="F4" s="563"/>
      <c r="G4" s="20"/>
      <c r="H4" s="20"/>
      <c r="I4" s="20"/>
    </row>
    <row r="5" spans="1:54" x14ac:dyDescent="0.25">
      <c r="A5" s="552" t="s">
        <v>472</v>
      </c>
      <c r="B5" s="553"/>
      <c r="C5" s="554" t="s">
        <v>475</v>
      </c>
      <c r="D5" s="418"/>
      <c r="E5" s="418"/>
      <c r="F5" s="555"/>
      <c r="G5" s="20"/>
      <c r="H5" s="20"/>
      <c r="I5" s="20"/>
    </row>
    <row r="6" spans="1:54" ht="15.75" customHeight="1" x14ac:dyDescent="0.25">
      <c r="A6" s="552" t="s">
        <v>456</v>
      </c>
      <c r="B6" s="553"/>
      <c r="C6" s="554" t="s">
        <v>510</v>
      </c>
      <c r="D6" s="418"/>
      <c r="E6" s="418"/>
      <c r="F6" s="555"/>
      <c r="G6" s="20"/>
      <c r="H6" s="20"/>
      <c r="I6" s="20"/>
    </row>
    <row r="7" spans="1:54" ht="15.75" customHeight="1" x14ac:dyDescent="0.25">
      <c r="A7" s="552" t="s">
        <v>544</v>
      </c>
      <c r="B7" s="553"/>
      <c r="C7" s="554" t="s">
        <v>175</v>
      </c>
      <c r="D7" s="418"/>
      <c r="E7" s="418"/>
      <c r="F7" s="555"/>
      <c r="G7" s="20"/>
      <c r="H7" s="20"/>
      <c r="I7" s="20"/>
    </row>
    <row r="8" spans="1:54" ht="2.25" customHeight="1" thickBot="1" x14ac:dyDescent="0.3">
      <c r="A8" s="556"/>
      <c r="B8" s="557"/>
      <c r="C8" s="564"/>
      <c r="D8" s="565"/>
      <c r="E8" s="565"/>
      <c r="F8" s="566"/>
      <c r="G8" s="20"/>
      <c r="H8" s="20"/>
      <c r="I8" s="20"/>
    </row>
    <row r="9" spans="1:54" x14ac:dyDescent="0.25">
      <c r="A9" s="138">
        <v>41</v>
      </c>
      <c r="B9" s="138" t="s">
        <v>546</v>
      </c>
      <c r="D9" s="139"/>
      <c r="E9" s="139"/>
      <c r="F9" s="140"/>
      <c r="G9" s="20"/>
      <c r="H9" s="20"/>
      <c r="I9" s="20"/>
    </row>
    <row r="10" spans="1:54" ht="13.8" thickBot="1" x14ac:dyDescent="0.3">
      <c r="A10" s="141"/>
      <c r="D10" s="139"/>
      <c r="E10" s="139"/>
      <c r="F10" s="140"/>
      <c r="G10" s="142"/>
      <c r="H10" s="139"/>
      <c r="I10" s="139"/>
      <c r="J10" s="139"/>
    </row>
    <row r="11" spans="1:54" ht="13.8" thickBot="1" x14ac:dyDescent="0.3">
      <c r="A11" s="143" t="s">
        <v>545</v>
      </c>
      <c r="B11" s="144"/>
      <c r="D11" s="139"/>
      <c r="E11" s="139"/>
      <c r="F11" s="140"/>
      <c r="G11" s="142"/>
      <c r="H11" s="139"/>
      <c r="I11" s="139"/>
      <c r="J11" s="139"/>
    </row>
    <row r="12" spans="1:54" s="145" customFormat="1" ht="13.8" thickBot="1" x14ac:dyDescent="0.3">
      <c r="A12" s="567" t="s">
        <v>547</v>
      </c>
      <c r="B12" s="568"/>
      <c r="C12" s="568"/>
      <c r="D12" s="568"/>
      <c r="E12" s="568"/>
      <c r="F12" s="568"/>
      <c r="G12" s="568"/>
      <c r="H12" s="568"/>
      <c r="I12" s="568"/>
      <c r="J12" s="569"/>
    </row>
    <row r="13" spans="1:54" ht="17.25" customHeight="1" thickBot="1" x14ac:dyDescent="0.3">
      <c r="A13" s="146" t="s">
        <v>548</v>
      </c>
      <c r="B13" s="539" t="s">
        <v>549</v>
      </c>
      <c r="C13" s="539"/>
      <c r="D13" s="539"/>
      <c r="E13" s="539"/>
      <c r="F13" s="539"/>
      <c r="G13" s="539"/>
      <c r="H13" s="539"/>
      <c r="I13" s="539"/>
      <c r="J13" s="521" t="s">
        <v>553</v>
      </c>
      <c r="K13" s="522"/>
      <c r="L13" s="535" t="s">
        <v>554</v>
      </c>
      <c r="M13" s="536"/>
      <c r="N13" s="138" t="s">
        <v>4</v>
      </c>
    </row>
    <row r="14" spans="1:54" s="335" customFormat="1" x14ac:dyDescent="0.25">
      <c r="A14" s="393" t="s">
        <v>1590</v>
      </c>
      <c r="B14" s="646" t="s">
        <v>454</v>
      </c>
      <c r="C14" s="646"/>
      <c r="D14" s="646"/>
      <c r="E14" s="646"/>
      <c r="F14" s="646"/>
      <c r="G14" s="646"/>
      <c r="H14" s="646"/>
      <c r="I14" s="646"/>
      <c r="J14" s="525"/>
      <c r="K14" s="516"/>
      <c r="L14" s="525"/>
      <c r="M14" s="526"/>
      <c r="N14" s="356" t="str">
        <f t="shared" ref="N14:N17" si="0">IF($A14&gt;0,$A14,"")</f>
        <v>FAK BAL</v>
      </c>
    </row>
    <row r="15" spans="1:54" s="357" customFormat="1" x14ac:dyDescent="0.25">
      <c r="A15" s="358" t="s">
        <v>1591</v>
      </c>
      <c r="B15" s="534" t="s">
        <v>454</v>
      </c>
      <c r="C15" s="534"/>
      <c r="D15" s="534"/>
      <c r="E15" s="534"/>
      <c r="F15" s="534"/>
      <c r="G15" s="534"/>
      <c r="H15" s="534"/>
      <c r="I15" s="534"/>
      <c r="J15" s="524"/>
      <c r="K15" s="514"/>
      <c r="L15" s="524"/>
      <c r="M15" s="530"/>
      <c r="N15" s="356" t="str">
        <f t="shared" si="0"/>
        <v>FAK EC</v>
      </c>
      <c r="BB15" s="335"/>
    </row>
    <row r="16" spans="1:54" s="357" customFormat="1" x14ac:dyDescent="0.25">
      <c r="A16" s="358" t="s">
        <v>1592</v>
      </c>
      <c r="B16" s="534" t="s">
        <v>454</v>
      </c>
      <c r="C16" s="534"/>
      <c r="D16" s="534"/>
      <c r="E16" s="534"/>
      <c r="F16" s="534"/>
      <c r="G16" s="534"/>
      <c r="H16" s="534"/>
      <c r="I16" s="534"/>
      <c r="J16" s="524"/>
      <c r="K16" s="514"/>
      <c r="L16" s="524"/>
      <c r="M16" s="530"/>
      <c r="N16" s="356" t="str">
        <f t="shared" si="0"/>
        <v>FAK GCFL</v>
      </c>
      <c r="BB16" s="335"/>
    </row>
    <row r="17" spans="1:54" s="357" customFormat="1" x14ac:dyDescent="0.25">
      <c r="A17" s="358" t="s">
        <v>1593</v>
      </c>
      <c r="B17" s="534" t="s">
        <v>454</v>
      </c>
      <c r="C17" s="534"/>
      <c r="D17" s="534"/>
      <c r="E17" s="534"/>
      <c r="F17" s="534"/>
      <c r="G17" s="534"/>
      <c r="H17" s="534"/>
      <c r="I17" s="534"/>
      <c r="J17" s="524"/>
      <c r="K17" s="514"/>
      <c r="L17" s="524"/>
      <c r="M17" s="647"/>
      <c r="N17" s="356" t="str">
        <f t="shared" si="0"/>
        <v>FAK MIA</v>
      </c>
      <c r="BB17" s="335"/>
    </row>
    <row r="18" spans="1:54" s="357" customFormat="1" x14ac:dyDescent="0.25">
      <c r="A18" s="394" t="s">
        <v>1653</v>
      </c>
      <c r="B18" s="648" t="s">
        <v>454</v>
      </c>
      <c r="C18" s="649"/>
      <c r="D18" s="649"/>
      <c r="E18" s="649"/>
      <c r="F18" s="649"/>
      <c r="G18" s="649"/>
      <c r="H18" s="649"/>
      <c r="I18" s="650"/>
      <c r="J18" s="651"/>
      <c r="K18" s="652"/>
      <c r="L18" s="653"/>
      <c r="M18" s="654"/>
      <c r="N18" s="395"/>
      <c r="BB18" s="335"/>
    </row>
    <row r="19" spans="1:54" s="357" customFormat="1" x14ac:dyDescent="0.25">
      <c r="A19" s="358"/>
      <c r="B19" s="534"/>
      <c r="C19" s="534"/>
      <c r="D19" s="534"/>
      <c r="E19" s="534"/>
      <c r="F19" s="534"/>
      <c r="G19" s="534"/>
      <c r="H19" s="534"/>
      <c r="I19" s="534"/>
      <c r="J19" s="524"/>
      <c r="K19" s="514"/>
      <c r="L19" s="524"/>
      <c r="M19" s="530"/>
      <c r="N19" s="356" t="str">
        <f t="shared" ref="N19:N22" si="1">IF($A19&gt;0,$A19,"")</f>
        <v/>
      </c>
      <c r="BB19" s="335"/>
    </row>
    <row r="20" spans="1:54" s="357" customFormat="1" x14ac:dyDescent="0.25">
      <c r="A20" s="358"/>
      <c r="B20" s="534"/>
      <c r="C20" s="534"/>
      <c r="D20" s="534"/>
      <c r="E20" s="534"/>
      <c r="F20" s="534"/>
      <c r="G20" s="534"/>
      <c r="H20" s="534"/>
      <c r="I20" s="534"/>
      <c r="J20" s="524"/>
      <c r="K20" s="514"/>
      <c r="L20" s="524"/>
      <c r="M20" s="530"/>
      <c r="N20" s="356" t="str">
        <f t="shared" si="1"/>
        <v/>
      </c>
      <c r="BB20" s="335"/>
    </row>
    <row r="21" spans="1:54" s="357" customFormat="1" ht="13.8" thickBot="1" x14ac:dyDescent="0.3">
      <c r="A21" s="359"/>
      <c r="B21" s="523"/>
      <c r="C21" s="523"/>
      <c r="D21" s="523"/>
      <c r="E21" s="523"/>
      <c r="F21" s="523"/>
      <c r="G21" s="523"/>
      <c r="H21" s="523"/>
      <c r="I21" s="523"/>
      <c r="J21" s="540"/>
      <c r="K21" s="519"/>
      <c r="L21" s="537"/>
      <c r="M21" s="538"/>
      <c r="N21" s="356" t="str">
        <f t="shared" si="1"/>
        <v/>
      </c>
      <c r="BB21" s="335"/>
    </row>
    <row r="22" spans="1:54" s="151" customFormat="1" ht="13.8" thickBot="1" x14ac:dyDescent="0.3">
      <c r="A22" s="139"/>
      <c r="B22" s="20"/>
      <c r="C22" s="20"/>
      <c r="D22" s="139"/>
      <c r="E22" s="139"/>
      <c r="F22" s="140"/>
      <c r="G22" s="140"/>
      <c r="H22" s="360"/>
      <c r="I22" s="361"/>
      <c r="J22" s="361"/>
      <c r="K22" s="20"/>
      <c r="L22" s="20"/>
      <c r="N22" s="356" t="str">
        <f t="shared" si="1"/>
        <v/>
      </c>
      <c r="O22" s="149"/>
      <c r="P22" s="149"/>
      <c r="Q22" s="149"/>
      <c r="BB22" s="335"/>
    </row>
    <row r="23" spans="1:54" s="151" customFormat="1" ht="13.8" thickBot="1" x14ac:dyDescent="0.3">
      <c r="A23" s="143" t="s">
        <v>396</v>
      </c>
      <c r="B23" s="152"/>
      <c r="I23" s="150"/>
      <c r="J23" s="150"/>
      <c r="K23" s="149"/>
      <c r="L23" s="149"/>
      <c r="M23" s="149"/>
      <c r="N23" s="149"/>
      <c r="O23" s="149"/>
      <c r="P23" s="149"/>
      <c r="Q23" s="149"/>
    </row>
    <row r="24" spans="1:54" s="151" customFormat="1" ht="13.8" thickBot="1" x14ac:dyDescent="0.3">
      <c r="A24" s="153" t="s">
        <v>396</v>
      </c>
      <c r="B24" s="512" t="s">
        <v>549</v>
      </c>
      <c r="C24" s="512"/>
      <c r="D24" s="512"/>
      <c r="E24" s="512"/>
      <c r="F24" s="512"/>
      <c r="G24" s="512"/>
      <c r="H24" s="513"/>
      <c r="I24" s="150"/>
      <c r="J24" s="150"/>
      <c r="K24" s="149"/>
      <c r="L24" s="149"/>
      <c r="M24" s="149"/>
      <c r="N24" s="149"/>
      <c r="O24" s="149"/>
      <c r="P24" s="149"/>
      <c r="Q24" s="149"/>
    </row>
    <row r="25" spans="1:54" s="58" customFormat="1" x14ac:dyDescent="0.25">
      <c r="A25" s="707" t="s">
        <v>1199</v>
      </c>
      <c r="B25" s="698" t="s">
        <v>1594</v>
      </c>
      <c r="C25" s="516"/>
      <c r="D25" s="516"/>
      <c r="E25" s="516"/>
      <c r="F25" s="516"/>
      <c r="G25" s="516"/>
      <c r="H25" s="517"/>
      <c r="I25" s="392"/>
      <c r="J25" s="56"/>
      <c r="K25" s="57"/>
      <c r="L25" s="57"/>
      <c r="M25" s="57"/>
      <c r="N25" s="57"/>
      <c r="O25" s="57"/>
      <c r="P25" s="57"/>
      <c r="Q25" s="57"/>
    </row>
    <row r="26" spans="1:54" s="58" customFormat="1" x14ac:dyDescent="0.25">
      <c r="A26" s="702" t="s">
        <v>1595</v>
      </c>
      <c r="B26" s="700" t="s">
        <v>1596</v>
      </c>
      <c r="C26" s="514"/>
      <c r="D26" s="514"/>
      <c r="E26" s="514"/>
      <c r="F26" s="514"/>
      <c r="G26" s="514"/>
      <c r="H26" s="515"/>
      <c r="I26" s="56"/>
      <c r="J26" s="56"/>
      <c r="K26" s="57"/>
      <c r="L26" s="57"/>
      <c r="M26" s="57"/>
      <c r="N26" s="57"/>
      <c r="O26" s="57"/>
      <c r="P26" s="57"/>
      <c r="Q26" s="57"/>
    </row>
    <row r="27" spans="1:54" s="58" customFormat="1" x14ac:dyDescent="0.25">
      <c r="A27" s="702" t="s">
        <v>1597</v>
      </c>
      <c r="B27" s="700" t="s">
        <v>1598</v>
      </c>
      <c r="C27" s="514"/>
      <c r="D27" s="514"/>
      <c r="E27" s="514"/>
      <c r="F27" s="514"/>
      <c r="G27" s="514"/>
      <c r="H27" s="515"/>
      <c r="I27" s="56"/>
      <c r="J27" s="56"/>
      <c r="K27" s="57"/>
      <c r="L27" s="57"/>
      <c r="M27" s="57"/>
      <c r="N27" s="57"/>
      <c r="O27" s="57"/>
      <c r="P27" s="57"/>
      <c r="Q27" s="57"/>
    </row>
    <row r="28" spans="1:54" s="58" customFormat="1" x14ac:dyDescent="0.25">
      <c r="A28" s="702" t="s">
        <v>1599</v>
      </c>
      <c r="B28" s="700" t="s">
        <v>1600</v>
      </c>
      <c r="C28" s="514"/>
      <c r="D28" s="514"/>
      <c r="E28" s="514"/>
      <c r="F28" s="514"/>
      <c r="G28" s="514"/>
      <c r="H28" s="515"/>
      <c r="I28" s="56"/>
      <c r="J28" s="56"/>
      <c r="K28" s="57"/>
      <c r="L28" s="57"/>
      <c r="M28" s="57"/>
      <c r="N28" s="57"/>
      <c r="O28" s="57"/>
      <c r="P28" s="57"/>
      <c r="Q28" s="57"/>
    </row>
    <row r="29" spans="1:54" s="58" customFormat="1" x14ac:dyDescent="0.25">
      <c r="A29" s="702" t="s">
        <v>1601</v>
      </c>
      <c r="B29" s="700" t="s">
        <v>1602</v>
      </c>
      <c r="C29" s="514"/>
      <c r="D29" s="514"/>
      <c r="E29" s="514"/>
      <c r="F29" s="514"/>
      <c r="G29" s="514"/>
      <c r="H29" s="515"/>
      <c r="I29" s="56"/>
      <c r="J29" s="56"/>
      <c r="K29" s="57"/>
      <c r="L29" s="57"/>
      <c r="M29" s="57"/>
      <c r="N29" s="57"/>
      <c r="O29" s="57"/>
      <c r="P29" s="57"/>
      <c r="Q29" s="57"/>
    </row>
    <row r="30" spans="1:54" s="58" customFormat="1" x14ac:dyDescent="0.25">
      <c r="A30" s="702" t="s">
        <v>1603</v>
      </c>
      <c r="B30" s="700" t="s">
        <v>1604</v>
      </c>
      <c r="C30" s="514"/>
      <c r="D30" s="514"/>
      <c r="E30" s="514"/>
      <c r="F30" s="514"/>
      <c r="G30" s="514"/>
      <c r="H30" s="515"/>
      <c r="I30" s="56"/>
      <c r="J30" s="56"/>
      <c r="K30" s="57"/>
      <c r="L30" s="57"/>
      <c r="M30" s="57"/>
      <c r="N30" s="57"/>
      <c r="O30" s="57"/>
      <c r="P30" s="57"/>
      <c r="Q30" s="57"/>
    </row>
    <row r="31" spans="1:54" s="58" customFormat="1" x14ac:dyDescent="0.25">
      <c r="A31" s="702" t="s">
        <v>1200</v>
      </c>
      <c r="B31" s="700" t="s">
        <v>1652</v>
      </c>
      <c r="C31" s="514"/>
      <c r="D31" s="514"/>
      <c r="E31" s="514"/>
      <c r="F31" s="514"/>
      <c r="G31" s="514"/>
      <c r="H31" s="515"/>
      <c r="I31" s="56"/>
      <c r="J31" s="56"/>
      <c r="K31" s="57"/>
      <c r="L31" s="57"/>
      <c r="M31" s="57"/>
      <c r="N31" s="57"/>
      <c r="O31" s="57"/>
      <c r="P31" s="57"/>
      <c r="Q31" s="57"/>
    </row>
    <row r="32" spans="1:54" s="58" customFormat="1" x14ac:dyDescent="0.25">
      <c r="A32" s="708" t="s">
        <v>1606</v>
      </c>
      <c r="B32" s="700" t="s">
        <v>1607</v>
      </c>
      <c r="C32" s="514"/>
      <c r="D32" s="514"/>
      <c r="E32" s="514"/>
      <c r="F32" s="514"/>
      <c r="G32" s="514"/>
      <c r="H32" s="514"/>
      <c r="I32" s="56"/>
      <c r="J32" s="56"/>
      <c r="K32" s="57"/>
      <c r="L32" s="57"/>
      <c r="M32" s="57"/>
      <c r="N32" s="57"/>
      <c r="O32" s="57"/>
      <c r="P32" s="57"/>
      <c r="Q32" s="57"/>
    </row>
    <row r="33" spans="1:27" s="58" customFormat="1" x14ac:dyDescent="0.25">
      <c r="A33" s="702" t="s">
        <v>1605</v>
      </c>
      <c r="B33" s="700" t="s">
        <v>1706</v>
      </c>
      <c r="C33" s="514"/>
      <c r="D33" s="514"/>
      <c r="E33" s="514"/>
      <c r="F33" s="514"/>
      <c r="G33" s="514"/>
      <c r="H33" s="515"/>
      <c r="I33" s="56"/>
      <c r="J33" s="56"/>
      <c r="K33" s="57"/>
      <c r="L33" s="57"/>
      <c r="M33" s="57"/>
      <c r="N33" s="57"/>
      <c r="O33" s="57"/>
      <c r="P33" s="57"/>
      <c r="Q33" s="57"/>
    </row>
    <row r="34" spans="1:27" s="58" customFormat="1" x14ac:dyDescent="0.25">
      <c r="A34" s="702"/>
      <c r="B34" s="700"/>
      <c r="C34" s="514"/>
      <c r="D34" s="514"/>
      <c r="E34" s="514"/>
      <c r="F34" s="514"/>
      <c r="G34" s="514"/>
      <c r="H34" s="515"/>
      <c r="I34" s="56"/>
      <c r="J34" s="56"/>
      <c r="K34" s="57"/>
      <c r="L34" s="57"/>
      <c r="M34" s="57"/>
      <c r="N34" s="57"/>
      <c r="O34" s="57"/>
      <c r="P34" s="57"/>
      <c r="Q34" s="57"/>
    </row>
    <row r="35" spans="1:27" s="58" customFormat="1" ht="13.8" thickBot="1" x14ac:dyDescent="0.3">
      <c r="A35" s="355"/>
      <c r="B35" s="518"/>
      <c r="C35" s="519"/>
      <c r="D35" s="519"/>
      <c r="E35" s="519"/>
      <c r="F35" s="519"/>
      <c r="G35" s="519"/>
      <c r="H35" s="520"/>
      <c r="I35" s="56"/>
      <c r="J35" s="56"/>
      <c r="K35" s="57"/>
      <c r="L35" s="57"/>
      <c r="M35" s="57"/>
      <c r="N35" s="57"/>
      <c r="O35" s="57"/>
      <c r="P35" s="57"/>
      <c r="Q35" s="57"/>
    </row>
    <row r="36" spans="1:27" s="151" customFormat="1" ht="13.8" thickBot="1" x14ac:dyDescent="0.3">
      <c r="A36" s="20"/>
      <c r="B36" s="154"/>
      <c r="C36" s="154"/>
      <c r="D36" s="154"/>
      <c r="E36" s="154"/>
      <c r="F36" s="154"/>
      <c r="G36" s="154"/>
      <c r="H36" s="154"/>
      <c r="I36" s="150"/>
      <c r="J36" s="150"/>
      <c r="K36" s="149"/>
      <c r="L36" s="149"/>
      <c r="M36" s="149"/>
      <c r="N36" s="149"/>
      <c r="O36" s="149"/>
      <c r="P36" s="149"/>
      <c r="Q36" s="149"/>
      <c r="R36" s="149"/>
      <c r="S36" s="149"/>
      <c r="T36" s="149"/>
      <c r="U36" s="149"/>
    </row>
    <row r="37" spans="1:27" s="151" customFormat="1" ht="13.8" thickBot="1" x14ac:dyDescent="0.3">
      <c r="A37" s="143" t="s">
        <v>555</v>
      </c>
      <c r="B37" s="144"/>
      <c r="I37" s="150"/>
      <c r="J37" s="150"/>
      <c r="K37" s="149"/>
      <c r="L37" s="149"/>
      <c r="M37" s="149"/>
      <c r="N37" s="149"/>
      <c r="O37" s="149"/>
      <c r="P37" s="149"/>
      <c r="Q37" s="149"/>
      <c r="R37" s="149"/>
      <c r="S37" s="149"/>
      <c r="T37" s="149"/>
      <c r="U37" s="149"/>
    </row>
    <row r="38" spans="1:27" s="151" customFormat="1" x14ac:dyDescent="0.25">
      <c r="A38" s="155" t="s">
        <v>1647</v>
      </c>
      <c r="B38" s="156"/>
      <c r="C38" s="157"/>
      <c r="D38" s="158"/>
      <c r="E38" s="158"/>
      <c r="F38" s="159"/>
      <c r="G38" s="159"/>
      <c r="H38" s="159"/>
      <c r="I38" s="160"/>
      <c r="J38" s="161"/>
      <c r="K38" s="162"/>
      <c r="L38" s="149"/>
      <c r="M38" s="149"/>
      <c r="N38" s="149"/>
      <c r="O38" s="149"/>
      <c r="P38" s="149"/>
      <c r="Q38" s="149"/>
      <c r="R38" s="149"/>
      <c r="S38" s="149"/>
      <c r="T38" s="149"/>
      <c r="U38" s="149"/>
      <c r="V38" s="149"/>
    </row>
    <row r="39" spans="1:27" s="151" customFormat="1" x14ac:dyDescent="0.25">
      <c r="A39" s="163" t="s">
        <v>557</v>
      </c>
      <c r="B39" s="133"/>
      <c r="C39" s="164"/>
      <c r="D39" s="165"/>
      <c r="E39" s="165"/>
      <c r="F39" s="166"/>
      <c r="G39" s="166"/>
      <c r="H39" s="166"/>
      <c r="I39" s="167"/>
      <c r="J39" s="168"/>
      <c r="K39" s="169"/>
      <c r="L39" s="149"/>
      <c r="M39" s="149"/>
      <c r="N39" s="149"/>
      <c r="O39" s="149"/>
      <c r="P39" s="149"/>
      <c r="Q39" s="149"/>
      <c r="R39" s="149"/>
    </row>
    <row r="40" spans="1:27" s="151" customFormat="1" ht="13.8" thickBot="1" x14ac:dyDescent="0.3">
      <c r="A40" s="137" t="s">
        <v>164</v>
      </c>
      <c r="B40" s="170"/>
      <c r="C40" s="171"/>
      <c r="D40" s="172"/>
      <c r="E40" s="172"/>
      <c r="F40" s="173"/>
      <c r="G40" s="173"/>
      <c r="H40" s="173"/>
      <c r="I40" s="174"/>
      <c r="J40" s="175"/>
      <c r="K40" s="176"/>
      <c r="L40" s="149"/>
      <c r="M40" s="149"/>
      <c r="N40" s="149"/>
      <c r="O40" s="149"/>
      <c r="P40" s="149"/>
      <c r="Q40" s="149"/>
      <c r="R40" s="149"/>
      <c r="S40" s="177"/>
      <c r="T40" s="177"/>
      <c r="U40" s="177"/>
      <c r="V40" s="149"/>
      <c r="W40" s="149"/>
      <c r="X40" s="149"/>
    </row>
    <row r="41" spans="1:27" s="181" customFormat="1" ht="32.25" customHeight="1" x14ac:dyDescent="0.25">
      <c r="A41" s="509" t="s">
        <v>558</v>
      </c>
      <c r="B41" s="499" t="s">
        <v>559</v>
      </c>
      <c r="C41" s="499" t="s">
        <v>11</v>
      </c>
      <c r="D41" s="499" t="s">
        <v>12</v>
      </c>
      <c r="E41" s="499" t="s">
        <v>13</v>
      </c>
      <c r="F41" s="499" t="s">
        <v>14</v>
      </c>
      <c r="G41" s="499" t="s">
        <v>15</v>
      </c>
      <c r="H41" s="499" t="s">
        <v>16</v>
      </c>
      <c r="I41" s="499" t="s">
        <v>17</v>
      </c>
      <c r="J41" s="499" t="s">
        <v>18</v>
      </c>
      <c r="K41" s="499" t="s">
        <v>19</v>
      </c>
      <c r="L41" s="499" t="s">
        <v>20</v>
      </c>
      <c r="M41" s="179"/>
      <c r="N41" s="179"/>
      <c r="O41" s="179"/>
      <c r="P41" s="179"/>
      <c r="Q41" s="179"/>
      <c r="R41" s="179"/>
      <c r="S41" s="179"/>
      <c r="T41" s="179"/>
      <c r="U41" s="179"/>
      <c r="V41" s="179"/>
      <c r="W41" s="179"/>
      <c r="X41" s="499" t="s">
        <v>22</v>
      </c>
      <c r="Y41" s="499" t="s">
        <v>23</v>
      </c>
      <c r="Z41" s="499" t="s">
        <v>24</v>
      </c>
      <c r="AA41" s="497" t="s">
        <v>330</v>
      </c>
    </row>
    <row r="42" spans="1:27" s="181" customFormat="1" ht="15.6" customHeight="1" thickBot="1" x14ac:dyDescent="0.3">
      <c r="A42" s="510"/>
      <c r="B42" s="504"/>
      <c r="C42" s="504"/>
      <c r="D42" s="504"/>
      <c r="E42" s="504"/>
      <c r="F42" s="504"/>
      <c r="G42" s="500"/>
      <c r="H42" s="504"/>
      <c r="I42" s="504"/>
      <c r="J42" s="504"/>
      <c r="K42" s="504"/>
      <c r="L42" s="504"/>
      <c r="M42" s="184"/>
      <c r="N42" s="184"/>
      <c r="O42" s="184"/>
      <c r="P42" s="184"/>
      <c r="Q42" s="184"/>
      <c r="R42" s="184"/>
      <c r="S42" s="184"/>
      <c r="T42" s="184"/>
      <c r="U42" s="184"/>
      <c r="V42" s="184"/>
      <c r="W42" s="184"/>
      <c r="X42" s="504"/>
      <c r="Y42" s="504"/>
      <c r="Z42" s="504"/>
      <c r="AA42" s="498"/>
    </row>
    <row r="43" spans="1:27" s="64" customFormat="1" x14ac:dyDescent="0.25">
      <c r="A43" s="677" t="s">
        <v>1590</v>
      </c>
      <c r="B43" s="678"/>
      <c r="C43" s="678" t="s">
        <v>1199</v>
      </c>
      <c r="D43" s="678" t="s">
        <v>1388</v>
      </c>
      <c r="E43" s="678"/>
      <c r="F43" s="678" t="s">
        <v>51</v>
      </c>
      <c r="G43" s="679" t="s">
        <v>47</v>
      </c>
      <c r="H43" s="678" t="s">
        <v>1366</v>
      </c>
      <c r="I43" s="680">
        <v>2080</v>
      </c>
      <c r="J43" s="680">
        <v>2600</v>
      </c>
      <c r="K43" s="680">
        <v>2600</v>
      </c>
      <c r="L43" s="680">
        <v>3290</v>
      </c>
      <c r="M43" s="679"/>
      <c r="N43" s="679"/>
      <c r="O43" s="679"/>
      <c r="P43" s="679"/>
      <c r="Q43" s="679"/>
      <c r="R43" s="679"/>
      <c r="S43" s="679"/>
      <c r="T43" s="679"/>
      <c r="U43" s="679"/>
      <c r="V43" s="679"/>
      <c r="W43" s="679"/>
      <c r="X43" s="681"/>
      <c r="Y43" s="681"/>
      <c r="Z43" s="679" t="s">
        <v>1367</v>
      </c>
      <c r="AA43" s="682" t="s">
        <v>304</v>
      </c>
    </row>
    <row r="44" spans="1:27" s="64" customFormat="1" x14ac:dyDescent="0.25">
      <c r="A44" s="677" t="s">
        <v>1590</v>
      </c>
      <c r="B44" s="678"/>
      <c r="C44" s="678" t="s">
        <v>1398</v>
      </c>
      <c r="D44" s="678" t="s">
        <v>1388</v>
      </c>
      <c r="E44" s="678"/>
      <c r="F44" s="678" t="s">
        <v>51</v>
      </c>
      <c r="G44" s="679" t="s">
        <v>47</v>
      </c>
      <c r="H44" s="678" t="s">
        <v>1366</v>
      </c>
      <c r="I44" s="680">
        <v>2080</v>
      </c>
      <c r="J44" s="680">
        <v>2600</v>
      </c>
      <c r="K44" s="680">
        <v>2600</v>
      </c>
      <c r="L44" s="680">
        <v>3290</v>
      </c>
      <c r="M44" s="679"/>
      <c r="N44" s="679"/>
      <c r="O44" s="679"/>
      <c r="P44" s="679"/>
      <c r="Q44" s="679"/>
      <c r="R44" s="679"/>
      <c r="S44" s="679"/>
      <c r="T44" s="679"/>
      <c r="U44" s="679"/>
      <c r="V44" s="679"/>
      <c r="W44" s="679"/>
      <c r="X44" s="681"/>
      <c r="Y44" s="681"/>
      <c r="Z44" s="679" t="s">
        <v>1367</v>
      </c>
      <c r="AA44" s="682" t="s">
        <v>304</v>
      </c>
    </row>
    <row r="45" spans="1:27" s="64" customFormat="1" x14ac:dyDescent="0.25">
      <c r="A45" s="677" t="s">
        <v>1590</v>
      </c>
      <c r="B45" s="678"/>
      <c r="C45" s="678" t="s">
        <v>1400</v>
      </c>
      <c r="D45" s="678" t="s">
        <v>1388</v>
      </c>
      <c r="E45" s="678"/>
      <c r="F45" s="678" t="s">
        <v>51</v>
      </c>
      <c r="G45" s="679" t="s">
        <v>47</v>
      </c>
      <c r="H45" s="678" t="s">
        <v>1366</v>
      </c>
      <c r="I45" s="680">
        <v>2160</v>
      </c>
      <c r="J45" s="680">
        <v>2700</v>
      </c>
      <c r="K45" s="680">
        <v>2700</v>
      </c>
      <c r="L45" s="680">
        <v>3420</v>
      </c>
      <c r="M45" s="679"/>
      <c r="N45" s="679"/>
      <c r="O45" s="679"/>
      <c r="P45" s="679"/>
      <c r="Q45" s="679"/>
      <c r="R45" s="679"/>
      <c r="S45" s="679"/>
      <c r="T45" s="679"/>
      <c r="U45" s="679"/>
      <c r="V45" s="679"/>
      <c r="W45" s="679"/>
      <c r="X45" s="681"/>
      <c r="Y45" s="681"/>
      <c r="Z45" s="679" t="s">
        <v>1367</v>
      </c>
      <c r="AA45" s="682" t="s">
        <v>304</v>
      </c>
    </row>
    <row r="46" spans="1:27" s="64" customFormat="1" x14ac:dyDescent="0.25">
      <c r="A46" s="677" t="s">
        <v>1590</v>
      </c>
      <c r="B46" s="678"/>
      <c r="C46" s="678" t="s">
        <v>1401</v>
      </c>
      <c r="D46" s="678" t="s">
        <v>1388</v>
      </c>
      <c r="E46" s="678"/>
      <c r="F46" s="678" t="s">
        <v>51</v>
      </c>
      <c r="G46" s="679" t="s">
        <v>47</v>
      </c>
      <c r="H46" s="678" t="s">
        <v>1366</v>
      </c>
      <c r="I46" s="680">
        <v>2160</v>
      </c>
      <c r="J46" s="680">
        <v>2700</v>
      </c>
      <c r="K46" s="680">
        <v>2700</v>
      </c>
      <c r="L46" s="680">
        <v>3420</v>
      </c>
      <c r="M46" s="679"/>
      <c r="N46" s="679"/>
      <c r="O46" s="679"/>
      <c r="P46" s="679"/>
      <c r="Q46" s="679"/>
      <c r="R46" s="679"/>
      <c r="S46" s="679"/>
      <c r="T46" s="679"/>
      <c r="U46" s="679"/>
      <c r="V46" s="679"/>
      <c r="W46" s="679"/>
      <c r="X46" s="681"/>
      <c r="Y46" s="681"/>
      <c r="Z46" s="679" t="s">
        <v>1367</v>
      </c>
      <c r="AA46" s="682" t="s">
        <v>304</v>
      </c>
    </row>
    <row r="47" spans="1:27" s="64" customFormat="1" x14ac:dyDescent="0.25">
      <c r="A47" s="677" t="s">
        <v>1591</v>
      </c>
      <c r="B47" s="678"/>
      <c r="C47" s="678" t="s">
        <v>1601</v>
      </c>
      <c r="D47" s="678" t="s">
        <v>1390</v>
      </c>
      <c r="E47" s="678"/>
      <c r="F47" s="678" t="s">
        <v>51</v>
      </c>
      <c r="G47" s="679" t="s">
        <v>47</v>
      </c>
      <c r="H47" s="678" t="s">
        <v>1366</v>
      </c>
      <c r="I47" s="680">
        <v>2120</v>
      </c>
      <c r="J47" s="680">
        <v>2650</v>
      </c>
      <c r="K47" s="680">
        <v>2650</v>
      </c>
      <c r="L47" s="680">
        <v>3355</v>
      </c>
      <c r="M47" s="679"/>
      <c r="N47" s="679"/>
      <c r="O47" s="679"/>
      <c r="P47" s="679"/>
      <c r="Q47" s="679"/>
      <c r="R47" s="679"/>
      <c r="S47" s="679"/>
      <c r="T47" s="679"/>
      <c r="U47" s="679"/>
      <c r="V47" s="679"/>
      <c r="W47" s="679"/>
      <c r="X47" s="681"/>
      <c r="Y47" s="681"/>
      <c r="Z47" s="679" t="s">
        <v>1367</v>
      </c>
      <c r="AA47" s="682" t="s">
        <v>389</v>
      </c>
    </row>
    <row r="48" spans="1:27" s="64" customFormat="1" x14ac:dyDescent="0.25">
      <c r="A48" s="677" t="s">
        <v>1591</v>
      </c>
      <c r="B48" s="678"/>
      <c r="C48" s="678" t="s">
        <v>1601</v>
      </c>
      <c r="D48" s="678" t="s">
        <v>1391</v>
      </c>
      <c r="E48" s="678"/>
      <c r="F48" s="678" t="s">
        <v>51</v>
      </c>
      <c r="G48" s="679" t="s">
        <v>47</v>
      </c>
      <c r="H48" s="678" t="s">
        <v>1366</v>
      </c>
      <c r="I48" s="680">
        <v>2120</v>
      </c>
      <c r="J48" s="680">
        <v>2650</v>
      </c>
      <c r="K48" s="680">
        <v>2650</v>
      </c>
      <c r="L48" s="680">
        <v>3355</v>
      </c>
      <c r="M48" s="679"/>
      <c r="N48" s="679"/>
      <c r="O48" s="679"/>
      <c r="P48" s="679"/>
      <c r="Q48" s="679"/>
      <c r="R48" s="679"/>
      <c r="S48" s="679"/>
      <c r="T48" s="679"/>
      <c r="U48" s="679"/>
      <c r="V48" s="679"/>
      <c r="W48" s="679"/>
      <c r="X48" s="681"/>
      <c r="Y48" s="681"/>
      <c r="Z48" s="679" t="s">
        <v>1367</v>
      </c>
      <c r="AA48" s="682" t="s">
        <v>304</v>
      </c>
    </row>
    <row r="49" spans="1:27" s="64" customFormat="1" x14ac:dyDescent="0.25">
      <c r="A49" s="677" t="s">
        <v>1591</v>
      </c>
      <c r="B49" s="678"/>
      <c r="C49" s="678" t="s">
        <v>1601</v>
      </c>
      <c r="D49" s="678" t="s">
        <v>1608</v>
      </c>
      <c r="E49" s="678"/>
      <c r="F49" s="678" t="s">
        <v>51</v>
      </c>
      <c r="G49" s="679" t="s">
        <v>47</v>
      </c>
      <c r="H49" s="678" t="s">
        <v>1366</v>
      </c>
      <c r="I49" s="680">
        <v>2120</v>
      </c>
      <c r="J49" s="680">
        <v>2650</v>
      </c>
      <c r="K49" s="680">
        <v>2650</v>
      </c>
      <c r="L49" s="680">
        <v>3355</v>
      </c>
      <c r="M49" s="679"/>
      <c r="N49" s="679"/>
      <c r="O49" s="679"/>
      <c r="P49" s="679"/>
      <c r="Q49" s="679"/>
      <c r="R49" s="679"/>
      <c r="S49" s="679"/>
      <c r="T49" s="679"/>
      <c r="U49" s="679"/>
      <c r="V49" s="679"/>
      <c r="W49" s="679"/>
      <c r="X49" s="681"/>
      <c r="Y49" s="681"/>
      <c r="Z49" s="679" t="s">
        <v>1367</v>
      </c>
      <c r="AA49" s="682" t="s">
        <v>389</v>
      </c>
    </row>
    <row r="50" spans="1:27" s="64" customFormat="1" x14ac:dyDescent="0.25">
      <c r="A50" s="677" t="s">
        <v>1591</v>
      </c>
      <c r="B50" s="678"/>
      <c r="C50" s="678" t="s">
        <v>1601</v>
      </c>
      <c r="D50" s="678" t="s">
        <v>1609</v>
      </c>
      <c r="E50" s="678"/>
      <c r="F50" s="678" t="s">
        <v>51</v>
      </c>
      <c r="G50" s="679" t="s">
        <v>47</v>
      </c>
      <c r="H50" s="678" t="s">
        <v>1366</v>
      </c>
      <c r="I50" s="680">
        <v>2120</v>
      </c>
      <c r="J50" s="680">
        <v>2650</v>
      </c>
      <c r="K50" s="680">
        <v>2650</v>
      </c>
      <c r="L50" s="680">
        <v>3355</v>
      </c>
      <c r="M50" s="679"/>
      <c r="N50" s="679"/>
      <c r="O50" s="679"/>
      <c r="P50" s="679"/>
      <c r="Q50" s="679"/>
      <c r="R50" s="679"/>
      <c r="S50" s="679"/>
      <c r="T50" s="679"/>
      <c r="U50" s="679"/>
      <c r="V50" s="679"/>
      <c r="W50" s="679"/>
      <c r="X50" s="681"/>
      <c r="Y50" s="681"/>
      <c r="Z50" s="679" t="s">
        <v>1367</v>
      </c>
      <c r="AA50" s="682" t="s">
        <v>304</v>
      </c>
    </row>
    <row r="51" spans="1:27" s="64" customFormat="1" x14ac:dyDescent="0.25">
      <c r="A51" s="677" t="s">
        <v>1591</v>
      </c>
      <c r="B51" s="678"/>
      <c r="C51" s="678" t="s">
        <v>1601</v>
      </c>
      <c r="D51" s="678" t="s">
        <v>1608</v>
      </c>
      <c r="E51" s="678" t="s">
        <v>1387</v>
      </c>
      <c r="F51" s="678" t="s">
        <v>53</v>
      </c>
      <c r="G51" s="679" t="s">
        <v>47</v>
      </c>
      <c r="H51" s="678" t="s">
        <v>1366</v>
      </c>
      <c r="I51" s="680">
        <v>2720</v>
      </c>
      <c r="J51" s="680">
        <v>3400</v>
      </c>
      <c r="K51" s="680">
        <v>3400</v>
      </c>
      <c r="L51" s="680">
        <v>4305</v>
      </c>
      <c r="M51" s="679"/>
      <c r="N51" s="679"/>
      <c r="O51" s="679"/>
      <c r="P51" s="679"/>
      <c r="Q51" s="679"/>
      <c r="R51" s="679"/>
      <c r="S51" s="679"/>
      <c r="T51" s="679"/>
      <c r="U51" s="679"/>
      <c r="V51" s="679"/>
      <c r="W51" s="679"/>
      <c r="X51" s="681"/>
      <c r="Y51" s="681"/>
      <c r="Z51" s="679" t="s">
        <v>1367</v>
      </c>
      <c r="AA51" s="682" t="s">
        <v>304</v>
      </c>
    </row>
    <row r="52" spans="1:27" s="64" customFormat="1" x14ac:dyDescent="0.25">
      <c r="A52" s="677" t="s">
        <v>1591</v>
      </c>
      <c r="B52" s="678"/>
      <c r="C52" s="678" t="s">
        <v>1601</v>
      </c>
      <c r="D52" s="678" t="s">
        <v>1390</v>
      </c>
      <c r="E52" s="678" t="s">
        <v>1610</v>
      </c>
      <c r="F52" s="678" t="s">
        <v>53</v>
      </c>
      <c r="G52" s="679" t="s">
        <v>47</v>
      </c>
      <c r="H52" s="678" t="s">
        <v>1366</v>
      </c>
      <c r="I52" s="680">
        <v>3160</v>
      </c>
      <c r="J52" s="680">
        <v>3950</v>
      </c>
      <c r="K52" s="680">
        <v>3950</v>
      </c>
      <c r="L52" s="680">
        <v>5000</v>
      </c>
      <c r="M52" s="679"/>
      <c r="N52" s="679"/>
      <c r="O52" s="679"/>
      <c r="P52" s="679"/>
      <c r="Q52" s="679"/>
      <c r="R52" s="679"/>
      <c r="S52" s="679"/>
      <c r="T52" s="679"/>
      <c r="U52" s="679"/>
      <c r="V52" s="679"/>
      <c r="W52" s="679"/>
      <c r="X52" s="681"/>
      <c r="Y52" s="681"/>
      <c r="Z52" s="679" t="s">
        <v>1367</v>
      </c>
      <c r="AA52" s="682" t="s">
        <v>304</v>
      </c>
    </row>
    <row r="53" spans="1:27" s="64" customFormat="1" x14ac:dyDescent="0.25">
      <c r="A53" s="677" t="s">
        <v>1591</v>
      </c>
      <c r="B53" s="678"/>
      <c r="C53" s="678" t="s">
        <v>1601</v>
      </c>
      <c r="D53" s="678" t="s">
        <v>1608</v>
      </c>
      <c r="E53" s="678" t="s">
        <v>1389</v>
      </c>
      <c r="F53" s="678" t="s">
        <v>53</v>
      </c>
      <c r="G53" s="679" t="s">
        <v>47</v>
      </c>
      <c r="H53" s="678" t="s">
        <v>1366</v>
      </c>
      <c r="I53" s="680">
        <v>2720</v>
      </c>
      <c r="J53" s="680">
        <v>3400</v>
      </c>
      <c r="K53" s="680">
        <v>3400</v>
      </c>
      <c r="L53" s="680">
        <v>4305</v>
      </c>
      <c r="M53" s="679"/>
      <c r="N53" s="679"/>
      <c r="O53" s="679"/>
      <c r="P53" s="679"/>
      <c r="Q53" s="679"/>
      <c r="R53" s="679"/>
      <c r="S53" s="679"/>
      <c r="T53" s="679"/>
      <c r="U53" s="679"/>
      <c r="V53" s="679"/>
      <c r="W53" s="679"/>
      <c r="X53" s="681"/>
      <c r="Y53" s="681"/>
      <c r="Z53" s="679" t="s">
        <v>1367</v>
      </c>
      <c r="AA53" s="682" t="s">
        <v>304</v>
      </c>
    </row>
    <row r="54" spans="1:27" s="64" customFormat="1" x14ac:dyDescent="0.25">
      <c r="A54" s="677" t="s">
        <v>1591</v>
      </c>
      <c r="B54" s="678"/>
      <c r="C54" s="678" t="s">
        <v>1601</v>
      </c>
      <c r="D54" s="678" t="s">
        <v>1608</v>
      </c>
      <c r="E54" s="678" t="s">
        <v>1611</v>
      </c>
      <c r="F54" s="678" t="s">
        <v>53</v>
      </c>
      <c r="G54" s="679" t="s">
        <v>47</v>
      </c>
      <c r="H54" s="678" t="s">
        <v>1366</v>
      </c>
      <c r="I54" s="680">
        <v>2920</v>
      </c>
      <c r="J54" s="680">
        <v>3650</v>
      </c>
      <c r="K54" s="680">
        <v>3650</v>
      </c>
      <c r="L54" s="680">
        <v>4620</v>
      </c>
      <c r="M54" s="679"/>
      <c r="N54" s="679"/>
      <c r="O54" s="679"/>
      <c r="P54" s="679"/>
      <c r="Q54" s="679"/>
      <c r="R54" s="679"/>
      <c r="S54" s="679"/>
      <c r="T54" s="679"/>
      <c r="U54" s="679"/>
      <c r="V54" s="679"/>
      <c r="W54" s="679"/>
      <c r="X54" s="681"/>
      <c r="Y54" s="681"/>
      <c r="Z54" s="679" t="s">
        <v>1367</v>
      </c>
      <c r="AA54" s="682" t="s">
        <v>304</v>
      </c>
    </row>
    <row r="55" spans="1:27" s="64" customFormat="1" x14ac:dyDescent="0.25">
      <c r="A55" s="677" t="s">
        <v>1591</v>
      </c>
      <c r="B55" s="678"/>
      <c r="C55" s="678" t="s">
        <v>1601</v>
      </c>
      <c r="D55" s="678" t="s">
        <v>1390</v>
      </c>
      <c r="E55" s="678" t="s">
        <v>1369</v>
      </c>
      <c r="F55" s="678" t="s">
        <v>53</v>
      </c>
      <c r="G55" s="679" t="s">
        <v>47</v>
      </c>
      <c r="H55" s="678" t="s">
        <v>1366</v>
      </c>
      <c r="I55" s="680">
        <v>3160</v>
      </c>
      <c r="J55" s="680">
        <v>3950</v>
      </c>
      <c r="K55" s="680">
        <v>3950</v>
      </c>
      <c r="L55" s="680">
        <v>5000</v>
      </c>
      <c r="M55" s="679"/>
      <c r="N55" s="679"/>
      <c r="O55" s="679"/>
      <c r="P55" s="679"/>
      <c r="Q55" s="679"/>
      <c r="R55" s="679"/>
      <c r="S55" s="679"/>
      <c r="T55" s="679"/>
      <c r="U55" s="679"/>
      <c r="V55" s="679"/>
      <c r="W55" s="679"/>
      <c r="X55" s="681"/>
      <c r="Y55" s="681"/>
      <c r="Z55" s="679" t="s">
        <v>1367</v>
      </c>
      <c r="AA55" s="682" t="s">
        <v>304</v>
      </c>
    </row>
    <row r="56" spans="1:27" s="64" customFormat="1" x14ac:dyDescent="0.25">
      <c r="A56" s="677" t="s">
        <v>1591</v>
      </c>
      <c r="B56" s="678"/>
      <c r="C56" s="678" t="s">
        <v>1601</v>
      </c>
      <c r="D56" s="678" t="s">
        <v>1391</v>
      </c>
      <c r="E56" s="678" t="s">
        <v>1369</v>
      </c>
      <c r="F56" s="678" t="s">
        <v>53</v>
      </c>
      <c r="G56" s="679" t="s">
        <v>47</v>
      </c>
      <c r="H56" s="678" t="s">
        <v>1366</v>
      </c>
      <c r="I56" s="680">
        <v>3160</v>
      </c>
      <c r="J56" s="680">
        <v>3950</v>
      </c>
      <c r="K56" s="680">
        <v>3950</v>
      </c>
      <c r="L56" s="680">
        <v>5000</v>
      </c>
      <c r="M56" s="679"/>
      <c r="N56" s="679"/>
      <c r="O56" s="679"/>
      <c r="P56" s="679"/>
      <c r="Q56" s="679"/>
      <c r="R56" s="679"/>
      <c r="S56" s="679"/>
      <c r="T56" s="679"/>
      <c r="U56" s="679"/>
      <c r="V56" s="679"/>
      <c r="W56" s="679"/>
      <c r="X56" s="681"/>
      <c r="Y56" s="681"/>
      <c r="Z56" s="679" t="s">
        <v>1367</v>
      </c>
      <c r="AA56" s="682" t="s">
        <v>304</v>
      </c>
    </row>
    <row r="57" spans="1:27" s="64" customFormat="1" x14ac:dyDescent="0.25">
      <c r="A57" s="677" t="s">
        <v>1591</v>
      </c>
      <c r="B57" s="678"/>
      <c r="C57" s="678" t="s">
        <v>1601</v>
      </c>
      <c r="D57" s="678" t="s">
        <v>1390</v>
      </c>
      <c r="E57" s="678" t="s">
        <v>1370</v>
      </c>
      <c r="F57" s="678" t="s">
        <v>53</v>
      </c>
      <c r="G57" s="679" t="s">
        <v>47</v>
      </c>
      <c r="H57" s="678" t="s">
        <v>1366</v>
      </c>
      <c r="I57" s="680">
        <v>3160</v>
      </c>
      <c r="J57" s="680">
        <v>3950</v>
      </c>
      <c r="K57" s="680">
        <v>3950</v>
      </c>
      <c r="L57" s="680">
        <v>5000</v>
      </c>
      <c r="M57" s="679"/>
      <c r="N57" s="679"/>
      <c r="O57" s="679"/>
      <c r="P57" s="679"/>
      <c r="Q57" s="679"/>
      <c r="R57" s="679"/>
      <c r="S57" s="679"/>
      <c r="T57" s="679"/>
      <c r="U57" s="679"/>
      <c r="V57" s="679"/>
      <c r="W57" s="679"/>
      <c r="X57" s="681"/>
      <c r="Y57" s="681"/>
      <c r="Z57" s="679" t="s">
        <v>1367</v>
      </c>
      <c r="AA57" s="682" t="s">
        <v>304</v>
      </c>
    </row>
    <row r="58" spans="1:27" s="64" customFormat="1" x14ac:dyDescent="0.25">
      <c r="A58" s="677" t="s">
        <v>1591</v>
      </c>
      <c r="B58" s="678"/>
      <c r="C58" s="678" t="s">
        <v>1601</v>
      </c>
      <c r="D58" s="678" t="s">
        <v>1391</v>
      </c>
      <c r="E58" s="678" t="s">
        <v>1370</v>
      </c>
      <c r="F58" s="678" t="s">
        <v>53</v>
      </c>
      <c r="G58" s="679" t="s">
        <v>47</v>
      </c>
      <c r="H58" s="678" t="s">
        <v>1366</v>
      </c>
      <c r="I58" s="680">
        <v>3160</v>
      </c>
      <c r="J58" s="680">
        <v>3950</v>
      </c>
      <c r="K58" s="680">
        <v>3950</v>
      </c>
      <c r="L58" s="680">
        <v>5000</v>
      </c>
      <c r="M58" s="679"/>
      <c r="N58" s="679"/>
      <c r="O58" s="679"/>
      <c r="P58" s="679"/>
      <c r="Q58" s="679"/>
      <c r="R58" s="679"/>
      <c r="S58" s="679"/>
      <c r="T58" s="679"/>
      <c r="U58" s="679"/>
      <c r="V58" s="679"/>
      <c r="W58" s="679"/>
      <c r="X58" s="681"/>
      <c r="Y58" s="681"/>
      <c r="Z58" s="679" t="s">
        <v>1367</v>
      </c>
      <c r="AA58" s="682" t="s">
        <v>304</v>
      </c>
    </row>
    <row r="59" spans="1:27" s="64" customFormat="1" x14ac:dyDescent="0.25">
      <c r="A59" s="677" t="s">
        <v>1591</v>
      </c>
      <c r="B59" s="678"/>
      <c r="C59" s="678" t="s">
        <v>1601</v>
      </c>
      <c r="D59" s="678" t="s">
        <v>1390</v>
      </c>
      <c r="E59" s="678" t="s">
        <v>1371</v>
      </c>
      <c r="F59" s="678" t="s">
        <v>53</v>
      </c>
      <c r="G59" s="679" t="s">
        <v>47</v>
      </c>
      <c r="H59" s="678" t="s">
        <v>1366</v>
      </c>
      <c r="I59" s="680">
        <v>3040</v>
      </c>
      <c r="J59" s="680">
        <v>3800</v>
      </c>
      <c r="K59" s="680">
        <v>3800</v>
      </c>
      <c r="L59" s="680">
        <v>4810</v>
      </c>
      <c r="M59" s="679"/>
      <c r="N59" s="679"/>
      <c r="O59" s="679"/>
      <c r="P59" s="679"/>
      <c r="Q59" s="679"/>
      <c r="R59" s="679"/>
      <c r="S59" s="679"/>
      <c r="T59" s="679"/>
      <c r="U59" s="679"/>
      <c r="V59" s="679"/>
      <c r="W59" s="679"/>
      <c r="X59" s="681"/>
      <c r="Y59" s="681"/>
      <c r="Z59" s="679" t="s">
        <v>1367</v>
      </c>
      <c r="AA59" s="682" t="s">
        <v>304</v>
      </c>
    </row>
    <row r="60" spans="1:27" s="64" customFormat="1" x14ac:dyDescent="0.25">
      <c r="A60" s="677" t="s">
        <v>1591</v>
      </c>
      <c r="B60" s="678"/>
      <c r="C60" s="678" t="s">
        <v>1601</v>
      </c>
      <c r="D60" s="678" t="s">
        <v>1391</v>
      </c>
      <c r="E60" s="678" t="s">
        <v>1371</v>
      </c>
      <c r="F60" s="678" t="s">
        <v>53</v>
      </c>
      <c r="G60" s="679" t="s">
        <v>47</v>
      </c>
      <c r="H60" s="678" t="s">
        <v>1366</v>
      </c>
      <c r="I60" s="680">
        <v>3040</v>
      </c>
      <c r="J60" s="680">
        <v>3800</v>
      </c>
      <c r="K60" s="680">
        <v>3800</v>
      </c>
      <c r="L60" s="680">
        <v>4810</v>
      </c>
      <c r="M60" s="679"/>
      <c r="N60" s="679"/>
      <c r="O60" s="679"/>
      <c r="P60" s="679"/>
      <c r="Q60" s="679"/>
      <c r="R60" s="679"/>
      <c r="S60" s="679"/>
      <c r="T60" s="679"/>
      <c r="U60" s="679"/>
      <c r="V60" s="679"/>
      <c r="W60" s="679"/>
      <c r="X60" s="681"/>
      <c r="Y60" s="681"/>
      <c r="Z60" s="679" t="s">
        <v>1367</v>
      </c>
      <c r="AA60" s="682" t="s">
        <v>304</v>
      </c>
    </row>
    <row r="61" spans="1:27" s="64" customFormat="1" x14ac:dyDescent="0.25">
      <c r="A61" s="677" t="s">
        <v>1591</v>
      </c>
      <c r="B61" s="678"/>
      <c r="C61" s="678" t="s">
        <v>1601</v>
      </c>
      <c r="D61" s="678" t="s">
        <v>1390</v>
      </c>
      <c r="E61" s="678" t="s">
        <v>1372</v>
      </c>
      <c r="F61" s="678" t="s">
        <v>53</v>
      </c>
      <c r="G61" s="679" t="s">
        <v>47</v>
      </c>
      <c r="H61" s="678" t="s">
        <v>1366</v>
      </c>
      <c r="I61" s="680">
        <v>3200</v>
      </c>
      <c r="J61" s="680">
        <v>4000</v>
      </c>
      <c r="K61" s="680">
        <v>4000</v>
      </c>
      <c r="L61" s="680">
        <v>5065</v>
      </c>
      <c r="M61" s="679"/>
      <c r="N61" s="679"/>
      <c r="O61" s="679"/>
      <c r="P61" s="679"/>
      <c r="Q61" s="679"/>
      <c r="R61" s="679"/>
      <c r="S61" s="679"/>
      <c r="T61" s="679"/>
      <c r="U61" s="679"/>
      <c r="V61" s="679"/>
      <c r="W61" s="679"/>
      <c r="X61" s="681"/>
      <c r="Y61" s="681"/>
      <c r="Z61" s="679" t="s">
        <v>1367</v>
      </c>
      <c r="AA61" s="682" t="s">
        <v>304</v>
      </c>
    </row>
    <row r="62" spans="1:27" s="64" customFormat="1" x14ac:dyDescent="0.25">
      <c r="A62" s="677" t="s">
        <v>1591</v>
      </c>
      <c r="B62" s="678"/>
      <c r="C62" s="678" t="s">
        <v>1601</v>
      </c>
      <c r="D62" s="678" t="s">
        <v>1391</v>
      </c>
      <c r="E62" s="678" t="s">
        <v>1372</v>
      </c>
      <c r="F62" s="678" t="s">
        <v>53</v>
      </c>
      <c r="G62" s="679" t="s">
        <v>47</v>
      </c>
      <c r="H62" s="678" t="s">
        <v>1366</v>
      </c>
      <c r="I62" s="680">
        <v>3200</v>
      </c>
      <c r="J62" s="680">
        <v>4000</v>
      </c>
      <c r="K62" s="680">
        <v>4000</v>
      </c>
      <c r="L62" s="680">
        <v>5065</v>
      </c>
      <c r="M62" s="679"/>
      <c r="N62" s="679"/>
      <c r="O62" s="679"/>
      <c r="P62" s="679"/>
      <c r="Q62" s="679"/>
      <c r="R62" s="679"/>
      <c r="S62" s="679"/>
      <c r="T62" s="679"/>
      <c r="U62" s="679"/>
      <c r="V62" s="679"/>
      <c r="W62" s="679"/>
      <c r="X62" s="681"/>
      <c r="Y62" s="681"/>
      <c r="Z62" s="679" t="s">
        <v>1367</v>
      </c>
      <c r="AA62" s="682" t="s">
        <v>304</v>
      </c>
    </row>
    <row r="63" spans="1:27" s="64" customFormat="1" x14ac:dyDescent="0.25">
      <c r="A63" s="677" t="s">
        <v>1591</v>
      </c>
      <c r="B63" s="678"/>
      <c r="C63" s="678" t="s">
        <v>1601</v>
      </c>
      <c r="D63" s="678" t="s">
        <v>1391</v>
      </c>
      <c r="E63" s="678" t="s">
        <v>1375</v>
      </c>
      <c r="F63" s="678" t="s">
        <v>53</v>
      </c>
      <c r="G63" s="679" t="s">
        <v>47</v>
      </c>
      <c r="H63" s="678" t="s">
        <v>1366</v>
      </c>
      <c r="I63" s="680">
        <v>3120</v>
      </c>
      <c r="J63" s="680">
        <v>3900</v>
      </c>
      <c r="K63" s="680">
        <v>3900</v>
      </c>
      <c r="L63" s="680">
        <v>4935</v>
      </c>
      <c r="M63" s="679"/>
      <c r="N63" s="679"/>
      <c r="O63" s="679"/>
      <c r="P63" s="679"/>
      <c r="Q63" s="679"/>
      <c r="R63" s="679"/>
      <c r="S63" s="679"/>
      <c r="T63" s="679"/>
      <c r="U63" s="679"/>
      <c r="V63" s="679"/>
      <c r="W63" s="679"/>
      <c r="X63" s="681"/>
      <c r="Y63" s="681"/>
      <c r="Z63" s="679" t="s">
        <v>1367</v>
      </c>
      <c r="AA63" s="682" t="s">
        <v>304</v>
      </c>
    </row>
    <row r="64" spans="1:27" s="64" customFormat="1" x14ac:dyDescent="0.25">
      <c r="A64" s="677" t="s">
        <v>1591</v>
      </c>
      <c r="B64" s="678"/>
      <c r="C64" s="678" t="s">
        <v>1601</v>
      </c>
      <c r="D64" s="678" t="s">
        <v>1609</v>
      </c>
      <c r="E64" s="678" t="s">
        <v>1612</v>
      </c>
      <c r="F64" s="678" t="s">
        <v>53</v>
      </c>
      <c r="G64" s="679" t="s">
        <v>47</v>
      </c>
      <c r="H64" s="678" t="s">
        <v>1366</v>
      </c>
      <c r="I64" s="680">
        <v>2760</v>
      </c>
      <c r="J64" s="680">
        <v>3450</v>
      </c>
      <c r="K64" s="680">
        <v>3450</v>
      </c>
      <c r="L64" s="680">
        <v>4370</v>
      </c>
      <c r="M64" s="679"/>
      <c r="N64" s="679"/>
      <c r="O64" s="679"/>
      <c r="P64" s="679"/>
      <c r="Q64" s="679"/>
      <c r="R64" s="679"/>
      <c r="S64" s="679"/>
      <c r="T64" s="679"/>
      <c r="U64" s="679"/>
      <c r="V64" s="679"/>
      <c r="W64" s="679"/>
      <c r="X64" s="681"/>
      <c r="Y64" s="681"/>
      <c r="Z64" s="679" t="s">
        <v>1367</v>
      </c>
      <c r="AA64" s="682" t="s">
        <v>304</v>
      </c>
    </row>
    <row r="65" spans="1:27" s="64" customFormat="1" x14ac:dyDescent="0.25">
      <c r="A65" s="677" t="s">
        <v>1591</v>
      </c>
      <c r="B65" s="678"/>
      <c r="C65" s="678" t="s">
        <v>1601</v>
      </c>
      <c r="D65" s="678" t="s">
        <v>1609</v>
      </c>
      <c r="E65" s="678" t="s">
        <v>1613</v>
      </c>
      <c r="F65" s="678" t="s">
        <v>53</v>
      </c>
      <c r="G65" s="679" t="s">
        <v>47</v>
      </c>
      <c r="H65" s="678" t="s">
        <v>1366</v>
      </c>
      <c r="I65" s="680">
        <v>3040</v>
      </c>
      <c r="J65" s="680">
        <v>3800</v>
      </c>
      <c r="K65" s="680">
        <v>3800</v>
      </c>
      <c r="L65" s="680">
        <v>4810</v>
      </c>
      <c r="M65" s="679"/>
      <c r="N65" s="679"/>
      <c r="O65" s="679"/>
      <c r="P65" s="679"/>
      <c r="Q65" s="679"/>
      <c r="R65" s="679"/>
      <c r="S65" s="679"/>
      <c r="T65" s="679"/>
      <c r="U65" s="679"/>
      <c r="V65" s="679"/>
      <c r="W65" s="679"/>
      <c r="X65" s="681"/>
      <c r="Y65" s="681"/>
      <c r="Z65" s="679" t="s">
        <v>1367</v>
      </c>
      <c r="AA65" s="682" t="s">
        <v>304</v>
      </c>
    </row>
    <row r="66" spans="1:27" s="64" customFormat="1" x14ac:dyDescent="0.25">
      <c r="A66" s="677" t="s">
        <v>1591</v>
      </c>
      <c r="B66" s="678"/>
      <c r="C66" s="678" t="s">
        <v>1601</v>
      </c>
      <c r="D66" s="678" t="s">
        <v>1608</v>
      </c>
      <c r="E66" s="678" t="s">
        <v>1656</v>
      </c>
      <c r="F66" s="678" t="s">
        <v>53</v>
      </c>
      <c r="G66" s="679" t="s">
        <v>47</v>
      </c>
      <c r="H66" s="678" t="s">
        <v>1366</v>
      </c>
      <c r="I66" s="680">
        <v>2920</v>
      </c>
      <c r="J66" s="680">
        <v>3650</v>
      </c>
      <c r="K66" s="680">
        <v>3650</v>
      </c>
      <c r="L66" s="680">
        <v>4620</v>
      </c>
      <c r="M66" s="679"/>
      <c r="N66" s="679"/>
      <c r="O66" s="679"/>
      <c r="P66" s="679"/>
      <c r="Q66" s="679"/>
      <c r="R66" s="679"/>
      <c r="S66" s="679"/>
      <c r="T66" s="679"/>
      <c r="U66" s="679"/>
      <c r="V66" s="679"/>
      <c r="W66" s="679"/>
      <c r="X66" s="681"/>
      <c r="Y66" s="681"/>
      <c r="Z66" s="679" t="s">
        <v>1367</v>
      </c>
      <c r="AA66" s="682" t="s">
        <v>304</v>
      </c>
    </row>
    <row r="67" spans="1:27" s="64" customFormat="1" x14ac:dyDescent="0.25">
      <c r="A67" s="677" t="s">
        <v>1591</v>
      </c>
      <c r="B67" s="678"/>
      <c r="C67" s="678" t="s">
        <v>1601</v>
      </c>
      <c r="D67" s="678" t="s">
        <v>1391</v>
      </c>
      <c r="E67" s="678" t="s">
        <v>1379</v>
      </c>
      <c r="F67" s="678" t="s">
        <v>53</v>
      </c>
      <c r="G67" s="679" t="s">
        <v>47</v>
      </c>
      <c r="H67" s="678" t="s">
        <v>1366</v>
      </c>
      <c r="I67" s="680">
        <v>3160</v>
      </c>
      <c r="J67" s="680">
        <v>3950</v>
      </c>
      <c r="K67" s="680">
        <v>3950</v>
      </c>
      <c r="L67" s="680">
        <v>5000</v>
      </c>
      <c r="M67" s="679"/>
      <c r="N67" s="679"/>
      <c r="O67" s="679"/>
      <c r="P67" s="679"/>
      <c r="Q67" s="679"/>
      <c r="R67" s="679"/>
      <c r="S67" s="679"/>
      <c r="T67" s="679"/>
      <c r="U67" s="679"/>
      <c r="V67" s="679"/>
      <c r="W67" s="679"/>
      <c r="X67" s="681"/>
      <c r="Y67" s="681"/>
      <c r="Z67" s="679" t="s">
        <v>1367</v>
      </c>
      <c r="AA67" s="682" t="s">
        <v>304</v>
      </c>
    </row>
    <row r="68" spans="1:27" s="64" customFormat="1" x14ac:dyDescent="0.25">
      <c r="A68" s="677" t="s">
        <v>1591</v>
      </c>
      <c r="B68" s="678"/>
      <c r="C68" s="678" t="s">
        <v>1601</v>
      </c>
      <c r="D68" s="678" t="s">
        <v>1391</v>
      </c>
      <c r="E68" s="678" t="s">
        <v>1380</v>
      </c>
      <c r="F68" s="678" t="s">
        <v>53</v>
      </c>
      <c r="G68" s="679" t="s">
        <v>47</v>
      </c>
      <c r="H68" s="678" t="s">
        <v>1366</v>
      </c>
      <c r="I68" s="680">
        <v>3160</v>
      </c>
      <c r="J68" s="680">
        <v>3950</v>
      </c>
      <c r="K68" s="680">
        <v>3950</v>
      </c>
      <c r="L68" s="680">
        <v>5000</v>
      </c>
      <c r="M68" s="679"/>
      <c r="N68" s="679"/>
      <c r="O68" s="679"/>
      <c r="P68" s="679"/>
      <c r="Q68" s="679"/>
      <c r="R68" s="679"/>
      <c r="S68" s="679"/>
      <c r="T68" s="679"/>
      <c r="U68" s="679"/>
      <c r="V68" s="679"/>
      <c r="W68" s="679"/>
      <c r="X68" s="681"/>
      <c r="Y68" s="681"/>
      <c r="Z68" s="679" t="s">
        <v>1367</v>
      </c>
      <c r="AA68" s="682" t="s">
        <v>304</v>
      </c>
    </row>
    <row r="69" spans="1:27" s="64" customFormat="1" x14ac:dyDescent="0.25">
      <c r="A69" s="677" t="s">
        <v>1591</v>
      </c>
      <c r="B69" s="678"/>
      <c r="C69" s="678" t="s">
        <v>1601</v>
      </c>
      <c r="D69" s="678" t="s">
        <v>1608</v>
      </c>
      <c r="E69" s="678" t="s">
        <v>1382</v>
      </c>
      <c r="F69" s="678" t="s">
        <v>53</v>
      </c>
      <c r="G69" s="679" t="s">
        <v>47</v>
      </c>
      <c r="H69" s="678" t="s">
        <v>1366</v>
      </c>
      <c r="I69" s="680">
        <v>2960</v>
      </c>
      <c r="J69" s="680">
        <v>3700</v>
      </c>
      <c r="K69" s="680">
        <v>3700</v>
      </c>
      <c r="L69" s="680">
        <v>4685</v>
      </c>
      <c r="M69" s="679"/>
      <c r="N69" s="679"/>
      <c r="O69" s="679"/>
      <c r="P69" s="679"/>
      <c r="Q69" s="679"/>
      <c r="R69" s="679"/>
      <c r="S69" s="679"/>
      <c r="T69" s="679"/>
      <c r="U69" s="679"/>
      <c r="V69" s="679"/>
      <c r="W69" s="679"/>
      <c r="X69" s="681"/>
      <c r="Y69" s="681"/>
      <c r="Z69" s="679" t="s">
        <v>1367</v>
      </c>
      <c r="AA69" s="682" t="s">
        <v>304</v>
      </c>
    </row>
    <row r="70" spans="1:27" s="64" customFormat="1" x14ac:dyDescent="0.25">
      <c r="A70" s="677" t="s">
        <v>1591</v>
      </c>
      <c r="B70" s="678"/>
      <c r="C70" s="678" t="s">
        <v>1601</v>
      </c>
      <c r="D70" s="678" t="s">
        <v>1608</v>
      </c>
      <c r="E70" s="678" t="s">
        <v>1381</v>
      </c>
      <c r="F70" s="678" t="s">
        <v>53</v>
      </c>
      <c r="G70" s="679" t="s">
        <v>47</v>
      </c>
      <c r="H70" s="678" t="s">
        <v>1366</v>
      </c>
      <c r="I70" s="680">
        <v>3080</v>
      </c>
      <c r="J70" s="680">
        <v>3850</v>
      </c>
      <c r="K70" s="680">
        <v>3850</v>
      </c>
      <c r="L70" s="680">
        <v>4875</v>
      </c>
      <c r="M70" s="679"/>
      <c r="N70" s="679"/>
      <c r="O70" s="679"/>
      <c r="P70" s="679"/>
      <c r="Q70" s="679"/>
      <c r="R70" s="679"/>
      <c r="S70" s="679"/>
      <c r="T70" s="679"/>
      <c r="U70" s="679"/>
      <c r="V70" s="679"/>
      <c r="W70" s="679"/>
      <c r="X70" s="681"/>
      <c r="Y70" s="681"/>
      <c r="Z70" s="679" t="s">
        <v>1367</v>
      </c>
      <c r="AA70" s="682" t="s">
        <v>304</v>
      </c>
    </row>
    <row r="71" spans="1:27" s="64" customFormat="1" x14ac:dyDescent="0.25">
      <c r="A71" s="677" t="s">
        <v>1591</v>
      </c>
      <c r="B71" s="678"/>
      <c r="C71" s="678" t="s">
        <v>1601</v>
      </c>
      <c r="D71" s="678" t="s">
        <v>1391</v>
      </c>
      <c r="E71" s="678" t="s">
        <v>1614</v>
      </c>
      <c r="F71" s="678" t="s">
        <v>357</v>
      </c>
      <c r="G71" s="679" t="s">
        <v>47</v>
      </c>
      <c r="H71" s="678" t="s">
        <v>1366</v>
      </c>
      <c r="I71" s="680">
        <v>3080</v>
      </c>
      <c r="J71" s="680">
        <v>3850</v>
      </c>
      <c r="K71" s="680">
        <v>3850</v>
      </c>
      <c r="L71" s="680">
        <v>4875</v>
      </c>
      <c r="M71" s="679"/>
      <c r="N71" s="679"/>
      <c r="O71" s="679"/>
      <c r="P71" s="679"/>
      <c r="Q71" s="679"/>
      <c r="R71" s="679"/>
      <c r="S71" s="679"/>
      <c r="T71" s="679"/>
      <c r="U71" s="679"/>
      <c r="V71" s="679"/>
      <c r="W71" s="679"/>
      <c r="X71" s="681"/>
      <c r="Y71" s="681"/>
      <c r="Z71" s="679" t="s">
        <v>1367</v>
      </c>
      <c r="AA71" s="682" t="s">
        <v>304</v>
      </c>
    </row>
    <row r="72" spans="1:27" s="64" customFormat="1" x14ac:dyDescent="0.25">
      <c r="A72" s="677" t="s">
        <v>1591</v>
      </c>
      <c r="B72" s="678"/>
      <c r="C72" s="678" t="s">
        <v>1601</v>
      </c>
      <c r="D72" s="678" t="s">
        <v>1391</v>
      </c>
      <c r="E72" s="678" t="s">
        <v>1386</v>
      </c>
      <c r="F72" s="678" t="s">
        <v>53</v>
      </c>
      <c r="G72" s="679" t="s">
        <v>47</v>
      </c>
      <c r="H72" s="678" t="s">
        <v>1366</v>
      </c>
      <c r="I72" s="680">
        <v>3080</v>
      </c>
      <c r="J72" s="680">
        <v>3850</v>
      </c>
      <c r="K72" s="680">
        <v>3850</v>
      </c>
      <c r="L72" s="680">
        <v>4875</v>
      </c>
      <c r="M72" s="679"/>
      <c r="N72" s="679"/>
      <c r="O72" s="679"/>
      <c r="P72" s="679"/>
      <c r="Q72" s="679"/>
      <c r="R72" s="679"/>
      <c r="S72" s="679"/>
      <c r="T72" s="679"/>
      <c r="U72" s="679"/>
      <c r="V72" s="679"/>
      <c r="W72" s="679"/>
      <c r="X72" s="681"/>
      <c r="Y72" s="681"/>
      <c r="Z72" s="679" t="s">
        <v>1367</v>
      </c>
      <c r="AA72" s="682" t="s">
        <v>304</v>
      </c>
    </row>
    <row r="73" spans="1:27" s="64" customFormat="1" x14ac:dyDescent="0.25">
      <c r="A73" s="677" t="s">
        <v>1591</v>
      </c>
      <c r="B73" s="678"/>
      <c r="C73" s="678" t="s">
        <v>1605</v>
      </c>
      <c r="D73" s="678" t="s">
        <v>1390</v>
      </c>
      <c r="E73" s="678"/>
      <c r="F73" s="678" t="s">
        <v>51</v>
      </c>
      <c r="G73" s="679" t="s">
        <v>47</v>
      </c>
      <c r="H73" s="678" t="s">
        <v>1366</v>
      </c>
      <c r="I73" s="680">
        <v>2120</v>
      </c>
      <c r="J73" s="680">
        <v>2650</v>
      </c>
      <c r="K73" s="680">
        <v>2650</v>
      </c>
      <c r="L73" s="680">
        <v>3355</v>
      </c>
      <c r="M73" s="679"/>
      <c r="N73" s="679"/>
      <c r="O73" s="679"/>
      <c r="P73" s="679"/>
      <c r="Q73" s="679"/>
      <c r="R73" s="679"/>
      <c r="S73" s="679"/>
      <c r="T73" s="679"/>
      <c r="U73" s="679"/>
      <c r="V73" s="679"/>
      <c r="W73" s="679"/>
      <c r="X73" s="681"/>
      <c r="Y73" s="681"/>
      <c r="Z73" s="679" t="s">
        <v>1367</v>
      </c>
      <c r="AA73" s="682" t="s">
        <v>389</v>
      </c>
    </row>
    <row r="74" spans="1:27" s="64" customFormat="1" x14ac:dyDescent="0.25">
      <c r="A74" s="677" t="s">
        <v>1591</v>
      </c>
      <c r="B74" s="678"/>
      <c r="C74" s="678" t="s">
        <v>1605</v>
      </c>
      <c r="D74" s="678" t="s">
        <v>1391</v>
      </c>
      <c r="E74" s="678"/>
      <c r="F74" s="678" t="s">
        <v>51</v>
      </c>
      <c r="G74" s="679" t="s">
        <v>47</v>
      </c>
      <c r="H74" s="678" t="s">
        <v>1366</v>
      </c>
      <c r="I74" s="680">
        <v>2120</v>
      </c>
      <c r="J74" s="680">
        <v>2650</v>
      </c>
      <c r="K74" s="680">
        <v>2650</v>
      </c>
      <c r="L74" s="680">
        <v>3355</v>
      </c>
      <c r="M74" s="679"/>
      <c r="N74" s="679"/>
      <c r="O74" s="679"/>
      <c r="P74" s="679"/>
      <c r="Q74" s="679"/>
      <c r="R74" s="679"/>
      <c r="S74" s="679"/>
      <c r="T74" s="679"/>
      <c r="U74" s="679"/>
      <c r="V74" s="679"/>
      <c r="W74" s="679"/>
      <c r="X74" s="681"/>
      <c r="Y74" s="681"/>
      <c r="Z74" s="679" t="s">
        <v>1367</v>
      </c>
      <c r="AA74" s="682" t="s">
        <v>304</v>
      </c>
    </row>
    <row r="75" spans="1:27" s="64" customFormat="1" x14ac:dyDescent="0.25">
      <c r="A75" s="677" t="s">
        <v>1591</v>
      </c>
      <c r="B75" s="678"/>
      <c r="C75" s="678" t="s">
        <v>1605</v>
      </c>
      <c r="D75" s="678" t="s">
        <v>1608</v>
      </c>
      <c r="E75" s="678"/>
      <c r="F75" s="678" t="s">
        <v>51</v>
      </c>
      <c r="G75" s="679" t="s">
        <v>47</v>
      </c>
      <c r="H75" s="678" t="s">
        <v>1366</v>
      </c>
      <c r="I75" s="680">
        <v>2120</v>
      </c>
      <c r="J75" s="680">
        <v>2650</v>
      </c>
      <c r="K75" s="680">
        <v>2650</v>
      </c>
      <c r="L75" s="680">
        <v>3355</v>
      </c>
      <c r="M75" s="679"/>
      <c r="N75" s="679"/>
      <c r="O75" s="679"/>
      <c r="P75" s="679"/>
      <c r="Q75" s="679"/>
      <c r="R75" s="679"/>
      <c r="S75" s="679"/>
      <c r="T75" s="679"/>
      <c r="U75" s="679"/>
      <c r="V75" s="679"/>
      <c r="W75" s="679"/>
      <c r="X75" s="681"/>
      <c r="Y75" s="681"/>
      <c r="Z75" s="679" t="s">
        <v>1367</v>
      </c>
      <c r="AA75" s="682" t="s">
        <v>389</v>
      </c>
    </row>
    <row r="76" spans="1:27" s="64" customFormat="1" x14ac:dyDescent="0.25">
      <c r="A76" s="677" t="s">
        <v>1591</v>
      </c>
      <c r="B76" s="678"/>
      <c r="C76" s="678" t="s">
        <v>1605</v>
      </c>
      <c r="D76" s="678" t="s">
        <v>1609</v>
      </c>
      <c r="E76" s="678"/>
      <c r="F76" s="678" t="s">
        <v>51</v>
      </c>
      <c r="G76" s="679" t="s">
        <v>47</v>
      </c>
      <c r="H76" s="678" t="s">
        <v>1366</v>
      </c>
      <c r="I76" s="680">
        <v>2120</v>
      </c>
      <c r="J76" s="680">
        <v>2650</v>
      </c>
      <c r="K76" s="680">
        <v>2650</v>
      </c>
      <c r="L76" s="680">
        <v>3355</v>
      </c>
      <c r="M76" s="679"/>
      <c r="N76" s="679"/>
      <c r="O76" s="679"/>
      <c r="P76" s="679"/>
      <c r="Q76" s="679"/>
      <c r="R76" s="679"/>
      <c r="S76" s="679"/>
      <c r="T76" s="679"/>
      <c r="U76" s="679"/>
      <c r="V76" s="679"/>
      <c r="W76" s="679"/>
      <c r="X76" s="681"/>
      <c r="Y76" s="681"/>
      <c r="Z76" s="679" t="s">
        <v>1367</v>
      </c>
      <c r="AA76" s="682" t="s">
        <v>304</v>
      </c>
    </row>
    <row r="77" spans="1:27" s="64" customFormat="1" x14ac:dyDescent="0.25">
      <c r="A77" s="677" t="s">
        <v>1591</v>
      </c>
      <c r="B77" s="678"/>
      <c r="C77" s="678" t="s">
        <v>1605</v>
      </c>
      <c r="D77" s="678" t="s">
        <v>1608</v>
      </c>
      <c r="E77" s="678" t="s">
        <v>1387</v>
      </c>
      <c r="F77" s="678" t="s">
        <v>53</v>
      </c>
      <c r="G77" s="679" t="s">
        <v>47</v>
      </c>
      <c r="H77" s="678" t="s">
        <v>1366</v>
      </c>
      <c r="I77" s="680">
        <v>2720</v>
      </c>
      <c r="J77" s="680">
        <v>3400</v>
      </c>
      <c r="K77" s="680">
        <v>3400</v>
      </c>
      <c r="L77" s="680">
        <v>4305</v>
      </c>
      <c r="M77" s="679"/>
      <c r="N77" s="679"/>
      <c r="O77" s="679"/>
      <c r="P77" s="679"/>
      <c r="Q77" s="679"/>
      <c r="R77" s="679"/>
      <c r="S77" s="679"/>
      <c r="T77" s="679"/>
      <c r="U77" s="679"/>
      <c r="V77" s="679"/>
      <c r="W77" s="679"/>
      <c r="X77" s="681"/>
      <c r="Y77" s="681"/>
      <c r="Z77" s="679" t="s">
        <v>1367</v>
      </c>
      <c r="AA77" s="682" t="s">
        <v>304</v>
      </c>
    </row>
    <row r="78" spans="1:27" s="64" customFormat="1" x14ac:dyDescent="0.25">
      <c r="A78" s="677" t="s">
        <v>1591</v>
      </c>
      <c r="B78" s="678"/>
      <c r="C78" s="678" t="s">
        <v>1605</v>
      </c>
      <c r="D78" s="678" t="s">
        <v>1390</v>
      </c>
      <c r="E78" s="678" t="s">
        <v>1610</v>
      </c>
      <c r="F78" s="678" t="s">
        <v>53</v>
      </c>
      <c r="G78" s="679" t="s">
        <v>47</v>
      </c>
      <c r="H78" s="678" t="s">
        <v>1366</v>
      </c>
      <c r="I78" s="680">
        <v>3160</v>
      </c>
      <c r="J78" s="680">
        <v>3950</v>
      </c>
      <c r="K78" s="680">
        <v>3950</v>
      </c>
      <c r="L78" s="680">
        <v>5000</v>
      </c>
      <c r="M78" s="679"/>
      <c r="N78" s="679"/>
      <c r="O78" s="679"/>
      <c r="P78" s="679"/>
      <c r="Q78" s="679"/>
      <c r="R78" s="679"/>
      <c r="S78" s="679"/>
      <c r="T78" s="679"/>
      <c r="U78" s="679"/>
      <c r="V78" s="679"/>
      <c r="W78" s="679"/>
      <c r="X78" s="681"/>
      <c r="Y78" s="681"/>
      <c r="Z78" s="679" t="s">
        <v>1367</v>
      </c>
      <c r="AA78" s="682" t="s">
        <v>304</v>
      </c>
    </row>
    <row r="79" spans="1:27" s="64" customFormat="1" x14ac:dyDescent="0.25">
      <c r="A79" s="677" t="s">
        <v>1591</v>
      </c>
      <c r="B79" s="678"/>
      <c r="C79" s="678" t="s">
        <v>1605</v>
      </c>
      <c r="D79" s="678" t="s">
        <v>1608</v>
      </c>
      <c r="E79" s="678" t="s">
        <v>1389</v>
      </c>
      <c r="F79" s="678" t="s">
        <v>53</v>
      </c>
      <c r="G79" s="679" t="s">
        <v>47</v>
      </c>
      <c r="H79" s="678" t="s">
        <v>1366</v>
      </c>
      <c r="I79" s="680">
        <v>2720</v>
      </c>
      <c r="J79" s="680">
        <v>3400</v>
      </c>
      <c r="K79" s="680">
        <v>3400</v>
      </c>
      <c r="L79" s="680">
        <v>4305</v>
      </c>
      <c r="M79" s="679"/>
      <c r="N79" s="679"/>
      <c r="O79" s="679"/>
      <c r="P79" s="679"/>
      <c r="Q79" s="679"/>
      <c r="R79" s="679"/>
      <c r="S79" s="679"/>
      <c r="T79" s="679"/>
      <c r="U79" s="679"/>
      <c r="V79" s="679"/>
      <c r="W79" s="679"/>
      <c r="X79" s="681"/>
      <c r="Y79" s="681"/>
      <c r="Z79" s="679" t="s">
        <v>1367</v>
      </c>
      <c r="AA79" s="682" t="s">
        <v>304</v>
      </c>
    </row>
    <row r="80" spans="1:27" s="64" customFormat="1" x14ac:dyDescent="0.25">
      <c r="A80" s="677" t="s">
        <v>1591</v>
      </c>
      <c r="B80" s="678"/>
      <c r="C80" s="678" t="s">
        <v>1605</v>
      </c>
      <c r="D80" s="678" t="s">
        <v>1608</v>
      </c>
      <c r="E80" s="678" t="s">
        <v>1611</v>
      </c>
      <c r="F80" s="678" t="s">
        <v>53</v>
      </c>
      <c r="G80" s="679" t="s">
        <v>47</v>
      </c>
      <c r="H80" s="678" t="s">
        <v>1366</v>
      </c>
      <c r="I80" s="680">
        <v>2920</v>
      </c>
      <c r="J80" s="680">
        <v>3650</v>
      </c>
      <c r="K80" s="680">
        <v>3650</v>
      </c>
      <c r="L80" s="680">
        <v>4620</v>
      </c>
      <c r="M80" s="679"/>
      <c r="N80" s="679"/>
      <c r="O80" s="679"/>
      <c r="P80" s="679"/>
      <c r="Q80" s="679"/>
      <c r="R80" s="679"/>
      <c r="S80" s="679"/>
      <c r="T80" s="679"/>
      <c r="U80" s="679"/>
      <c r="V80" s="679"/>
      <c r="W80" s="679"/>
      <c r="X80" s="681"/>
      <c r="Y80" s="681"/>
      <c r="Z80" s="679" t="s">
        <v>1367</v>
      </c>
      <c r="AA80" s="682" t="s">
        <v>304</v>
      </c>
    </row>
    <row r="81" spans="1:27" s="64" customFormat="1" x14ac:dyDescent="0.25">
      <c r="A81" s="677" t="s">
        <v>1591</v>
      </c>
      <c r="B81" s="678"/>
      <c r="C81" s="678" t="s">
        <v>1605</v>
      </c>
      <c r="D81" s="678" t="s">
        <v>1390</v>
      </c>
      <c r="E81" s="678" t="s">
        <v>1369</v>
      </c>
      <c r="F81" s="678" t="s">
        <v>53</v>
      </c>
      <c r="G81" s="679" t="s">
        <v>47</v>
      </c>
      <c r="H81" s="678" t="s">
        <v>1366</v>
      </c>
      <c r="I81" s="680">
        <v>3160</v>
      </c>
      <c r="J81" s="680">
        <v>3950</v>
      </c>
      <c r="K81" s="680">
        <v>3950</v>
      </c>
      <c r="L81" s="680">
        <v>5000</v>
      </c>
      <c r="M81" s="679"/>
      <c r="N81" s="679"/>
      <c r="O81" s="679"/>
      <c r="P81" s="679"/>
      <c r="Q81" s="679"/>
      <c r="R81" s="679"/>
      <c r="S81" s="679"/>
      <c r="T81" s="679"/>
      <c r="U81" s="679"/>
      <c r="V81" s="679"/>
      <c r="W81" s="679"/>
      <c r="X81" s="681"/>
      <c r="Y81" s="681"/>
      <c r="Z81" s="679" t="s">
        <v>1367</v>
      </c>
      <c r="AA81" s="682" t="s">
        <v>304</v>
      </c>
    </row>
    <row r="82" spans="1:27" s="64" customFormat="1" x14ac:dyDescent="0.25">
      <c r="A82" s="677" t="s">
        <v>1591</v>
      </c>
      <c r="B82" s="678"/>
      <c r="C82" s="678" t="s">
        <v>1605</v>
      </c>
      <c r="D82" s="678" t="s">
        <v>1391</v>
      </c>
      <c r="E82" s="678" t="s">
        <v>1369</v>
      </c>
      <c r="F82" s="678" t="s">
        <v>53</v>
      </c>
      <c r="G82" s="679" t="s">
        <v>47</v>
      </c>
      <c r="H82" s="678" t="s">
        <v>1366</v>
      </c>
      <c r="I82" s="680">
        <v>3160</v>
      </c>
      <c r="J82" s="680">
        <v>3950</v>
      </c>
      <c r="K82" s="680">
        <v>3950</v>
      </c>
      <c r="L82" s="680">
        <v>5000</v>
      </c>
      <c r="M82" s="679"/>
      <c r="N82" s="679"/>
      <c r="O82" s="679"/>
      <c r="P82" s="679"/>
      <c r="Q82" s="679"/>
      <c r="R82" s="679"/>
      <c r="S82" s="679"/>
      <c r="T82" s="679"/>
      <c r="U82" s="679"/>
      <c r="V82" s="679"/>
      <c r="W82" s="679"/>
      <c r="X82" s="681"/>
      <c r="Y82" s="681"/>
      <c r="Z82" s="679" t="s">
        <v>1367</v>
      </c>
      <c r="AA82" s="682" t="s">
        <v>304</v>
      </c>
    </row>
    <row r="83" spans="1:27" s="64" customFormat="1" x14ac:dyDescent="0.25">
      <c r="A83" s="677" t="s">
        <v>1591</v>
      </c>
      <c r="B83" s="678"/>
      <c r="C83" s="678" t="s">
        <v>1605</v>
      </c>
      <c r="D83" s="678" t="s">
        <v>1390</v>
      </c>
      <c r="E83" s="678" t="s">
        <v>1370</v>
      </c>
      <c r="F83" s="678" t="s">
        <v>53</v>
      </c>
      <c r="G83" s="679" t="s">
        <v>47</v>
      </c>
      <c r="H83" s="678" t="s">
        <v>1366</v>
      </c>
      <c r="I83" s="680">
        <v>3160</v>
      </c>
      <c r="J83" s="680">
        <v>3950</v>
      </c>
      <c r="K83" s="680">
        <v>3950</v>
      </c>
      <c r="L83" s="680">
        <v>5000</v>
      </c>
      <c r="M83" s="679"/>
      <c r="N83" s="679"/>
      <c r="O83" s="679"/>
      <c r="P83" s="679"/>
      <c r="Q83" s="679"/>
      <c r="R83" s="679"/>
      <c r="S83" s="679"/>
      <c r="T83" s="679"/>
      <c r="U83" s="679"/>
      <c r="V83" s="679"/>
      <c r="W83" s="679"/>
      <c r="X83" s="681"/>
      <c r="Y83" s="681"/>
      <c r="Z83" s="679" t="s">
        <v>1367</v>
      </c>
      <c r="AA83" s="682" t="s">
        <v>304</v>
      </c>
    </row>
    <row r="84" spans="1:27" s="64" customFormat="1" x14ac:dyDescent="0.25">
      <c r="A84" s="677" t="s">
        <v>1591</v>
      </c>
      <c r="B84" s="678"/>
      <c r="C84" s="678" t="s">
        <v>1605</v>
      </c>
      <c r="D84" s="678" t="s">
        <v>1391</v>
      </c>
      <c r="E84" s="678" t="s">
        <v>1370</v>
      </c>
      <c r="F84" s="678" t="s">
        <v>53</v>
      </c>
      <c r="G84" s="679" t="s">
        <v>47</v>
      </c>
      <c r="H84" s="678" t="s">
        <v>1366</v>
      </c>
      <c r="I84" s="680">
        <v>3160</v>
      </c>
      <c r="J84" s="680">
        <v>3950</v>
      </c>
      <c r="K84" s="680">
        <v>3950</v>
      </c>
      <c r="L84" s="680">
        <v>5000</v>
      </c>
      <c r="M84" s="679"/>
      <c r="N84" s="679"/>
      <c r="O84" s="679"/>
      <c r="P84" s="679"/>
      <c r="Q84" s="679"/>
      <c r="R84" s="679"/>
      <c r="S84" s="679"/>
      <c r="T84" s="679"/>
      <c r="U84" s="679"/>
      <c r="V84" s="679"/>
      <c r="W84" s="679"/>
      <c r="X84" s="681"/>
      <c r="Y84" s="681"/>
      <c r="Z84" s="679" t="s">
        <v>1367</v>
      </c>
      <c r="AA84" s="682" t="s">
        <v>304</v>
      </c>
    </row>
    <row r="85" spans="1:27" s="64" customFormat="1" x14ac:dyDescent="0.25">
      <c r="A85" s="677" t="s">
        <v>1591</v>
      </c>
      <c r="B85" s="678"/>
      <c r="C85" s="678" t="s">
        <v>1605</v>
      </c>
      <c r="D85" s="678" t="s">
        <v>1390</v>
      </c>
      <c r="E85" s="678" t="s">
        <v>1371</v>
      </c>
      <c r="F85" s="678" t="s">
        <v>53</v>
      </c>
      <c r="G85" s="679" t="s">
        <v>47</v>
      </c>
      <c r="H85" s="678" t="s">
        <v>1366</v>
      </c>
      <c r="I85" s="680">
        <v>3040</v>
      </c>
      <c r="J85" s="680">
        <v>3800</v>
      </c>
      <c r="K85" s="680">
        <v>3800</v>
      </c>
      <c r="L85" s="680">
        <v>4810</v>
      </c>
      <c r="M85" s="679"/>
      <c r="N85" s="679"/>
      <c r="O85" s="679"/>
      <c r="P85" s="679"/>
      <c r="Q85" s="679"/>
      <c r="R85" s="679"/>
      <c r="S85" s="679"/>
      <c r="T85" s="679"/>
      <c r="U85" s="679"/>
      <c r="V85" s="679"/>
      <c r="W85" s="679"/>
      <c r="X85" s="681"/>
      <c r="Y85" s="681"/>
      <c r="Z85" s="679" t="s">
        <v>1367</v>
      </c>
      <c r="AA85" s="682" t="s">
        <v>304</v>
      </c>
    </row>
    <row r="86" spans="1:27" s="64" customFormat="1" x14ac:dyDescent="0.25">
      <c r="A86" s="677" t="s">
        <v>1591</v>
      </c>
      <c r="B86" s="678"/>
      <c r="C86" s="678" t="s">
        <v>1605</v>
      </c>
      <c r="D86" s="678" t="s">
        <v>1391</v>
      </c>
      <c r="E86" s="678" t="s">
        <v>1371</v>
      </c>
      <c r="F86" s="678" t="s">
        <v>53</v>
      </c>
      <c r="G86" s="679" t="s">
        <v>47</v>
      </c>
      <c r="H86" s="678" t="s">
        <v>1366</v>
      </c>
      <c r="I86" s="680">
        <v>3040</v>
      </c>
      <c r="J86" s="680">
        <v>3800</v>
      </c>
      <c r="K86" s="680">
        <v>3800</v>
      </c>
      <c r="L86" s="680">
        <v>4810</v>
      </c>
      <c r="M86" s="679"/>
      <c r="N86" s="679"/>
      <c r="O86" s="679"/>
      <c r="P86" s="679"/>
      <c r="Q86" s="679"/>
      <c r="R86" s="679"/>
      <c r="S86" s="679"/>
      <c r="T86" s="679"/>
      <c r="U86" s="679"/>
      <c r="V86" s="679"/>
      <c r="W86" s="679"/>
      <c r="X86" s="681"/>
      <c r="Y86" s="681"/>
      <c r="Z86" s="679" t="s">
        <v>1367</v>
      </c>
      <c r="AA86" s="682" t="s">
        <v>304</v>
      </c>
    </row>
    <row r="87" spans="1:27" s="64" customFormat="1" x14ac:dyDescent="0.25">
      <c r="A87" s="677" t="s">
        <v>1591</v>
      </c>
      <c r="B87" s="678"/>
      <c r="C87" s="678" t="s">
        <v>1605</v>
      </c>
      <c r="D87" s="678" t="s">
        <v>1390</v>
      </c>
      <c r="E87" s="678" t="s">
        <v>1372</v>
      </c>
      <c r="F87" s="678" t="s">
        <v>53</v>
      </c>
      <c r="G87" s="679" t="s">
        <v>47</v>
      </c>
      <c r="H87" s="678" t="s">
        <v>1366</v>
      </c>
      <c r="I87" s="680">
        <v>3200</v>
      </c>
      <c r="J87" s="680">
        <v>4000</v>
      </c>
      <c r="K87" s="680">
        <v>4000</v>
      </c>
      <c r="L87" s="680">
        <v>5065</v>
      </c>
      <c r="M87" s="679"/>
      <c r="N87" s="679"/>
      <c r="O87" s="679"/>
      <c r="P87" s="679"/>
      <c r="Q87" s="679"/>
      <c r="R87" s="679"/>
      <c r="S87" s="679"/>
      <c r="T87" s="679"/>
      <c r="U87" s="679"/>
      <c r="V87" s="679"/>
      <c r="W87" s="679"/>
      <c r="X87" s="681"/>
      <c r="Y87" s="681"/>
      <c r="Z87" s="679" t="s">
        <v>1367</v>
      </c>
      <c r="AA87" s="682" t="s">
        <v>304</v>
      </c>
    </row>
    <row r="88" spans="1:27" s="64" customFormat="1" x14ac:dyDescent="0.25">
      <c r="A88" s="677" t="s">
        <v>1591</v>
      </c>
      <c r="B88" s="678"/>
      <c r="C88" s="678" t="s">
        <v>1605</v>
      </c>
      <c r="D88" s="678" t="s">
        <v>1391</v>
      </c>
      <c r="E88" s="678" t="s">
        <v>1372</v>
      </c>
      <c r="F88" s="678" t="s">
        <v>53</v>
      </c>
      <c r="G88" s="679" t="s">
        <v>47</v>
      </c>
      <c r="H88" s="678" t="s">
        <v>1366</v>
      </c>
      <c r="I88" s="680">
        <v>3200</v>
      </c>
      <c r="J88" s="680">
        <v>4000</v>
      </c>
      <c r="K88" s="680">
        <v>4000</v>
      </c>
      <c r="L88" s="680">
        <v>5065</v>
      </c>
      <c r="M88" s="679"/>
      <c r="N88" s="679"/>
      <c r="O88" s="679"/>
      <c r="P88" s="679"/>
      <c r="Q88" s="679"/>
      <c r="R88" s="679"/>
      <c r="S88" s="679"/>
      <c r="T88" s="679"/>
      <c r="U88" s="679"/>
      <c r="V88" s="679"/>
      <c r="W88" s="679"/>
      <c r="X88" s="681"/>
      <c r="Y88" s="681"/>
      <c r="Z88" s="679" t="s">
        <v>1367</v>
      </c>
      <c r="AA88" s="682" t="s">
        <v>304</v>
      </c>
    </row>
    <row r="89" spans="1:27" s="64" customFormat="1" x14ac:dyDescent="0.25">
      <c r="A89" s="677" t="s">
        <v>1591</v>
      </c>
      <c r="B89" s="678"/>
      <c r="C89" s="678" t="s">
        <v>1605</v>
      </c>
      <c r="D89" s="678" t="s">
        <v>1391</v>
      </c>
      <c r="E89" s="678" t="s">
        <v>1375</v>
      </c>
      <c r="F89" s="678" t="s">
        <v>53</v>
      </c>
      <c r="G89" s="679" t="s">
        <v>47</v>
      </c>
      <c r="H89" s="678" t="s">
        <v>1366</v>
      </c>
      <c r="I89" s="680">
        <v>3120</v>
      </c>
      <c r="J89" s="680">
        <v>3900</v>
      </c>
      <c r="K89" s="680">
        <v>3900</v>
      </c>
      <c r="L89" s="680">
        <v>4935</v>
      </c>
      <c r="M89" s="679"/>
      <c r="N89" s="679"/>
      <c r="O89" s="679"/>
      <c r="P89" s="679"/>
      <c r="Q89" s="679"/>
      <c r="R89" s="679"/>
      <c r="S89" s="679"/>
      <c r="T89" s="679"/>
      <c r="U89" s="679"/>
      <c r="V89" s="679"/>
      <c r="W89" s="679"/>
      <c r="X89" s="681"/>
      <c r="Y89" s="681"/>
      <c r="Z89" s="679" t="s">
        <v>1367</v>
      </c>
      <c r="AA89" s="682" t="s">
        <v>304</v>
      </c>
    </row>
    <row r="90" spans="1:27" s="64" customFormat="1" x14ac:dyDescent="0.25">
      <c r="A90" s="677" t="s">
        <v>1591</v>
      </c>
      <c r="B90" s="678"/>
      <c r="C90" s="678" t="s">
        <v>1605</v>
      </c>
      <c r="D90" s="678" t="s">
        <v>1609</v>
      </c>
      <c r="E90" s="678" t="s">
        <v>1612</v>
      </c>
      <c r="F90" s="678" t="s">
        <v>53</v>
      </c>
      <c r="G90" s="679" t="s">
        <v>47</v>
      </c>
      <c r="H90" s="678" t="s">
        <v>1366</v>
      </c>
      <c r="I90" s="680">
        <v>2760</v>
      </c>
      <c r="J90" s="680">
        <v>3450</v>
      </c>
      <c r="K90" s="680">
        <v>3450</v>
      </c>
      <c r="L90" s="680">
        <v>4370</v>
      </c>
      <c r="M90" s="679"/>
      <c r="N90" s="679"/>
      <c r="O90" s="679"/>
      <c r="P90" s="679"/>
      <c r="Q90" s="679"/>
      <c r="R90" s="679"/>
      <c r="S90" s="679"/>
      <c r="T90" s="679"/>
      <c r="U90" s="679"/>
      <c r="V90" s="679"/>
      <c r="W90" s="679"/>
      <c r="X90" s="681"/>
      <c r="Y90" s="681"/>
      <c r="Z90" s="679" t="s">
        <v>1367</v>
      </c>
      <c r="AA90" s="682" t="s">
        <v>304</v>
      </c>
    </row>
    <row r="91" spans="1:27" s="64" customFormat="1" x14ac:dyDescent="0.25">
      <c r="A91" s="677" t="s">
        <v>1591</v>
      </c>
      <c r="B91" s="678"/>
      <c r="C91" s="678" t="s">
        <v>1605</v>
      </c>
      <c r="D91" s="678" t="s">
        <v>1609</v>
      </c>
      <c r="E91" s="678" t="s">
        <v>1613</v>
      </c>
      <c r="F91" s="678" t="s">
        <v>53</v>
      </c>
      <c r="G91" s="679" t="s">
        <v>47</v>
      </c>
      <c r="H91" s="678" t="s">
        <v>1366</v>
      </c>
      <c r="I91" s="680">
        <v>3040</v>
      </c>
      <c r="J91" s="680">
        <v>3800</v>
      </c>
      <c r="K91" s="680">
        <v>3800</v>
      </c>
      <c r="L91" s="680">
        <v>4810</v>
      </c>
      <c r="M91" s="679"/>
      <c r="N91" s="679"/>
      <c r="O91" s="679"/>
      <c r="P91" s="679"/>
      <c r="Q91" s="679"/>
      <c r="R91" s="679"/>
      <c r="S91" s="679"/>
      <c r="T91" s="679"/>
      <c r="U91" s="679"/>
      <c r="V91" s="679"/>
      <c r="W91" s="679"/>
      <c r="X91" s="681"/>
      <c r="Y91" s="681"/>
      <c r="Z91" s="679" t="s">
        <v>1367</v>
      </c>
      <c r="AA91" s="682" t="s">
        <v>304</v>
      </c>
    </row>
    <row r="92" spans="1:27" s="64" customFormat="1" x14ac:dyDescent="0.25">
      <c r="A92" s="677" t="s">
        <v>1591</v>
      </c>
      <c r="B92" s="678"/>
      <c r="C92" s="678" t="s">
        <v>1605</v>
      </c>
      <c r="D92" s="678" t="s">
        <v>1608</v>
      </c>
      <c r="E92" s="678" t="s">
        <v>1656</v>
      </c>
      <c r="F92" s="678" t="s">
        <v>53</v>
      </c>
      <c r="G92" s="679" t="s">
        <v>47</v>
      </c>
      <c r="H92" s="678" t="s">
        <v>1366</v>
      </c>
      <c r="I92" s="680">
        <v>2920</v>
      </c>
      <c r="J92" s="680">
        <v>3650</v>
      </c>
      <c r="K92" s="680">
        <v>3650</v>
      </c>
      <c r="L92" s="680">
        <v>4620</v>
      </c>
      <c r="M92" s="679"/>
      <c r="N92" s="679"/>
      <c r="O92" s="679"/>
      <c r="P92" s="679"/>
      <c r="Q92" s="679"/>
      <c r="R92" s="679"/>
      <c r="S92" s="679"/>
      <c r="T92" s="679"/>
      <c r="U92" s="679"/>
      <c r="V92" s="679"/>
      <c r="W92" s="679"/>
      <c r="X92" s="681"/>
      <c r="Y92" s="681"/>
      <c r="Z92" s="679" t="s">
        <v>1367</v>
      </c>
      <c r="AA92" s="682" t="s">
        <v>304</v>
      </c>
    </row>
    <row r="93" spans="1:27" s="64" customFormat="1" x14ac:dyDescent="0.25">
      <c r="A93" s="677" t="s">
        <v>1591</v>
      </c>
      <c r="B93" s="678"/>
      <c r="C93" s="678" t="s">
        <v>1605</v>
      </c>
      <c r="D93" s="678" t="s">
        <v>1391</v>
      </c>
      <c r="E93" s="678" t="s">
        <v>1379</v>
      </c>
      <c r="F93" s="678" t="s">
        <v>53</v>
      </c>
      <c r="G93" s="679" t="s">
        <v>47</v>
      </c>
      <c r="H93" s="678" t="s">
        <v>1366</v>
      </c>
      <c r="I93" s="680">
        <v>3160</v>
      </c>
      <c r="J93" s="680">
        <v>3950</v>
      </c>
      <c r="K93" s="680">
        <v>3950</v>
      </c>
      <c r="L93" s="680">
        <v>5000</v>
      </c>
      <c r="M93" s="679"/>
      <c r="N93" s="679"/>
      <c r="O93" s="679"/>
      <c r="P93" s="679"/>
      <c r="Q93" s="679"/>
      <c r="R93" s="679"/>
      <c r="S93" s="679"/>
      <c r="T93" s="679"/>
      <c r="U93" s="679"/>
      <c r="V93" s="679"/>
      <c r="W93" s="679"/>
      <c r="X93" s="681"/>
      <c r="Y93" s="681"/>
      <c r="Z93" s="679" t="s">
        <v>1367</v>
      </c>
      <c r="AA93" s="682" t="s">
        <v>304</v>
      </c>
    </row>
    <row r="94" spans="1:27" s="64" customFormat="1" x14ac:dyDescent="0.25">
      <c r="A94" s="677" t="s">
        <v>1591</v>
      </c>
      <c r="B94" s="678"/>
      <c r="C94" s="678" t="s">
        <v>1605</v>
      </c>
      <c r="D94" s="678" t="s">
        <v>1391</v>
      </c>
      <c r="E94" s="678" t="s">
        <v>1380</v>
      </c>
      <c r="F94" s="678" t="s">
        <v>53</v>
      </c>
      <c r="G94" s="679" t="s">
        <v>47</v>
      </c>
      <c r="H94" s="678" t="s">
        <v>1366</v>
      </c>
      <c r="I94" s="680">
        <v>3160</v>
      </c>
      <c r="J94" s="680">
        <v>3950</v>
      </c>
      <c r="K94" s="680">
        <v>3950</v>
      </c>
      <c r="L94" s="680">
        <v>5000</v>
      </c>
      <c r="M94" s="679"/>
      <c r="N94" s="679"/>
      <c r="O94" s="679"/>
      <c r="P94" s="679"/>
      <c r="Q94" s="679"/>
      <c r="R94" s="679"/>
      <c r="S94" s="679"/>
      <c r="T94" s="679"/>
      <c r="U94" s="679"/>
      <c r="V94" s="679"/>
      <c r="W94" s="679"/>
      <c r="X94" s="681"/>
      <c r="Y94" s="681"/>
      <c r="Z94" s="679" t="s">
        <v>1367</v>
      </c>
      <c r="AA94" s="682" t="s">
        <v>304</v>
      </c>
    </row>
    <row r="95" spans="1:27" s="64" customFormat="1" x14ac:dyDescent="0.25">
      <c r="A95" s="677" t="s">
        <v>1591</v>
      </c>
      <c r="B95" s="678"/>
      <c r="C95" s="678" t="s">
        <v>1605</v>
      </c>
      <c r="D95" s="678" t="s">
        <v>1608</v>
      </c>
      <c r="E95" s="678" t="s">
        <v>1382</v>
      </c>
      <c r="F95" s="678" t="s">
        <v>53</v>
      </c>
      <c r="G95" s="679" t="s">
        <v>47</v>
      </c>
      <c r="H95" s="678" t="s">
        <v>1366</v>
      </c>
      <c r="I95" s="680">
        <v>2960</v>
      </c>
      <c r="J95" s="680">
        <v>3700</v>
      </c>
      <c r="K95" s="680">
        <v>3700</v>
      </c>
      <c r="L95" s="680">
        <v>4685</v>
      </c>
      <c r="M95" s="679"/>
      <c r="N95" s="679"/>
      <c r="O95" s="679"/>
      <c r="P95" s="679"/>
      <c r="Q95" s="679"/>
      <c r="R95" s="679"/>
      <c r="S95" s="679"/>
      <c r="T95" s="679"/>
      <c r="U95" s="679"/>
      <c r="V95" s="679"/>
      <c r="W95" s="679"/>
      <c r="X95" s="681"/>
      <c r="Y95" s="681"/>
      <c r="Z95" s="679" t="s">
        <v>1367</v>
      </c>
      <c r="AA95" s="682" t="s">
        <v>304</v>
      </c>
    </row>
    <row r="96" spans="1:27" s="64" customFormat="1" x14ac:dyDescent="0.25">
      <c r="A96" s="677" t="s">
        <v>1591</v>
      </c>
      <c r="B96" s="678"/>
      <c r="C96" s="678" t="s">
        <v>1605</v>
      </c>
      <c r="D96" s="678" t="s">
        <v>1608</v>
      </c>
      <c r="E96" s="678" t="s">
        <v>1381</v>
      </c>
      <c r="F96" s="678" t="s">
        <v>53</v>
      </c>
      <c r="G96" s="679" t="s">
        <v>47</v>
      </c>
      <c r="H96" s="678" t="s">
        <v>1366</v>
      </c>
      <c r="I96" s="680">
        <v>3080</v>
      </c>
      <c r="J96" s="680">
        <v>3850</v>
      </c>
      <c r="K96" s="680">
        <v>3850</v>
      </c>
      <c r="L96" s="680">
        <v>4875</v>
      </c>
      <c r="M96" s="679"/>
      <c r="N96" s="679"/>
      <c r="O96" s="679"/>
      <c r="P96" s="679"/>
      <c r="Q96" s="679"/>
      <c r="R96" s="679"/>
      <c r="S96" s="679"/>
      <c r="T96" s="679"/>
      <c r="U96" s="679"/>
      <c r="V96" s="679"/>
      <c r="W96" s="679"/>
      <c r="X96" s="681"/>
      <c r="Y96" s="681"/>
      <c r="Z96" s="679" t="s">
        <v>1367</v>
      </c>
      <c r="AA96" s="682" t="s">
        <v>304</v>
      </c>
    </row>
    <row r="97" spans="1:27" s="64" customFormat="1" x14ac:dyDescent="0.25">
      <c r="A97" s="677" t="s">
        <v>1591</v>
      </c>
      <c r="B97" s="678"/>
      <c r="C97" s="678" t="s">
        <v>1605</v>
      </c>
      <c r="D97" s="678" t="s">
        <v>1391</v>
      </c>
      <c r="E97" s="678" t="s">
        <v>1614</v>
      </c>
      <c r="F97" s="678" t="s">
        <v>357</v>
      </c>
      <c r="G97" s="679" t="s">
        <v>47</v>
      </c>
      <c r="H97" s="678" t="s">
        <v>1366</v>
      </c>
      <c r="I97" s="680">
        <v>3080</v>
      </c>
      <c r="J97" s="680">
        <v>3850</v>
      </c>
      <c r="K97" s="680">
        <v>3850</v>
      </c>
      <c r="L97" s="680">
        <v>4875</v>
      </c>
      <c r="M97" s="679"/>
      <c r="N97" s="679"/>
      <c r="O97" s="679"/>
      <c r="P97" s="679"/>
      <c r="Q97" s="679"/>
      <c r="R97" s="679"/>
      <c r="S97" s="679"/>
      <c r="T97" s="679"/>
      <c r="U97" s="679"/>
      <c r="V97" s="679"/>
      <c r="W97" s="679"/>
      <c r="X97" s="681"/>
      <c r="Y97" s="681"/>
      <c r="Z97" s="679" t="s">
        <v>1367</v>
      </c>
      <c r="AA97" s="682" t="s">
        <v>304</v>
      </c>
    </row>
    <row r="98" spans="1:27" s="64" customFormat="1" x14ac:dyDescent="0.25">
      <c r="A98" s="677" t="s">
        <v>1591</v>
      </c>
      <c r="B98" s="678"/>
      <c r="C98" s="678" t="s">
        <v>1605</v>
      </c>
      <c r="D98" s="678" t="s">
        <v>1391</v>
      </c>
      <c r="E98" s="678" t="s">
        <v>1386</v>
      </c>
      <c r="F98" s="678" t="s">
        <v>53</v>
      </c>
      <c r="G98" s="679" t="s">
        <v>47</v>
      </c>
      <c r="H98" s="678" t="s">
        <v>1366</v>
      </c>
      <c r="I98" s="680">
        <v>3080</v>
      </c>
      <c r="J98" s="680">
        <v>3850</v>
      </c>
      <c r="K98" s="680">
        <v>3850</v>
      </c>
      <c r="L98" s="680">
        <v>4875</v>
      </c>
      <c r="M98" s="679"/>
      <c r="N98" s="679"/>
      <c r="O98" s="679"/>
      <c r="P98" s="679"/>
      <c r="Q98" s="679"/>
      <c r="R98" s="679"/>
      <c r="S98" s="679"/>
      <c r="T98" s="679"/>
      <c r="U98" s="679"/>
      <c r="V98" s="679"/>
      <c r="W98" s="679"/>
      <c r="X98" s="681"/>
      <c r="Y98" s="681"/>
      <c r="Z98" s="679" t="s">
        <v>1367</v>
      </c>
      <c r="AA98" s="682" t="s">
        <v>304</v>
      </c>
    </row>
    <row r="99" spans="1:27" s="64" customFormat="1" x14ac:dyDescent="0.25">
      <c r="A99" s="677" t="s">
        <v>1591</v>
      </c>
      <c r="B99" s="678"/>
      <c r="C99" s="678" t="s">
        <v>1398</v>
      </c>
      <c r="D99" s="678" t="s">
        <v>1390</v>
      </c>
      <c r="E99" s="678"/>
      <c r="F99" s="678" t="s">
        <v>51</v>
      </c>
      <c r="G99" s="679" t="s">
        <v>47</v>
      </c>
      <c r="H99" s="678" t="s">
        <v>1366</v>
      </c>
      <c r="I99" s="680">
        <v>2120</v>
      </c>
      <c r="J99" s="680">
        <v>2650</v>
      </c>
      <c r="K99" s="680">
        <v>2650</v>
      </c>
      <c r="L99" s="680">
        <v>3355</v>
      </c>
      <c r="M99" s="679"/>
      <c r="N99" s="679"/>
      <c r="O99" s="679"/>
      <c r="P99" s="679"/>
      <c r="Q99" s="679"/>
      <c r="R99" s="679"/>
      <c r="S99" s="679"/>
      <c r="T99" s="679"/>
      <c r="U99" s="679"/>
      <c r="V99" s="679"/>
      <c r="W99" s="679"/>
      <c r="X99" s="681"/>
      <c r="Y99" s="681"/>
      <c r="Z99" s="679" t="s">
        <v>1367</v>
      </c>
      <c r="AA99" s="682" t="s">
        <v>389</v>
      </c>
    </row>
    <row r="100" spans="1:27" s="64" customFormat="1" x14ac:dyDescent="0.25">
      <c r="A100" s="677" t="s">
        <v>1591</v>
      </c>
      <c r="B100" s="678"/>
      <c r="C100" s="678" t="s">
        <v>1398</v>
      </c>
      <c r="D100" s="678" t="s">
        <v>1391</v>
      </c>
      <c r="E100" s="678"/>
      <c r="F100" s="678" t="s">
        <v>51</v>
      </c>
      <c r="G100" s="679" t="s">
        <v>47</v>
      </c>
      <c r="H100" s="678" t="s">
        <v>1366</v>
      </c>
      <c r="I100" s="680">
        <v>2120</v>
      </c>
      <c r="J100" s="680">
        <v>2650</v>
      </c>
      <c r="K100" s="680">
        <v>2650</v>
      </c>
      <c r="L100" s="680">
        <v>3355</v>
      </c>
      <c r="M100" s="679"/>
      <c r="N100" s="679"/>
      <c r="O100" s="679"/>
      <c r="P100" s="679"/>
      <c r="Q100" s="679"/>
      <c r="R100" s="679"/>
      <c r="S100" s="679"/>
      <c r="T100" s="679"/>
      <c r="U100" s="679"/>
      <c r="V100" s="679"/>
      <c r="W100" s="679"/>
      <c r="X100" s="681"/>
      <c r="Y100" s="681"/>
      <c r="Z100" s="679" t="s">
        <v>1367</v>
      </c>
      <c r="AA100" s="682" t="s">
        <v>304</v>
      </c>
    </row>
    <row r="101" spans="1:27" s="64" customFormat="1" x14ac:dyDescent="0.25">
      <c r="A101" s="677" t="s">
        <v>1591</v>
      </c>
      <c r="B101" s="678"/>
      <c r="C101" s="678" t="s">
        <v>1398</v>
      </c>
      <c r="D101" s="678" t="s">
        <v>1608</v>
      </c>
      <c r="E101" s="678"/>
      <c r="F101" s="678" t="s">
        <v>51</v>
      </c>
      <c r="G101" s="679" t="s">
        <v>47</v>
      </c>
      <c r="H101" s="678" t="s">
        <v>1366</v>
      </c>
      <c r="I101" s="680">
        <v>2120</v>
      </c>
      <c r="J101" s="680">
        <v>2650</v>
      </c>
      <c r="K101" s="680">
        <v>2650</v>
      </c>
      <c r="L101" s="680">
        <v>3355</v>
      </c>
      <c r="M101" s="679"/>
      <c r="N101" s="679"/>
      <c r="O101" s="679"/>
      <c r="P101" s="679"/>
      <c r="Q101" s="679"/>
      <c r="R101" s="679"/>
      <c r="S101" s="679"/>
      <c r="T101" s="679"/>
      <c r="U101" s="679"/>
      <c r="V101" s="679"/>
      <c r="W101" s="679"/>
      <c r="X101" s="681"/>
      <c r="Y101" s="681"/>
      <c r="Z101" s="679" t="s">
        <v>1367</v>
      </c>
      <c r="AA101" s="682" t="s">
        <v>389</v>
      </c>
    </row>
    <row r="102" spans="1:27" s="64" customFormat="1" x14ac:dyDescent="0.25">
      <c r="A102" s="677" t="s">
        <v>1591</v>
      </c>
      <c r="B102" s="678"/>
      <c r="C102" s="678" t="s">
        <v>1398</v>
      </c>
      <c r="D102" s="678" t="s">
        <v>1609</v>
      </c>
      <c r="E102" s="678"/>
      <c r="F102" s="678" t="s">
        <v>51</v>
      </c>
      <c r="G102" s="679" t="s">
        <v>47</v>
      </c>
      <c r="H102" s="678" t="s">
        <v>1366</v>
      </c>
      <c r="I102" s="680">
        <v>2120</v>
      </c>
      <c r="J102" s="680">
        <v>2650</v>
      </c>
      <c r="K102" s="680">
        <v>2650</v>
      </c>
      <c r="L102" s="680">
        <v>3355</v>
      </c>
      <c r="M102" s="679"/>
      <c r="N102" s="679"/>
      <c r="O102" s="679"/>
      <c r="P102" s="679"/>
      <c r="Q102" s="679"/>
      <c r="R102" s="679"/>
      <c r="S102" s="679"/>
      <c r="T102" s="679"/>
      <c r="U102" s="679"/>
      <c r="V102" s="679"/>
      <c r="W102" s="679"/>
      <c r="X102" s="681"/>
      <c r="Y102" s="681"/>
      <c r="Z102" s="679" t="s">
        <v>1367</v>
      </c>
      <c r="AA102" s="682" t="s">
        <v>304</v>
      </c>
    </row>
    <row r="103" spans="1:27" s="64" customFormat="1" x14ac:dyDescent="0.25">
      <c r="A103" s="677" t="s">
        <v>1591</v>
      </c>
      <c r="B103" s="678"/>
      <c r="C103" s="678" t="s">
        <v>1398</v>
      </c>
      <c r="D103" s="678" t="s">
        <v>1608</v>
      </c>
      <c r="E103" s="678" t="s">
        <v>1387</v>
      </c>
      <c r="F103" s="678" t="s">
        <v>53</v>
      </c>
      <c r="G103" s="679" t="s">
        <v>47</v>
      </c>
      <c r="H103" s="678" t="s">
        <v>1366</v>
      </c>
      <c r="I103" s="680">
        <v>2720</v>
      </c>
      <c r="J103" s="680">
        <v>3400</v>
      </c>
      <c r="K103" s="680">
        <v>3400</v>
      </c>
      <c r="L103" s="680">
        <v>4305</v>
      </c>
      <c r="M103" s="679"/>
      <c r="N103" s="679"/>
      <c r="O103" s="679"/>
      <c r="P103" s="679"/>
      <c r="Q103" s="679"/>
      <c r="R103" s="679"/>
      <c r="S103" s="679"/>
      <c r="T103" s="679"/>
      <c r="U103" s="679"/>
      <c r="V103" s="679"/>
      <c r="W103" s="679"/>
      <c r="X103" s="681"/>
      <c r="Y103" s="681"/>
      <c r="Z103" s="679" t="s">
        <v>1367</v>
      </c>
      <c r="AA103" s="682" t="s">
        <v>304</v>
      </c>
    </row>
    <row r="104" spans="1:27" s="64" customFormat="1" x14ac:dyDescent="0.25">
      <c r="A104" s="677" t="s">
        <v>1591</v>
      </c>
      <c r="B104" s="678"/>
      <c r="C104" s="678" t="s">
        <v>1398</v>
      </c>
      <c r="D104" s="678" t="s">
        <v>1390</v>
      </c>
      <c r="E104" s="678" t="s">
        <v>1610</v>
      </c>
      <c r="F104" s="678" t="s">
        <v>53</v>
      </c>
      <c r="G104" s="679" t="s">
        <v>47</v>
      </c>
      <c r="H104" s="678" t="s">
        <v>1366</v>
      </c>
      <c r="I104" s="680">
        <v>3160</v>
      </c>
      <c r="J104" s="680">
        <v>3950</v>
      </c>
      <c r="K104" s="680">
        <v>3950</v>
      </c>
      <c r="L104" s="680">
        <v>5000</v>
      </c>
      <c r="M104" s="679"/>
      <c r="N104" s="679"/>
      <c r="O104" s="679"/>
      <c r="P104" s="679"/>
      <c r="Q104" s="679"/>
      <c r="R104" s="679"/>
      <c r="S104" s="679"/>
      <c r="T104" s="679"/>
      <c r="U104" s="679"/>
      <c r="V104" s="679"/>
      <c r="W104" s="679"/>
      <c r="X104" s="681"/>
      <c r="Y104" s="681"/>
      <c r="Z104" s="679" t="s">
        <v>1367</v>
      </c>
      <c r="AA104" s="682" t="s">
        <v>304</v>
      </c>
    </row>
    <row r="105" spans="1:27" s="64" customFormat="1" x14ac:dyDescent="0.25">
      <c r="A105" s="677" t="s">
        <v>1591</v>
      </c>
      <c r="B105" s="678"/>
      <c r="C105" s="678" t="s">
        <v>1398</v>
      </c>
      <c r="D105" s="678" t="s">
        <v>1608</v>
      </c>
      <c r="E105" s="678" t="s">
        <v>1389</v>
      </c>
      <c r="F105" s="678" t="s">
        <v>53</v>
      </c>
      <c r="G105" s="679" t="s">
        <v>47</v>
      </c>
      <c r="H105" s="678" t="s">
        <v>1366</v>
      </c>
      <c r="I105" s="680">
        <v>2720</v>
      </c>
      <c r="J105" s="680">
        <v>3400</v>
      </c>
      <c r="K105" s="680">
        <v>3400</v>
      </c>
      <c r="L105" s="680">
        <v>4305</v>
      </c>
      <c r="M105" s="679"/>
      <c r="N105" s="679"/>
      <c r="O105" s="679"/>
      <c r="P105" s="679"/>
      <c r="Q105" s="679"/>
      <c r="R105" s="679"/>
      <c r="S105" s="679"/>
      <c r="T105" s="679"/>
      <c r="U105" s="679"/>
      <c r="V105" s="679"/>
      <c r="W105" s="679"/>
      <c r="X105" s="681"/>
      <c r="Y105" s="681"/>
      <c r="Z105" s="679" t="s">
        <v>1367</v>
      </c>
      <c r="AA105" s="682" t="s">
        <v>304</v>
      </c>
    </row>
    <row r="106" spans="1:27" s="64" customFormat="1" x14ac:dyDescent="0.25">
      <c r="A106" s="677" t="s">
        <v>1591</v>
      </c>
      <c r="B106" s="678"/>
      <c r="C106" s="678" t="s">
        <v>1398</v>
      </c>
      <c r="D106" s="678" t="s">
        <v>1608</v>
      </c>
      <c r="E106" s="678" t="s">
        <v>1611</v>
      </c>
      <c r="F106" s="678" t="s">
        <v>53</v>
      </c>
      <c r="G106" s="679" t="s">
        <v>47</v>
      </c>
      <c r="H106" s="678" t="s">
        <v>1366</v>
      </c>
      <c r="I106" s="680">
        <v>2920</v>
      </c>
      <c r="J106" s="680">
        <v>3650</v>
      </c>
      <c r="K106" s="680">
        <v>3650</v>
      </c>
      <c r="L106" s="680">
        <v>4620</v>
      </c>
      <c r="M106" s="679"/>
      <c r="N106" s="679"/>
      <c r="O106" s="679"/>
      <c r="P106" s="679"/>
      <c r="Q106" s="679"/>
      <c r="R106" s="679"/>
      <c r="S106" s="679"/>
      <c r="T106" s="679"/>
      <c r="U106" s="679"/>
      <c r="V106" s="679"/>
      <c r="W106" s="679"/>
      <c r="X106" s="681"/>
      <c r="Y106" s="681"/>
      <c r="Z106" s="679" t="s">
        <v>1367</v>
      </c>
      <c r="AA106" s="682" t="s">
        <v>304</v>
      </c>
    </row>
    <row r="107" spans="1:27" s="64" customFormat="1" x14ac:dyDescent="0.25">
      <c r="A107" s="677" t="s">
        <v>1591</v>
      </c>
      <c r="B107" s="678"/>
      <c r="C107" s="678" t="s">
        <v>1398</v>
      </c>
      <c r="D107" s="678" t="s">
        <v>1390</v>
      </c>
      <c r="E107" s="678" t="s">
        <v>1369</v>
      </c>
      <c r="F107" s="678" t="s">
        <v>53</v>
      </c>
      <c r="G107" s="679" t="s">
        <v>47</v>
      </c>
      <c r="H107" s="678" t="s">
        <v>1366</v>
      </c>
      <c r="I107" s="680">
        <v>3160</v>
      </c>
      <c r="J107" s="680">
        <v>3950</v>
      </c>
      <c r="K107" s="680">
        <v>3950</v>
      </c>
      <c r="L107" s="680">
        <v>5000</v>
      </c>
      <c r="M107" s="679"/>
      <c r="N107" s="679"/>
      <c r="O107" s="679"/>
      <c r="P107" s="679"/>
      <c r="Q107" s="679"/>
      <c r="R107" s="679"/>
      <c r="S107" s="679"/>
      <c r="T107" s="679"/>
      <c r="U107" s="679"/>
      <c r="V107" s="679"/>
      <c r="W107" s="679"/>
      <c r="X107" s="681"/>
      <c r="Y107" s="681"/>
      <c r="Z107" s="679" t="s">
        <v>1367</v>
      </c>
      <c r="AA107" s="682" t="s">
        <v>304</v>
      </c>
    </row>
    <row r="108" spans="1:27" s="64" customFormat="1" x14ac:dyDescent="0.25">
      <c r="A108" s="677" t="s">
        <v>1591</v>
      </c>
      <c r="B108" s="678"/>
      <c r="C108" s="678" t="s">
        <v>1398</v>
      </c>
      <c r="D108" s="678" t="s">
        <v>1391</v>
      </c>
      <c r="E108" s="678" t="s">
        <v>1369</v>
      </c>
      <c r="F108" s="678" t="s">
        <v>53</v>
      </c>
      <c r="G108" s="679" t="s">
        <v>47</v>
      </c>
      <c r="H108" s="678" t="s">
        <v>1366</v>
      </c>
      <c r="I108" s="680">
        <v>3160</v>
      </c>
      <c r="J108" s="680">
        <v>3950</v>
      </c>
      <c r="K108" s="680">
        <v>3950</v>
      </c>
      <c r="L108" s="680">
        <v>5000</v>
      </c>
      <c r="M108" s="679"/>
      <c r="N108" s="679"/>
      <c r="O108" s="679"/>
      <c r="P108" s="679"/>
      <c r="Q108" s="679"/>
      <c r="R108" s="679"/>
      <c r="S108" s="679"/>
      <c r="T108" s="679"/>
      <c r="U108" s="679"/>
      <c r="V108" s="679"/>
      <c r="W108" s="679"/>
      <c r="X108" s="681"/>
      <c r="Y108" s="681"/>
      <c r="Z108" s="679" t="s">
        <v>1367</v>
      </c>
      <c r="AA108" s="682" t="s">
        <v>304</v>
      </c>
    </row>
    <row r="109" spans="1:27" s="64" customFormat="1" x14ac:dyDescent="0.25">
      <c r="A109" s="677" t="s">
        <v>1591</v>
      </c>
      <c r="B109" s="678"/>
      <c r="C109" s="678" t="s">
        <v>1398</v>
      </c>
      <c r="D109" s="678" t="s">
        <v>1390</v>
      </c>
      <c r="E109" s="678" t="s">
        <v>1370</v>
      </c>
      <c r="F109" s="678" t="s">
        <v>53</v>
      </c>
      <c r="G109" s="679" t="s">
        <v>47</v>
      </c>
      <c r="H109" s="678" t="s">
        <v>1366</v>
      </c>
      <c r="I109" s="680">
        <v>3160</v>
      </c>
      <c r="J109" s="680">
        <v>3950</v>
      </c>
      <c r="K109" s="680">
        <v>3950</v>
      </c>
      <c r="L109" s="680">
        <v>5000</v>
      </c>
      <c r="M109" s="679"/>
      <c r="N109" s="679"/>
      <c r="O109" s="679"/>
      <c r="P109" s="679"/>
      <c r="Q109" s="679"/>
      <c r="R109" s="679"/>
      <c r="S109" s="679"/>
      <c r="T109" s="679"/>
      <c r="U109" s="679"/>
      <c r="V109" s="679"/>
      <c r="W109" s="679"/>
      <c r="X109" s="681"/>
      <c r="Y109" s="681"/>
      <c r="Z109" s="679" t="s">
        <v>1367</v>
      </c>
      <c r="AA109" s="682" t="s">
        <v>304</v>
      </c>
    </row>
    <row r="110" spans="1:27" s="64" customFormat="1" x14ac:dyDescent="0.25">
      <c r="A110" s="677" t="s">
        <v>1591</v>
      </c>
      <c r="B110" s="678"/>
      <c r="C110" s="678" t="s">
        <v>1398</v>
      </c>
      <c r="D110" s="678" t="s">
        <v>1391</v>
      </c>
      <c r="E110" s="678" t="s">
        <v>1370</v>
      </c>
      <c r="F110" s="678" t="s">
        <v>53</v>
      </c>
      <c r="G110" s="679" t="s">
        <v>47</v>
      </c>
      <c r="H110" s="678" t="s">
        <v>1366</v>
      </c>
      <c r="I110" s="680">
        <v>3160</v>
      </c>
      <c r="J110" s="680">
        <v>3950</v>
      </c>
      <c r="K110" s="680">
        <v>3950</v>
      </c>
      <c r="L110" s="680">
        <v>5000</v>
      </c>
      <c r="M110" s="679"/>
      <c r="N110" s="679"/>
      <c r="O110" s="679"/>
      <c r="P110" s="679"/>
      <c r="Q110" s="679"/>
      <c r="R110" s="679"/>
      <c r="S110" s="679"/>
      <c r="T110" s="679"/>
      <c r="U110" s="679"/>
      <c r="V110" s="679"/>
      <c r="W110" s="679"/>
      <c r="X110" s="681"/>
      <c r="Y110" s="681"/>
      <c r="Z110" s="679" t="s">
        <v>1367</v>
      </c>
      <c r="AA110" s="682" t="s">
        <v>304</v>
      </c>
    </row>
    <row r="111" spans="1:27" s="64" customFormat="1" x14ac:dyDescent="0.25">
      <c r="A111" s="677" t="s">
        <v>1591</v>
      </c>
      <c r="B111" s="678"/>
      <c r="C111" s="678" t="s">
        <v>1398</v>
      </c>
      <c r="D111" s="678" t="s">
        <v>1390</v>
      </c>
      <c r="E111" s="678" t="s">
        <v>1371</v>
      </c>
      <c r="F111" s="678" t="s">
        <v>53</v>
      </c>
      <c r="G111" s="679" t="s">
        <v>47</v>
      </c>
      <c r="H111" s="678" t="s">
        <v>1366</v>
      </c>
      <c r="I111" s="680">
        <v>3040</v>
      </c>
      <c r="J111" s="680">
        <v>3800</v>
      </c>
      <c r="K111" s="680">
        <v>3800</v>
      </c>
      <c r="L111" s="680">
        <v>4810</v>
      </c>
      <c r="M111" s="679"/>
      <c r="N111" s="679"/>
      <c r="O111" s="679"/>
      <c r="P111" s="679"/>
      <c r="Q111" s="679"/>
      <c r="R111" s="679"/>
      <c r="S111" s="679"/>
      <c r="T111" s="679"/>
      <c r="U111" s="679"/>
      <c r="V111" s="679"/>
      <c r="W111" s="679"/>
      <c r="X111" s="681"/>
      <c r="Y111" s="681"/>
      <c r="Z111" s="679" t="s">
        <v>1367</v>
      </c>
      <c r="AA111" s="682" t="s">
        <v>304</v>
      </c>
    </row>
    <row r="112" spans="1:27" s="64" customFormat="1" x14ac:dyDescent="0.25">
      <c r="A112" s="677" t="s">
        <v>1591</v>
      </c>
      <c r="B112" s="678"/>
      <c r="C112" s="678" t="s">
        <v>1398</v>
      </c>
      <c r="D112" s="678" t="s">
        <v>1391</v>
      </c>
      <c r="E112" s="678" t="s">
        <v>1371</v>
      </c>
      <c r="F112" s="678" t="s">
        <v>53</v>
      </c>
      <c r="G112" s="679" t="s">
        <v>47</v>
      </c>
      <c r="H112" s="678" t="s">
        <v>1366</v>
      </c>
      <c r="I112" s="680">
        <v>3040</v>
      </c>
      <c r="J112" s="680">
        <v>3800</v>
      </c>
      <c r="K112" s="680">
        <v>3800</v>
      </c>
      <c r="L112" s="680">
        <v>4810</v>
      </c>
      <c r="M112" s="679"/>
      <c r="N112" s="679"/>
      <c r="O112" s="679"/>
      <c r="P112" s="679"/>
      <c r="Q112" s="679"/>
      <c r="R112" s="679"/>
      <c r="S112" s="679"/>
      <c r="T112" s="679"/>
      <c r="U112" s="679"/>
      <c r="V112" s="679"/>
      <c r="W112" s="679"/>
      <c r="X112" s="681"/>
      <c r="Y112" s="681"/>
      <c r="Z112" s="679" t="s">
        <v>1367</v>
      </c>
      <c r="AA112" s="682" t="s">
        <v>304</v>
      </c>
    </row>
    <row r="113" spans="1:27" s="64" customFormat="1" x14ac:dyDescent="0.25">
      <c r="A113" s="677" t="s">
        <v>1591</v>
      </c>
      <c r="B113" s="678"/>
      <c r="C113" s="678" t="s">
        <v>1398</v>
      </c>
      <c r="D113" s="678" t="s">
        <v>1390</v>
      </c>
      <c r="E113" s="678" t="s">
        <v>1372</v>
      </c>
      <c r="F113" s="678" t="s">
        <v>53</v>
      </c>
      <c r="G113" s="679" t="s">
        <v>47</v>
      </c>
      <c r="H113" s="678" t="s">
        <v>1366</v>
      </c>
      <c r="I113" s="680">
        <v>3200</v>
      </c>
      <c r="J113" s="680">
        <v>4000</v>
      </c>
      <c r="K113" s="680">
        <v>4000</v>
      </c>
      <c r="L113" s="680">
        <v>5065</v>
      </c>
      <c r="M113" s="679"/>
      <c r="N113" s="679"/>
      <c r="O113" s="679"/>
      <c r="P113" s="679"/>
      <c r="Q113" s="679"/>
      <c r="R113" s="679"/>
      <c r="S113" s="679"/>
      <c r="T113" s="679"/>
      <c r="U113" s="679"/>
      <c r="V113" s="679"/>
      <c r="W113" s="679"/>
      <c r="X113" s="681"/>
      <c r="Y113" s="681"/>
      <c r="Z113" s="679" t="s">
        <v>1367</v>
      </c>
      <c r="AA113" s="682" t="s">
        <v>304</v>
      </c>
    </row>
    <row r="114" spans="1:27" s="64" customFormat="1" x14ac:dyDescent="0.25">
      <c r="A114" s="677" t="s">
        <v>1591</v>
      </c>
      <c r="B114" s="678"/>
      <c r="C114" s="678" t="s">
        <v>1398</v>
      </c>
      <c r="D114" s="678" t="s">
        <v>1391</v>
      </c>
      <c r="E114" s="678" t="s">
        <v>1372</v>
      </c>
      <c r="F114" s="678" t="s">
        <v>53</v>
      </c>
      <c r="G114" s="679" t="s">
        <v>47</v>
      </c>
      <c r="H114" s="678" t="s">
        <v>1366</v>
      </c>
      <c r="I114" s="680">
        <v>3200</v>
      </c>
      <c r="J114" s="680">
        <v>4000</v>
      </c>
      <c r="K114" s="680">
        <v>4000</v>
      </c>
      <c r="L114" s="680">
        <v>5065</v>
      </c>
      <c r="M114" s="679"/>
      <c r="N114" s="679"/>
      <c r="O114" s="679"/>
      <c r="P114" s="679"/>
      <c r="Q114" s="679"/>
      <c r="R114" s="679"/>
      <c r="S114" s="679"/>
      <c r="T114" s="679"/>
      <c r="U114" s="679"/>
      <c r="V114" s="679"/>
      <c r="W114" s="679"/>
      <c r="X114" s="681"/>
      <c r="Y114" s="681"/>
      <c r="Z114" s="679" t="s">
        <v>1367</v>
      </c>
      <c r="AA114" s="682" t="s">
        <v>304</v>
      </c>
    </row>
    <row r="115" spans="1:27" s="64" customFormat="1" x14ac:dyDescent="0.25">
      <c r="A115" s="677" t="s">
        <v>1591</v>
      </c>
      <c r="B115" s="678"/>
      <c r="C115" s="678" t="s">
        <v>1398</v>
      </c>
      <c r="D115" s="678" t="s">
        <v>1391</v>
      </c>
      <c r="E115" s="678" t="s">
        <v>1375</v>
      </c>
      <c r="F115" s="678" t="s">
        <v>53</v>
      </c>
      <c r="G115" s="679" t="s">
        <v>47</v>
      </c>
      <c r="H115" s="678" t="s">
        <v>1366</v>
      </c>
      <c r="I115" s="680">
        <v>3120</v>
      </c>
      <c r="J115" s="680">
        <v>3900</v>
      </c>
      <c r="K115" s="680">
        <v>3900</v>
      </c>
      <c r="L115" s="680">
        <v>4935</v>
      </c>
      <c r="M115" s="679"/>
      <c r="N115" s="679"/>
      <c r="O115" s="679"/>
      <c r="P115" s="679"/>
      <c r="Q115" s="679"/>
      <c r="R115" s="679"/>
      <c r="S115" s="679"/>
      <c r="T115" s="679"/>
      <c r="U115" s="679"/>
      <c r="V115" s="679"/>
      <c r="W115" s="679"/>
      <c r="X115" s="681"/>
      <c r="Y115" s="681"/>
      <c r="Z115" s="679" t="s">
        <v>1367</v>
      </c>
      <c r="AA115" s="682" t="s">
        <v>304</v>
      </c>
    </row>
    <row r="116" spans="1:27" s="64" customFormat="1" x14ac:dyDescent="0.25">
      <c r="A116" s="677" t="s">
        <v>1591</v>
      </c>
      <c r="B116" s="678"/>
      <c r="C116" s="678" t="s">
        <v>1398</v>
      </c>
      <c r="D116" s="678" t="s">
        <v>1609</v>
      </c>
      <c r="E116" s="678" t="s">
        <v>1612</v>
      </c>
      <c r="F116" s="678" t="s">
        <v>53</v>
      </c>
      <c r="G116" s="679" t="s">
        <v>47</v>
      </c>
      <c r="H116" s="678" t="s">
        <v>1366</v>
      </c>
      <c r="I116" s="680">
        <v>2760</v>
      </c>
      <c r="J116" s="680">
        <v>3450</v>
      </c>
      <c r="K116" s="680">
        <v>3450</v>
      </c>
      <c r="L116" s="680">
        <v>4370</v>
      </c>
      <c r="M116" s="679"/>
      <c r="N116" s="679"/>
      <c r="O116" s="679"/>
      <c r="P116" s="679"/>
      <c r="Q116" s="679"/>
      <c r="R116" s="679"/>
      <c r="S116" s="679"/>
      <c r="T116" s="679"/>
      <c r="U116" s="679"/>
      <c r="V116" s="679"/>
      <c r="W116" s="679"/>
      <c r="X116" s="681"/>
      <c r="Y116" s="681"/>
      <c r="Z116" s="679" t="s">
        <v>1367</v>
      </c>
      <c r="AA116" s="682" t="s">
        <v>304</v>
      </c>
    </row>
    <row r="117" spans="1:27" s="64" customFormat="1" x14ac:dyDescent="0.25">
      <c r="A117" s="677" t="s">
        <v>1591</v>
      </c>
      <c r="B117" s="678"/>
      <c r="C117" s="678" t="s">
        <v>1398</v>
      </c>
      <c r="D117" s="678" t="s">
        <v>1609</v>
      </c>
      <c r="E117" s="678" t="s">
        <v>1613</v>
      </c>
      <c r="F117" s="678" t="s">
        <v>53</v>
      </c>
      <c r="G117" s="679" t="s">
        <v>47</v>
      </c>
      <c r="H117" s="678" t="s">
        <v>1366</v>
      </c>
      <c r="I117" s="680">
        <v>3040</v>
      </c>
      <c r="J117" s="680">
        <v>3800</v>
      </c>
      <c r="K117" s="680">
        <v>3800</v>
      </c>
      <c r="L117" s="680">
        <v>4810</v>
      </c>
      <c r="M117" s="679"/>
      <c r="N117" s="679"/>
      <c r="O117" s="679"/>
      <c r="P117" s="679"/>
      <c r="Q117" s="679"/>
      <c r="R117" s="679"/>
      <c r="S117" s="679"/>
      <c r="T117" s="679"/>
      <c r="U117" s="679"/>
      <c r="V117" s="679"/>
      <c r="W117" s="679"/>
      <c r="X117" s="681"/>
      <c r="Y117" s="681"/>
      <c r="Z117" s="679" t="s">
        <v>1367</v>
      </c>
      <c r="AA117" s="682" t="s">
        <v>304</v>
      </c>
    </row>
    <row r="118" spans="1:27" s="64" customFormat="1" x14ac:dyDescent="0.25">
      <c r="A118" s="677" t="s">
        <v>1591</v>
      </c>
      <c r="B118" s="678"/>
      <c r="C118" s="678" t="s">
        <v>1398</v>
      </c>
      <c r="D118" s="678" t="s">
        <v>1608</v>
      </c>
      <c r="E118" s="678" t="s">
        <v>1656</v>
      </c>
      <c r="F118" s="678" t="s">
        <v>53</v>
      </c>
      <c r="G118" s="679" t="s">
        <v>47</v>
      </c>
      <c r="H118" s="678" t="s">
        <v>1366</v>
      </c>
      <c r="I118" s="680">
        <v>2920</v>
      </c>
      <c r="J118" s="680">
        <v>3650</v>
      </c>
      <c r="K118" s="680">
        <v>3650</v>
      </c>
      <c r="L118" s="680">
        <v>4620</v>
      </c>
      <c r="M118" s="679"/>
      <c r="N118" s="679"/>
      <c r="O118" s="679"/>
      <c r="P118" s="679"/>
      <c r="Q118" s="679"/>
      <c r="R118" s="679"/>
      <c r="S118" s="679"/>
      <c r="T118" s="679"/>
      <c r="U118" s="679"/>
      <c r="V118" s="679"/>
      <c r="W118" s="679"/>
      <c r="X118" s="681"/>
      <c r="Y118" s="681"/>
      <c r="Z118" s="679" t="s">
        <v>1367</v>
      </c>
      <c r="AA118" s="682" t="s">
        <v>304</v>
      </c>
    </row>
    <row r="119" spans="1:27" s="64" customFormat="1" x14ac:dyDescent="0.25">
      <c r="A119" s="677" t="s">
        <v>1591</v>
      </c>
      <c r="B119" s="678"/>
      <c r="C119" s="678" t="s">
        <v>1398</v>
      </c>
      <c r="D119" s="678" t="s">
        <v>1391</v>
      </c>
      <c r="E119" s="678" t="s">
        <v>1379</v>
      </c>
      <c r="F119" s="678" t="s">
        <v>53</v>
      </c>
      <c r="G119" s="679" t="s">
        <v>47</v>
      </c>
      <c r="H119" s="678" t="s">
        <v>1366</v>
      </c>
      <c r="I119" s="680">
        <v>3160</v>
      </c>
      <c r="J119" s="680">
        <v>3950</v>
      </c>
      <c r="K119" s="680">
        <v>3950</v>
      </c>
      <c r="L119" s="680">
        <v>5000</v>
      </c>
      <c r="M119" s="679"/>
      <c r="N119" s="679"/>
      <c r="O119" s="679"/>
      <c r="P119" s="679"/>
      <c r="Q119" s="679"/>
      <c r="R119" s="679"/>
      <c r="S119" s="679"/>
      <c r="T119" s="679"/>
      <c r="U119" s="679"/>
      <c r="V119" s="679"/>
      <c r="W119" s="679"/>
      <c r="X119" s="681"/>
      <c r="Y119" s="681"/>
      <c r="Z119" s="679" t="s">
        <v>1367</v>
      </c>
      <c r="AA119" s="682" t="s">
        <v>304</v>
      </c>
    </row>
    <row r="120" spans="1:27" s="64" customFormat="1" x14ac:dyDescent="0.25">
      <c r="A120" s="677" t="s">
        <v>1591</v>
      </c>
      <c r="B120" s="678"/>
      <c r="C120" s="678" t="s">
        <v>1398</v>
      </c>
      <c r="D120" s="678" t="s">
        <v>1391</v>
      </c>
      <c r="E120" s="678" t="s">
        <v>1380</v>
      </c>
      <c r="F120" s="678" t="s">
        <v>53</v>
      </c>
      <c r="G120" s="679" t="s">
        <v>47</v>
      </c>
      <c r="H120" s="678" t="s">
        <v>1366</v>
      </c>
      <c r="I120" s="680">
        <v>3160</v>
      </c>
      <c r="J120" s="680">
        <v>3950</v>
      </c>
      <c r="K120" s="680">
        <v>3950</v>
      </c>
      <c r="L120" s="680">
        <v>5000</v>
      </c>
      <c r="M120" s="679"/>
      <c r="N120" s="679"/>
      <c r="O120" s="679"/>
      <c r="P120" s="679"/>
      <c r="Q120" s="679"/>
      <c r="R120" s="679"/>
      <c r="S120" s="679"/>
      <c r="T120" s="679"/>
      <c r="U120" s="679"/>
      <c r="V120" s="679"/>
      <c r="W120" s="679"/>
      <c r="X120" s="681"/>
      <c r="Y120" s="681"/>
      <c r="Z120" s="679" t="s">
        <v>1367</v>
      </c>
      <c r="AA120" s="682" t="s">
        <v>304</v>
      </c>
    </row>
    <row r="121" spans="1:27" s="64" customFormat="1" x14ac:dyDescent="0.25">
      <c r="A121" s="677" t="s">
        <v>1591</v>
      </c>
      <c r="B121" s="678"/>
      <c r="C121" s="678" t="s">
        <v>1398</v>
      </c>
      <c r="D121" s="678" t="s">
        <v>1608</v>
      </c>
      <c r="E121" s="678" t="s">
        <v>1382</v>
      </c>
      <c r="F121" s="678" t="s">
        <v>53</v>
      </c>
      <c r="G121" s="679" t="s">
        <v>47</v>
      </c>
      <c r="H121" s="678" t="s">
        <v>1366</v>
      </c>
      <c r="I121" s="680">
        <v>2960</v>
      </c>
      <c r="J121" s="680">
        <v>3700</v>
      </c>
      <c r="K121" s="680">
        <v>3700</v>
      </c>
      <c r="L121" s="680">
        <v>4685</v>
      </c>
      <c r="M121" s="679"/>
      <c r="N121" s="679"/>
      <c r="O121" s="679"/>
      <c r="P121" s="679"/>
      <c r="Q121" s="679"/>
      <c r="R121" s="679"/>
      <c r="S121" s="679"/>
      <c r="T121" s="679"/>
      <c r="U121" s="679"/>
      <c r="V121" s="679"/>
      <c r="W121" s="679"/>
      <c r="X121" s="681"/>
      <c r="Y121" s="681"/>
      <c r="Z121" s="679" t="s">
        <v>1367</v>
      </c>
      <c r="AA121" s="682" t="s">
        <v>304</v>
      </c>
    </row>
    <row r="122" spans="1:27" s="64" customFormat="1" x14ac:dyDescent="0.25">
      <c r="A122" s="677" t="s">
        <v>1591</v>
      </c>
      <c r="B122" s="678"/>
      <c r="C122" s="678" t="s">
        <v>1398</v>
      </c>
      <c r="D122" s="678" t="s">
        <v>1608</v>
      </c>
      <c r="E122" s="678" t="s">
        <v>1381</v>
      </c>
      <c r="F122" s="678" t="s">
        <v>53</v>
      </c>
      <c r="G122" s="679" t="s">
        <v>47</v>
      </c>
      <c r="H122" s="678" t="s">
        <v>1366</v>
      </c>
      <c r="I122" s="680">
        <v>3080</v>
      </c>
      <c r="J122" s="680">
        <v>3850</v>
      </c>
      <c r="K122" s="680">
        <v>3850</v>
      </c>
      <c r="L122" s="680">
        <v>4875</v>
      </c>
      <c r="M122" s="679"/>
      <c r="N122" s="679"/>
      <c r="O122" s="679"/>
      <c r="P122" s="679"/>
      <c r="Q122" s="679"/>
      <c r="R122" s="679"/>
      <c r="S122" s="679"/>
      <c r="T122" s="679"/>
      <c r="U122" s="679"/>
      <c r="V122" s="679"/>
      <c r="W122" s="679"/>
      <c r="X122" s="681"/>
      <c r="Y122" s="681"/>
      <c r="Z122" s="679" t="s">
        <v>1367</v>
      </c>
      <c r="AA122" s="682" t="s">
        <v>304</v>
      </c>
    </row>
    <row r="123" spans="1:27" s="64" customFormat="1" x14ac:dyDescent="0.25">
      <c r="A123" s="677" t="s">
        <v>1591</v>
      </c>
      <c r="B123" s="678"/>
      <c r="C123" s="678" t="s">
        <v>1398</v>
      </c>
      <c r="D123" s="678" t="s">
        <v>1391</v>
      </c>
      <c r="E123" s="678" t="s">
        <v>1614</v>
      </c>
      <c r="F123" s="678" t="s">
        <v>357</v>
      </c>
      <c r="G123" s="679" t="s">
        <v>47</v>
      </c>
      <c r="H123" s="678" t="s">
        <v>1366</v>
      </c>
      <c r="I123" s="680">
        <v>3080</v>
      </c>
      <c r="J123" s="680">
        <v>3850</v>
      </c>
      <c r="K123" s="680">
        <v>3850</v>
      </c>
      <c r="L123" s="680">
        <v>4875</v>
      </c>
      <c r="M123" s="679"/>
      <c r="N123" s="679"/>
      <c r="O123" s="679"/>
      <c r="P123" s="679"/>
      <c r="Q123" s="679"/>
      <c r="R123" s="679"/>
      <c r="S123" s="679"/>
      <c r="T123" s="679"/>
      <c r="U123" s="679"/>
      <c r="V123" s="679"/>
      <c r="W123" s="679"/>
      <c r="X123" s="681"/>
      <c r="Y123" s="681"/>
      <c r="Z123" s="679" t="s">
        <v>1367</v>
      </c>
      <c r="AA123" s="682" t="s">
        <v>304</v>
      </c>
    </row>
    <row r="124" spans="1:27" s="64" customFormat="1" x14ac:dyDescent="0.25">
      <c r="A124" s="677" t="s">
        <v>1591</v>
      </c>
      <c r="B124" s="678"/>
      <c r="C124" s="678" t="s">
        <v>1398</v>
      </c>
      <c r="D124" s="678" t="s">
        <v>1391</v>
      </c>
      <c r="E124" s="678" t="s">
        <v>1386</v>
      </c>
      <c r="F124" s="678" t="s">
        <v>53</v>
      </c>
      <c r="G124" s="679" t="s">
        <v>47</v>
      </c>
      <c r="H124" s="678" t="s">
        <v>1366</v>
      </c>
      <c r="I124" s="680">
        <v>3080</v>
      </c>
      <c r="J124" s="680">
        <v>3850</v>
      </c>
      <c r="K124" s="680">
        <v>3850</v>
      </c>
      <c r="L124" s="680">
        <v>4875</v>
      </c>
      <c r="M124" s="679"/>
      <c r="N124" s="679"/>
      <c r="O124" s="679"/>
      <c r="P124" s="679"/>
      <c r="Q124" s="679"/>
      <c r="R124" s="679"/>
      <c r="S124" s="679"/>
      <c r="T124" s="679"/>
      <c r="U124" s="679"/>
      <c r="V124" s="679"/>
      <c r="W124" s="679"/>
      <c r="X124" s="681"/>
      <c r="Y124" s="681"/>
      <c r="Z124" s="679" t="s">
        <v>1367</v>
      </c>
      <c r="AA124" s="682" t="s">
        <v>304</v>
      </c>
    </row>
    <row r="125" spans="1:27" s="64" customFormat="1" x14ac:dyDescent="0.25">
      <c r="A125" s="677" t="s">
        <v>1591</v>
      </c>
      <c r="B125" s="678"/>
      <c r="C125" s="678" t="s">
        <v>1392</v>
      </c>
      <c r="D125" s="678" t="s">
        <v>1390</v>
      </c>
      <c r="E125" s="678"/>
      <c r="F125" s="678" t="s">
        <v>51</v>
      </c>
      <c r="G125" s="679" t="s">
        <v>47</v>
      </c>
      <c r="H125" s="678" t="s">
        <v>1366</v>
      </c>
      <c r="I125" s="680">
        <v>2120</v>
      </c>
      <c r="J125" s="680">
        <v>2650</v>
      </c>
      <c r="K125" s="680">
        <v>2650</v>
      </c>
      <c r="L125" s="680">
        <v>3355</v>
      </c>
      <c r="M125" s="679"/>
      <c r="N125" s="679"/>
      <c r="O125" s="679"/>
      <c r="P125" s="679"/>
      <c r="Q125" s="679"/>
      <c r="R125" s="679"/>
      <c r="S125" s="679"/>
      <c r="T125" s="679"/>
      <c r="U125" s="679"/>
      <c r="V125" s="679"/>
      <c r="W125" s="679"/>
      <c r="X125" s="681"/>
      <c r="Y125" s="681"/>
      <c r="Z125" s="679" t="s">
        <v>1367</v>
      </c>
      <c r="AA125" s="682" t="s">
        <v>389</v>
      </c>
    </row>
    <row r="126" spans="1:27" s="64" customFormat="1" x14ac:dyDescent="0.25">
      <c r="A126" s="677" t="s">
        <v>1591</v>
      </c>
      <c r="B126" s="678"/>
      <c r="C126" s="678" t="s">
        <v>1392</v>
      </c>
      <c r="D126" s="678" t="s">
        <v>1391</v>
      </c>
      <c r="E126" s="678"/>
      <c r="F126" s="678" t="s">
        <v>51</v>
      </c>
      <c r="G126" s="679" t="s">
        <v>47</v>
      </c>
      <c r="H126" s="678" t="s">
        <v>1366</v>
      </c>
      <c r="I126" s="680">
        <v>2120</v>
      </c>
      <c r="J126" s="680">
        <v>2650</v>
      </c>
      <c r="K126" s="680">
        <v>2650</v>
      </c>
      <c r="L126" s="680">
        <v>3355</v>
      </c>
      <c r="M126" s="679"/>
      <c r="N126" s="679"/>
      <c r="O126" s="679"/>
      <c r="P126" s="679"/>
      <c r="Q126" s="679"/>
      <c r="R126" s="679"/>
      <c r="S126" s="679"/>
      <c r="T126" s="679"/>
      <c r="U126" s="679"/>
      <c r="V126" s="679"/>
      <c r="W126" s="679"/>
      <c r="X126" s="681"/>
      <c r="Y126" s="681"/>
      <c r="Z126" s="679" t="s">
        <v>1367</v>
      </c>
      <c r="AA126" s="682" t="s">
        <v>304</v>
      </c>
    </row>
    <row r="127" spans="1:27" s="64" customFormat="1" x14ac:dyDescent="0.25">
      <c r="A127" s="677" t="s">
        <v>1591</v>
      </c>
      <c r="B127" s="678"/>
      <c r="C127" s="678" t="s">
        <v>1392</v>
      </c>
      <c r="D127" s="678" t="s">
        <v>1608</v>
      </c>
      <c r="E127" s="678"/>
      <c r="F127" s="678" t="s">
        <v>51</v>
      </c>
      <c r="G127" s="679" t="s">
        <v>47</v>
      </c>
      <c r="H127" s="678" t="s">
        <v>1366</v>
      </c>
      <c r="I127" s="680">
        <v>2120</v>
      </c>
      <c r="J127" s="680">
        <v>2650</v>
      </c>
      <c r="K127" s="680">
        <v>2650</v>
      </c>
      <c r="L127" s="680">
        <v>3355</v>
      </c>
      <c r="M127" s="679"/>
      <c r="N127" s="679"/>
      <c r="O127" s="679"/>
      <c r="P127" s="679"/>
      <c r="Q127" s="679"/>
      <c r="R127" s="679"/>
      <c r="S127" s="679"/>
      <c r="T127" s="679"/>
      <c r="U127" s="679"/>
      <c r="V127" s="679"/>
      <c r="W127" s="679"/>
      <c r="X127" s="681"/>
      <c r="Y127" s="681"/>
      <c r="Z127" s="679" t="s">
        <v>1367</v>
      </c>
      <c r="AA127" s="682" t="s">
        <v>389</v>
      </c>
    </row>
    <row r="128" spans="1:27" s="64" customFormat="1" x14ac:dyDescent="0.25">
      <c r="A128" s="677" t="s">
        <v>1591</v>
      </c>
      <c r="B128" s="678"/>
      <c r="C128" s="678" t="s">
        <v>1392</v>
      </c>
      <c r="D128" s="678" t="s">
        <v>1609</v>
      </c>
      <c r="E128" s="678"/>
      <c r="F128" s="678" t="s">
        <v>51</v>
      </c>
      <c r="G128" s="679" t="s">
        <v>47</v>
      </c>
      <c r="H128" s="678" t="s">
        <v>1366</v>
      </c>
      <c r="I128" s="680">
        <v>2120</v>
      </c>
      <c r="J128" s="680">
        <v>2650</v>
      </c>
      <c r="K128" s="680">
        <v>2650</v>
      </c>
      <c r="L128" s="680">
        <v>3355</v>
      </c>
      <c r="M128" s="679"/>
      <c r="N128" s="679"/>
      <c r="O128" s="679"/>
      <c r="P128" s="679"/>
      <c r="Q128" s="679"/>
      <c r="R128" s="679"/>
      <c r="S128" s="679"/>
      <c r="T128" s="679"/>
      <c r="U128" s="679"/>
      <c r="V128" s="679"/>
      <c r="W128" s="679"/>
      <c r="X128" s="681"/>
      <c r="Y128" s="681"/>
      <c r="Z128" s="679" t="s">
        <v>1367</v>
      </c>
      <c r="AA128" s="682" t="s">
        <v>304</v>
      </c>
    </row>
    <row r="129" spans="1:27" s="64" customFormat="1" x14ac:dyDescent="0.25">
      <c r="A129" s="677" t="s">
        <v>1591</v>
      </c>
      <c r="B129" s="678"/>
      <c r="C129" s="678" t="s">
        <v>1392</v>
      </c>
      <c r="D129" s="678" t="s">
        <v>1608</v>
      </c>
      <c r="E129" s="678" t="s">
        <v>1387</v>
      </c>
      <c r="F129" s="678" t="s">
        <v>53</v>
      </c>
      <c r="G129" s="679" t="s">
        <v>47</v>
      </c>
      <c r="H129" s="678" t="s">
        <v>1366</v>
      </c>
      <c r="I129" s="680">
        <v>2720</v>
      </c>
      <c r="J129" s="680">
        <v>3400</v>
      </c>
      <c r="K129" s="680">
        <v>3400</v>
      </c>
      <c r="L129" s="680">
        <v>4305</v>
      </c>
      <c r="M129" s="679"/>
      <c r="N129" s="679"/>
      <c r="O129" s="679"/>
      <c r="P129" s="679"/>
      <c r="Q129" s="679"/>
      <c r="R129" s="679"/>
      <c r="S129" s="679"/>
      <c r="T129" s="679"/>
      <c r="U129" s="679"/>
      <c r="V129" s="679"/>
      <c r="W129" s="679"/>
      <c r="X129" s="681"/>
      <c r="Y129" s="681"/>
      <c r="Z129" s="679" t="s">
        <v>1367</v>
      </c>
      <c r="AA129" s="682" t="s">
        <v>304</v>
      </c>
    </row>
    <row r="130" spans="1:27" s="64" customFormat="1" x14ac:dyDescent="0.25">
      <c r="A130" s="677" t="s">
        <v>1591</v>
      </c>
      <c r="B130" s="678"/>
      <c r="C130" s="678" t="s">
        <v>1392</v>
      </c>
      <c r="D130" s="678" t="s">
        <v>1390</v>
      </c>
      <c r="E130" s="678" t="s">
        <v>1610</v>
      </c>
      <c r="F130" s="678" t="s">
        <v>53</v>
      </c>
      <c r="G130" s="679" t="s">
        <v>47</v>
      </c>
      <c r="H130" s="678" t="s">
        <v>1366</v>
      </c>
      <c r="I130" s="680">
        <v>3160</v>
      </c>
      <c r="J130" s="680">
        <v>3950</v>
      </c>
      <c r="K130" s="680">
        <v>3950</v>
      </c>
      <c r="L130" s="680">
        <v>5000</v>
      </c>
      <c r="M130" s="679"/>
      <c r="N130" s="679"/>
      <c r="O130" s="679"/>
      <c r="P130" s="679"/>
      <c r="Q130" s="679"/>
      <c r="R130" s="679"/>
      <c r="S130" s="679"/>
      <c r="T130" s="679"/>
      <c r="U130" s="679"/>
      <c r="V130" s="679"/>
      <c r="W130" s="679"/>
      <c r="X130" s="681"/>
      <c r="Y130" s="681"/>
      <c r="Z130" s="679" t="s">
        <v>1367</v>
      </c>
      <c r="AA130" s="682" t="s">
        <v>304</v>
      </c>
    </row>
    <row r="131" spans="1:27" s="64" customFormat="1" x14ac:dyDescent="0.25">
      <c r="A131" s="677" t="s">
        <v>1591</v>
      </c>
      <c r="B131" s="678"/>
      <c r="C131" s="678" t="s">
        <v>1392</v>
      </c>
      <c r="D131" s="678" t="s">
        <v>1608</v>
      </c>
      <c r="E131" s="678" t="s">
        <v>1389</v>
      </c>
      <c r="F131" s="678" t="s">
        <v>53</v>
      </c>
      <c r="G131" s="679" t="s">
        <v>47</v>
      </c>
      <c r="H131" s="678" t="s">
        <v>1366</v>
      </c>
      <c r="I131" s="680">
        <v>2720</v>
      </c>
      <c r="J131" s="680">
        <v>3400</v>
      </c>
      <c r="K131" s="680">
        <v>3400</v>
      </c>
      <c r="L131" s="680">
        <v>4305</v>
      </c>
      <c r="M131" s="679"/>
      <c r="N131" s="679"/>
      <c r="O131" s="679"/>
      <c r="P131" s="679"/>
      <c r="Q131" s="679"/>
      <c r="R131" s="679"/>
      <c r="S131" s="679"/>
      <c r="T131" s="679"/>
      <c r="U131" s="679"/>
      <c r="V131" s="679"/>
      <c r="W131" s="679"/>
      <c r="X131" s="681"/>
      <c r="Y131" s="681"/>
      <c r="Z131" s="679" t="s">
        <v>1367</v>
      </c>
      <c r="AA131" s="682" t="s">
        <v>304</v>
      </c>
    </row>
    <row r="132" spans="1:27" s="64" customFormat="1" x14ac:dyDescent="0.25">
      <c r="A132" s="677" t="s">
        <v>1591</v>
      </c>
      <c r="B132" s="678"/>
      <c r="C132" s="678" t="s">
        <v>1392</v>
      </c>
      <c r="D132" s="678" t="s">
        <v>1608</v>
      </c>
      <c r="E132" s="678" t="s">
        <v>1611</v>
      </c>
      <c r="F132" s="678" t="s">
        <v>53</v>
      </c>
      <c r="G132" s="679" t="s">
        <v>47</v>
      </c>
      <c r="H132" s="678" t="s">
        <v>1366</v>
      </c>
      <c r="I132" s="680">
        <v>2920</v>
      </c>
      <c r="J132" s="680">
        <v>3650</v>
      </c>
      <c r="K132" s="680">
        <v>3650</v>
      </c>
      <c r="L132" s="680">
        <v>4620</v>
      </c>
      <c r="M132" s="679"/>
      <c r="N132" s="679"/>
      <c r="O132" s="679"/>
      <c r="P132" s="679"/>
      <c r="Q132" s="679"/>
      <c r="R132" s="679"/>
      <c r="S132" s="679"/>
      <c r="T132" s="679"/>
      <c r="U132" s="679"/>
      <c r="V132" s="679"/>
      <c r="W132" s="679"/>
      <c r="X132" s="681"/>
      <c r="Y132" s="681"/>
      <c r="Z132" s="679" t="s">
        <v>1367</v>
      </c>
      <c r="AA132" s="682" t="s">
        <v>304</v>
      </c>
    </row>
    <row r="133" spans="1:27" s="64" customFormat="1" x14ac:dyDescent="0.25">
      <c r="A133" s="677" t="s">
        <v>1591</v>
      </c>
      <c r="B133" s="678"/>
      <c r="C133" s="678" t="s">
        <v>1392</v>
      </c>
      <c r="D133" s="678" t="s">
        <v>1390</v>
      </c>
      <c r="E133" s="678" t="s">
        <v>1369</v>
      </c>
      <c r="F133" s="678" t="s">
        <v>53</v>
      </c>
      <c r="G133" s="679" t="s">
        <v>47</v>
      </c>
      <c r="H133" s="678" t="s">
        <v>1366</v>
      </c>
      <c r="I133" s="680">
        <v>3160</v>
      </c>
      <c r="J133" s="680">
        <v>3950</v>
      </c>
      <c r="K133" s="680">
        <v>3950</v>
      </c>
      <c r="L133" s="680">
        <v>5000</v>
      </c>
      <c r="M133" s="679"/>
      <c r="N133" s="679"/>
      <c r="O133" s="679"/>
      <c r="P133" s="679"/>
      <c r="Q133" s="679"/>
      <c r="R133" s="679"/>
      <c r="S133" s="679"/>
      <c r="T133" s="679"/>
      <c r="U133" s="679"/>
      <c r="V133" s="679"/>
      <c r="W133" s="679"/>
      <c r="X133" s="681"/>
      <c r="Y133" s="681"/>
      <c r="Z133" s="679" t="s">
        <v>1367</v>
      </c>
      <c r="AA133" s="682" t="s">
        <v>304</v>
      </c>
    </row>
    <row r="134" spans="1:27" s="64" customFormat="1" x14ac:dyDescent="0.25">
      <c r="A134" s="677" t="s">
        <v>1591</v>
      </c>
      <c r="B134" s="678"/>
      <c r="C134" s="678" t="s">
        <v>1392</v>
      </c>
      <c r="D134" s="678" t="s">
        <v>1391</v>
      </c>
      <c r="E134" s="678" t="s">
        <v>1369</v>
      </c>
      <c r="F134" s="678" t="s">
        <v>53</v>
      </c>
      <c r="G134" s="679" t="s">
        <v>47</v>
      </c>
      <c r="H134" s="678" t="s">
        <v>1366</v>
      </c>
      <c r="I134" s="680">
        <v>3160</v>
      </c>
      <c r="J134" s="680">
        <v>3950</v>
      </c>
      <c r="K134" s="680">
        <v>3950</v>
      </c>
      <c r="L134" s="680">
        <v>5000</v>
      </c>
      <c r="M134" s="679"/>
      <c r="N134" s="679"/>
      <c r="O134" s="679"/>
      <c r="P134" s="679"/>
      <c r="Q134" s="679"/>
      <c r="R134" s="679"/>
      <c r="S134" s="679"/>
      <c r="T134" s="679"/>
      <c r="U134" s="679"/>
      <c r="V134" s="679"/>
      <c r="W134" s="679"/>
      <c r="X134" s="681"/>
      <c r="Y134" s="681"/>
      <c r="Z134" s="679" t="s">
        <v>1367</v>
      </c>
      <c r="AA134" s="682" t="s">
        <v>304</v>
      </c>
    </row>
    <row r="135" spans="1:27" s="64" customFormat="1" x14ac:dyDescent="0.25">
      <c r="A135" s="677" t="s">
        <v>1591</v>
      </c>
      <c r="B135" s="678"/>
      <c r="C135" s="678" t="s">
        <v>1392</v>
      </c>
      <c r="D135" s="678" t="s">
        <v>1390</v>
      </c>
      <c r="E135" s="678" t="s">
        <v>1370</v>
      </c>
      <c r="F135" s="678" t="s">
        <v>53</v>
      </c>
      <c r="G135" s="679" t="s">
        <v>47</v>
      </c>
      <c r="H135" s="678" t="s">
        <v>1366</v>
      </c>
      <c r="I135" s="680">
        <v>3160</v>
      </c>
      <c r="J135" s="680">
        <v>3950</v>
      </c>
      <c r="K135" s="680">
        <v>3950</v>
      </c>
      <c r="L135" s="680">
        <v>5000</v>
      </c>
      <c r="M135" s="679"/>
      <c r="N135" s="679"/>
      <c r="O135" s="679"/>
      <c r="P135" s="679"/>
      <c r="Q135" s="679"/>
      <c r="R135" s="679"/>
      <c r="S135" s="679"/>
      <c r="T135" s="679"/>
      <c r="U135" s="679"/>
      <c r="V135" s="679"/>
      <c r="W135" s="679"/>
      <c r="X135" s="681"/>
      <c r="Y135" s="681"/>
      <c r="Z135" s="679" t="s">
        <v>1367</v>
      </c>
      <c r="AA135" s="682" t="s">
        <v>304</v>
      </c>
    </row>
    <row r="136" spans="1:27" s="64" customFormat="1" x14ac:dyDescent="0.25">
      <c r="A136" s="677" t="s">
        <v>1591</v>
      </c>
      <c r="B136" s="678"/>
      <c r="C136" s="678" t="s">
        <v>1392</v>
      </c>
      <c r="D136" s="678" t="s">
        <v>1391</v>
      </c>
      <c r="E136" s="678" t="s">
        <v>1370</v>
      </c>
      <c r="F136" s="678" t="s">
        <v>53</v>
      </c>
      <c r="G136" s="679" t="s">
        <v>47</v>
      </c>
      <c r="H136" s="678" t="s">
        <v>1366</v>
      </c>
      <c r="I136" s="680">
        <v>3160</v>
      </c>
      <c r="J136" s="680">
        <v>3950</v>
      </c>
      <c r="K136" s="680">
        <v>3950</v>
      </c>
      <c r="L136" s="680">
        <v>5000</v>
      </c>
      <c r="M136" s="679"/>
      <c r="N136" s="679"/>
      <c r="O136" s="679"/>
      <c r="P136" s="679"/>
      <c r="Q136" s="679"/>
      <c r="R136" s="679"/>
      <c r="S136" s="679"/>
      <c r="T136" s="679"/>
      <c r="U136" s="679"/>
      <c r="V136" s="679"/>
      <c r="W136" s="679"/>
      <c r="X136" s="681"/>
      <c r="Y136" s="681"/>
      <c r="Z136" s="679" t="s">
        <v>1367</v>
      </c>
      <c r="AA136" s="682" t="s">
        <v>304</v>
      </c>
    </row>
    <row r="137" spans="1:27" s="64" customFormat="1" x14ac:dyDescent="0.25">
      <c r="A137" s="677" t="s">
        <v>1591</v>
      </c>
      <c r="B137" s="678"/>
      <c r="C137" s="678" t="s">
        <v>1392</v>
      </c>
      <c r="D137" s="678" t="s">
        <v>1390</v>
      </c>
      <c r="E137" s="678" t="s">
        <v>1371</v>
      </c>
      <c r="F137" s="678" t="s">
        <v>53</v>
      </c>
      <c r="G137" s="679" t="s">
        <v>47</v>
      </c>
      <c r="H137" s="678" t="s">
        <v>1366</v>
      </c>
      <c r="I137" s="680">
        <v>3040</v>
      </c>
      <c r="J137" s="680">
        <v>3800</v>
      </c>
      <c r="K137" s="680">
        <v>3800</v>
      </c>
      <c r="L137" s="680">
        <v>4810</v>
      </c>
      <c r="M137" s="679"/>
      <c r="N137" s="679"/>
      <c r="O137" s="679"/>
      <c r="P137" s="679"/>
      <c r="Q137" s="679"/>
      <c r="R137" s="679"/>
      <c r="S137" s="679"/>
      <c r="T137" s="679"/>
      <c r="U137" s="679"/>
      <c r="V137" s="679"/>
      <c r="W137" s="679"/>
      <c r="X137" s="681"/>
      <c r="Y137" s="681"/>
      <c r="Z137" s="679" t="s">
        <v>1367</v>
      </c>
      <c r="AA137" s="682" t="s">
        <v>304</v>
      </c>
    </row>
    <row r="138" spans="1:27" s="64" customFormat="1" x14ac:dyDescent="0.25">
      <c r="A138" s="677" t="s">
        <v>1591</v>
      </c>
      <c r="B138" s="678"/>
      <c r="C138" s="678" t="s">
        <v>1392</v>
      </c>
      <c r="D138" s="678" t="s">
        <v>1391</v>
      </c>
      <c r="E138" s="678" t="s">
        <v>1371</v>
      </c>
      <c r="F138" s="678" t="s">
        <v>53</v>
      </c>
      <c r="G138" s="679" t="s">
        <v>47</v>
      </c>
      <c r="H138" s="678" t="s">
        <v>1366</v>
      </c>
      <c r="I138" s="680">
        <v>3040</v>
      </c>
      <c r="J138" s="680">
        <v>3800</v>
      </c>
      <c r="K138" s="680">
        <v>3800</v>
      </c>
      <c r="L138" s="680">
        <v>4810</v>
      </c>
      <c r="M138" s="679"/>
      <c r="N138" s="679"/>
      <c r="O138" s="679"/>
      <c r="P138" s="679"/>
      <c r="Q138" s="679"/>
      <c r="R138" s="679"/>
      <c r="S138" s="679"/>
      <c r="T138" s="679"/>
      <c r="U138" s="679"/>
      <c r="V138" s="679"/>
      <c r="W138" s="679"/>
      <c r="X138" s="681"/>
      <c r="Y138" s="681"/>
      <c r="Z138" s="679" t="s">
        <v>1367</v>
      </c>
      <c r="AA138" s="682" t="s">
        <v>304</v>
      </c>
    </row>
    <row r="139" spans="1:27" s="64" customFormat="1" x14ac:dyDescent="0.25">
      <c r="A139" s="677" t="s">
        <v>1591</v>
      </c>
      <c r="B139" s="678"/>
      <c r="C139" s="678" t="s">
        <v>1392</v>
      </c>
      <c r="D139" s="678" t="s">
        <v>1390</v>
      </c>
      <c r="E139" s="678" t="s">
        <v>1372</v>
      </c>
      <c r="F139" s="678" t="s">
        <v>53</v>
      </c>
      <c r="G139" s="679" t="s">
        <v>47</v>
      </c>
      <c r="H139" s="678" t="s">
        <v>1366</v>
      </c>
      <c r="I139" s="680">
        <v>3200</v>
      </c>
      <c r="J139" s="680">
        <v>4000</v>
      </c>
      <c r="K139" s="680">
        <v>4000</v>
      </c>
      <c r="L139" s="680">
        <v>5065</v>
      </c>
      <c r="M139" s="679"/>
      <c r="N139" s="679"/>
      <c r="O139" s="679"/>
      <c r="P139" s="679"/>
      <c r="Q139" s="679"/>
      <c r="R139" s="679"/>
      <c r="S139" s="679"/>
      <c r="T139" s="679"/>
      <c r="U139" s="679"/>
      <c r="V139" s="679"/>
      <c r="W139" s="679"/>
      <c r="X139" s="681"/>
      <c r="Y139" s="681"/>
      <c r="Z139" s="679" t="s">
        <v>1367</v>
      </c>
      <c r="AA139" s="682" t="s">
        <v>304</v>
      </c>
    </row>
    <row r="140" spans="1:27" s="64" customFormat="1" x14ac:dyDescent="0.25">
      <c r="A140" s="677" t="s">
        <v>1591</v>
      </c>
      <c r="B140" s="678"/>
      <c r="C140" s="678" t="s">
        <v>1392</v>
      </c>
      <c r="D140" s="678" t="s">
        <v>1391</v>
      </c>
      <c r="E140" s="678" t="s">
        <v>1372</v>
      </c>
      <c r="F140" s="678" t="s">
        <v>53</v>
      </c>
      <c r="G140" s="679" t="s">
        <v>47</v>
      </c>
      <c r="H140" s="678" t="s">
        <v>1366</v>
      </c>
      <c r="I140" s="680">
        <v>3200</v>
      </c>
      <c r="J140" s="680">
        <v>4000</v>
      </c>
      <c r="K140" s="680">
        <v>4000</v>
      </c>
      <c r="L140" s="680">
        <v>5065</v>
      </c>
      <c r="M140" s="679"/>
      <c r="N140" s="679"/>
      <c r="O140" s="679"/>
      <c r="P140" s="679"/>
      <c r="Q140" s="679"/>
      <c r="R140" s="679"/>
      <c r="S140" s="679"/>
      <c r="T140" s="679"/>
      <c r="U140" s="679"/>
      <c r="V140" s="679"/>
      <c r="W140" s="679"/>
      <c r="X140" s="681"/>
      <c r="Y140" s="681"/>
      <c r="Z140" s="679" t="s">
        <v>1367</v>
      </c>
      <c r="AA140" s="682" t="s">
        <v>304</v>
      </c>
    </row>
    <row r="141" spans="1:27" s="64" customFormat="1" x14ac:dyDescent="0.25">
      <c r="A141" s="677" t="s">
        <v>1591</v>
      </c>
      <c r="B141" s="678"/>
      <c r="C141" s="678" t="s">
        <v>1392</v>
      </c>
      <c r="D141" s="678" t="s">
        <v>1391</v>
      </c>
      <c r="E141" s="678" t="s">
        <v>1375</v>
      </c>
      <c r="F141" s="678" t="s">
        <v>53</v>
      </c>
      <c r="G141" s="679" t="s">
        <v>47</v>
      </c>
      <c r="H141" s="678" t="s">
        <v>1366</v>
      </c>
      <c r="I141" s="680">
        <v>3120</v>
      </c>
      <c r="J141" s="680">
        <v>3900</v>
      </c>
      <c r="K141" s="680">
        <v>3900</v>
      </c>
      <c r="L141" s="680">
        <v>4935</v>
      </c>
      <c r="M141" s="679"/>
      <c r="N141" s="679"/>
      <c r="O141" s="679"/>
      <c r="P141" s="679"/>
      <c r="Q141" s="679"/>
      <c r="R141" s="679"/>
      <c r="S141" s="679"/>
      <c r="T141" s="679"/>
      <c r="U141" s="679"/>
      <c r="V141" s="679"/>
      <c r="W141" s="679"/>
      <c r="X141" s="681"/>
      <c r="Y141" s="681"/>
      <c r="Z141" s="679" t="s">
        <v>1367</v>
      </c>
      <c r="AA141" s="682" t="s">
        <v>304</v>
      </c>
    </row>
    <row r="142" spans="1:27" s="64" customFormat="1" x14ac:dyDescent="0.25">
      <c r="A142" s="677" t="s">
        <v>1591</v>
      </c>
      <c r="B142" s="678"/>
      <c r="C142" s="678" t="s">
        <v>1392</v>
      </c>
      <c r="D142" s="678" t="s">
        <v>1609</v>
      </c>
      <c r="E142" s="678" t="s">
        <v>1612</v>
      </c>
      <c r="F142" s="678" t="s">
        <v>53</v>
      </c>
      <c r="G142" s="679" t="s">
        <v>47</v>
      </c>
      <c r="H142" s="678" t="s">
        <v>1366</v>
      </c>
      <c r="I142" s="680">
        <v>2760</v>
      </c>
      <c r="J142" s="680">
        <v>3450</v>
      </c>
      <c r="K142" s="680">
        <v>3450</v>
      </c>
      <c r="L142" s="680">
        <v>4370</v>
      </c>
      <c r="M142" s="679"/>
      <c r="N142" s="679"/>
      <c r="O142" s="679"/>
      <c r="P142" s="679"/>
      <c r="Q142" s="679"/>
      <c r="R142" s="679"/>
      <c r="S142" s="679"/>
      <c r="T142" s="679"/>
      <c r="U142" s="679"/>
      <c r="V142" s="679"/>
      <c r="W142" s="679"/>
      <c r="X142" s="681"/>
      <c r="Y142" s="681"/>
      <c r="Z142" s="679" t="s">
        <v>1367</v>
      </c>
      <c r="AA142" s="682" t="s">
        <v>304</v>
      </c>
    </row>
    <row r="143" spans="1:27" s="64" customFormat="1" x14ac:dyDescent="0.25">
      <c r="A143" s="677" t="s">
        <v>1591</v>
      </c>
      <c r="B143" s="678"/>
      <c r="C143" s="678" t="s">
        <v>1392</v>
      </c>
      <c r="D143" s="678" t="s">
        <v>1609</v>
      </c>
      <c r="E143" s="678" t="s">
        <v>1613</v>
      </c>
      <c r="F143" s="678" t="s">
        <v>53</v>
      </c>
      <c r="G143" s="679" t="s">
        <v>47</v>
      </c>
      <c r="H143" s="678" t="s">
        <v>1366</v>
      </c>
      <c r="I143" s="680">
        <v>3040</v>
      </c>
      <c r="J143" s="680">
        <v>3800</v>
      </c>
      <c r="K143" s="680">
        <v>3800</v>
      </c>
      <c r="L143" s="680">
        <v>4810</v>
      </c>
      <c r="M143" s="679"/>
      <c r="N143" s="679"/>
      <c r="O143" s="679"/>
      <c r="P143" s="679"/>
      <c r="Q143" s="679"/>
      <c r="R143" s="679"/>
      <c r="S143" s="679"/>
      <c r="T143" s="679"/>
      <c r="U143" s="679"/>
      <c r="V143" s="679"/>
      <c r="W143" s="679"/>
      <c r="X143" s="681"/>
      <c r="Y143" s="681"/>
      <c r="Z143" s="679" t="s">
        <v>1367</v>
      </c>
      <c r="AA143" s="682" t="s">
        <v>304</v>
      </c>
    </row>
    <row r="144" spans="1:27" s="64" customFormat="1" x14ac:dyDescent="0.25">
      <c r="A144" s="677" t="s">
        <v>1591</v>
      </c>
      <c r="B144" s="678"/>
      <c r="C144" s="678" t="s">
        <v>1392</v>
      </c>
      <c r="D144" s="678" t="s">
        <v>1608</v>
      </c>
      <c r="E144" s="678" t="s">
        <v>1656</v>
      </c>
      <c r="F144" s="678" t="s">
        <v>53</v>
      </c>
      <c r="G144" s="679" t="s">
        <v>47</v>
      </c>
      <c r="H144" s="678" t="s">
        <v>1366</v>
      </c>
      <c r="I144" s="680">
        <v>2920</v>
      </c>
      <c r="J144" s="680">
        <v>3650</v>
      </c>
      <c r="K144" s="680">
        <v>3650</v>
      </c>
      <c r="L144" s="680">
        <v>4620</v>
      </c>
      <c r="M144" s="679"/>
      <c r="N144" s="679"/>
      <c r="O144" s="679"/>
      <c r="P144" s="679"/>
      <c r="Q144" s="679"/>
      <c r="R144" s="679"/>
      <c r="S144" s="679"/>
      <c r="T144" s="679"/>
      <c r="U144" s="679"/>
      <c r="V144" s="679"/>
      <c r="W144" s="679"/>
      <c r="X144" s="681"/>
      <c r="Y144" s="681"/>
      <c r="Z144" s="679" t="s">
        <v>1367</v>
      </c>
      <c r="AA144" s="682" t="s">
        <v>304</v>
      </c>
    </row>
    <row r="145" spans="1:27" s="64" customFormat="1" x14ac:dyDescent="0.25">
      <c r="A145" s="677" t="s">
        <v>1591</v>
      </c>
      <c r="B145" s="678"/>
      <c r="C145" s="678" t="s">
        <v>1392</v>
      </c>
      <c r="D145" s="678" t="s">
        <v>1391</v>
      </c>
      <c r="E145" s="678" t="s">
        <v>1379</v>
      </c>
      <c r="F145" s="678" t="s">
        <v>53</v>
      </c>
      <c r="G145" s="679" t="s">
        <v>47</v>
      </c>
      <c r="H145" s="678" t="s">
        <v>1366</v>
      </c>
      <c r="I145" s="680">
        <v>3160</v>
      </c>
      <c r="J145" s="680">
        <v>3950</v>
      </c>
      <c r="K145" s="680">
        <v>3950</v>
      </c>
      <c r="L145" s="680">
        <v>5000</v>
      </c>
      <c r="M145" s="679"/>
      <c r="N145" s="679"/>
      <c r="O145" s="679"/>
      <c r="P145" s="679"/>
      <c r="Q145" s="679"/>
      <c r="R145" s="679"/>
      <c r="S145" s="679"/>
      <c r="T145" s="679"/>
      <c r="U145" s="679"/>
      <c r="V145" s="679"/>
      <c r="W145" s="679"/>
      <c r="X145" s="681"/>
      <c r="Y145" s="681"/>
      <c r="Z145" s="679" t="s">
        <v>1367</v>
      </c>
      <c r="AA145" s="682" t="s">
        <v>304</v>
      </c>
    </row>
    <row r="146" spans="1:27" s="64" customFormat="1" x14ac:dyDescent="0.25">
      <c r="A146" s="677" t="s">
        <v>1591</v>
      </c>
      <c r="B146" s="678"/>
      <c r="C146" s="678" t="s">
        <v>1392</v>
      </c>
      <c r="D146" s="678" t="s">
        <v>1391</v>
      </c>
      <c r="E146" s="678" t="s">
        <v>1380</v>
      </c>
      <c r="F146" s="678" t="s">
        <v>53</v>
      </c>
      <c r="G146" s="679" t="s">
        <v>47</v>
      </c>
      <c r="H146" s="678" t="s">
        <v>1366</v>
      </c>
      <c r="I146" s="680">
        <v>3160</v>
      </c>
      <c r="J146" s="680">
        <v>3950</v>
      </c>
      <c r="K146" s="680">
        <v>3950</v>
      </c>
      <c r="L146" s="680">
        <v>5000</v>
      </c>
      <c r="M146" s="679"/>
      <c r="N146" s="679"/>
      <c r="O146" s="679"/>
      <c r="P146" s="679"/>
      <c r="Q146" s="679"/>
      <c r="R146" s="679"/>
      <c r="S146" s="679"/>
      <c r="T146" s="679"/>
      <c r="U146" s="679"/>
      <c r="V146" s="679"/>
      <c r="W146" s="679"/>
      <c r="X146" s="681"/>
      <c r="Y146" s="681"/>
      <c r="Z146" s="679" t="s">
        <v>1367</v>
      </c>
      <c r="AA146" s="682" t="s">
        <v>304</v>
      </c>
    </row>
    <row r="147" spans="1:27" s="64" customFormat="1" x14ac:dyDescent="0.25">
      <c r="A147" s="677" t="s">
        <v>1591</v>
      </c>
      <c r="B147" s="678"/>
      <c r="C147" s="678" t="s">
        <v>1392</v>
      </c>
      <c r="D147" s="678" t="s">
        <v>1608</v>
      </c>
      <c r="E147" s="678" t="s">
        <v>1382</v>
      </c>
      <c r="F147" s="678" t="s">
        <v>53</v>
      </c>
      <c r="G147" s="679" t="s">
        <v>47</v>
      </c>
      <c r="H147" s="678" t="s">
        <v>1366</v>
      </c>
      <c r="I147" s="680">
        <v>2960</v>
      </c>
      <c r="J147" s="680">
        <v>3700</v>
      </c>
      <c r="K147" s="680">
        <v>3700</v>
      </c>
      <c r="L147" s="680">
        <v>4685</v>
      </c>
      <c r="M147" s="679"/>
      <c r="N147" s="679"/>
      <c r="O147" s="679"/>
      <c r="P147" s="679"/>
      <c r="Q147" s="679"/>
      <c r="R147" s="679"/>
      <c r="S147" s="679"/>
      <c r="T147" s="679"/>
      <c r="U147" s="679"/>
      <c r="V147" s="679"/>
      <c r="W147" s="679"/>
      <c r="X147" s="681"/>
      <c r="Y147" s="681"/>
      <c r="Z147" s="679" t="s">
        <v>1367</v>
      </c>
      <c r="AA147" s="682" t="s">
        <v>304</v>
      </c>
    </row>
    <row r="148" spans="1:27" s="64" customFormat="1" x14ac:dyDescent="0.25">
      <c r="A148" s="677" t="s">
        <v>1591</v>
      </c>
      <c r="B148" s="678"/>
      <c r="C148" s="678" t="s">
        <v>1392</v>
      </c>
      <c r="D148" s="678" t="s">
        <v>1608</v>
      </c>
      <c r="E148" s="678" t="s">
        <v>1381</v>
      </c>
      <c r="F148" s="678" t="s">
        <v>53</v>
      </c>
      <c r="G148" s="679" t="s">
        <v>47</v>
      </c>
      <c r="H148" s="678" t="s">
        <v>1366</v>
      </c>
      <c r="I148" s="680">
        <v>3080</v>
      </c>
      <c r="J148" s="680">
        <v>3850</v>
      </c>
      <c r="K148" s="680">
        <v>3850</v>
      </c>
      <c r="L148" s="680">
        <v>4875</v>
      </c>
      <c r="M148" s="679"/>
      <c r="N148" s="679"/>
      <c r="O148" s="679"/>
      <c r="P148" s="679"/>
      <c r="Q148" s="679"/>
      <c r="R148" s="679"/>
      <c r="S148" s="679"/>
      <c r="T148" s="679"/>
      <c r="U148" s="679"/>
      <c r="V148" s="679"/>
      <c r="W148" s="679"/>
      <c r="X148" s="681"/>
      <c r="Y148" s="681"/>
      <c r="Z148" s="679" t="s">
        <v>1367</v>
      </c>
      <c r="AA148" s="682" t="s">
        <v>304</v>
      </c>
    </row>
    <row r="149" spans="1:27" s="64" customFormat="1" x14ac:dyDescent="0.25">
      <c r="A149" s="677" t="s">
        <v>1591</v>
      </c>
      <c r="B149" s="678"/>
      <c r="C149" s="678" t="s">
        <v>1392</v>
      </c>
      <c r="D149" s="678" t="s">
        <v>1391</v>
      </c>
      <c r="E149" s="678" t="s">
        <v>1614</v>
      </c>
      <c r="F149" s="678" t="s">
        <v>357</v>
      </c>
      <c r="G149" s="679" t="s">
        <v>47</v>
      </c>
      <c r="H149" s="678" t="s">
        <v>1366</v>
      </c>
      <c r="I149" s="680">
        <v>3080</v>
      </c>
      <c r="J149" s="680">
        <v>3850</v>
      </c>
      <c r="K149" s="680">
        <v>3850</v>
      </c>
      <c r="L149" s="680">
        <v>4875</v>
      </c>
      <c r="M149" s="679"/>
      <c r="N149" s="679"/>
      <c r="O149" s="679"/>
      <c r="P149" s="679"/>
      <c r="Q149" s="679"/>
      <c r="R149" s="679"/>
      <c r="S149" s="679"/>
      <c r="T149" s="679"/>
      <c r="U149" s="679"/>
      <c r="V149" s="679"/>
      <c r="W149" s="679"/>
      <c r="X149" s="681"/>
      <c r="Y149" s="681"/>
      <c r="Z149" s="679" t="s">
        <v>1367</v>
      </c>
      <c r="AA149" s="682" t="s">
        <v>304</v>
      </c>
    </row>
    <row r="150" spans="1:27" s="64" customFormat="1" x14ac:dyDescent="0.25">
      <c r="A150" s="677" t="s">
        <v>1591</v>
      </c>
      <c r="B150" s="678"/>
      <c r="C150" s="678" t="s">
        <v>1392</v>
      </c>
      <c r="D150" s="678" t="s">
        <v>1391</v>
      </c>
      <c r="E150" s="678" t="s">
        <v>1386</v>
      </c>
      <c r="F150" s="678" t="s">
        <v>53</v>
      </c>
      <c r="G150" s="679" t="s">
        <v>47</v>
      </c>
      <c r="H150" s="678" t="s">
        <v>1366</v>
      </c>
      <c r="I150" s="680">
        <v>3080</v>
      </c>
      <c r="J150" s="680">
        <v>3850</v>
      </c>
      <c r="K150" s="680">
        <v>3850</v>
      </c>
      <c r="L150" s="680">
        <v>4875</v>
      </c>
      <c r="M150" s="679"/>
      <c r="N150" s="679"/>
      <c r="O150" s="679"/>
      <c r="P150" s="679"/>
      <c r="Q150" s="679"/>
      <c r="R150" s="679"/>
      <c r="S150" s="679"/>
      <c r="T150" s="679"/>
      <c r="U150" s="679"/>
      <c r="V150" s="679"/>
      <c r="W150" s="679"/>
      <c r="X150" s="681"/>
      <c r="Y150" s="681"/>
      <c r="Z150" s="679" t="s">
        <v>1367</v>
      </c>
      <c r="AA150" s="682" t="s">
        <v>304</v>
      </c>
    </row>
    <row r="151" spans="1:27" s="64" customFormat="1" x14ac:dyDescent="0.25">
      <c r="A151" s="677" t="s">
        <v>1591</v>
      </c>
      <c r="B151" s="678"/>
      <c r="C151" s="678" t="s">
        <v>1603</v>
      </c>
      <c r="D151" s="678" t="s">
        <v>1390</v>
      </c>
      <c r="E151" s="678"/>
      <c r="F151" s="678" t="s">
        <v>51</v>
      </c>
      <c r="G151" s="679" t="s">
        <v>47</v>
      </c>
      <c r="H151" s="678" t="s">
        <v>1366</v>
      </c>
      <c r="I151" s="680">
        <v>2120</v>
      </c>
      <c r="J151" s="680">
        <v>2650</v>
      </c>
      <c r="K151" s="680">
        <v>2650</v>
      </c>
      <c r="L151" s="680">
        <v>3355</v>
      </c>
      <c r="M151" s="679"/>
      <c r="N151" s="679"/>
      <c r="O151" s="679"/>
      <c r="P151" s="679"/>
      <c r="Q151" s="679"/>
      <c r="R151" s="679"/>
      <c r="S151" s="679"/>
      <c r="T151" s="679"/>
      <c r="U151" s="679"/>
      <c r="V151" s="679"/>
      <c r="W151" s="679"/>
      <c r="X151" s="681"/>
      <c r="Y151" s="681"/>
      <c r="Z151" s="679" t="s">
        <v>1367</v>
      </c>
      <c r="AA151" s="682" t="s">
        <v>389</v>
      </c>
    </row>
    <row r="152" spans="1:27" s="64" customFormat="1" x14ac:dyDescent="0.25">
      <c r="A152" s="677" t="s">
        <v>1591</v>
      </c>
      <c r="B152" s="678"/>
      <c r="C152" s="678" t="s">
        <v>1603</v>
      </c>
      <c r="D152" s="678" t="s">
        <v>1391</v>
      </c>
      <c r="E152" s="678"/>
      <c r="F152" s="678" t="s">
        <v>51</v>
      </c>
      <c r="G152" s="679" t="s">
        <v>47</v>
      </c>
      <c r="H152" s="678" t="s">
        <v>1366</v>
      </c>
      <c r="I152" s="680">
        <v>2120</v>
      </c>
      <c r="J152" s="680">
        <v>2650</v>
      </c>
      <c r="K152" s="680">
        <v>2650</v>
      </c>
      <c r="L152" s="680">
        <v>3355</v>
      </c>
      <c r="M152" s="679"/>
      <c r="N152" s="679"/>
      <c r="O152" s="679"/>
      <c r="P152" s="679"/>
      <c r="Q152" s="679"/>
      <c r="R152" s="679"/>
      <c r="S152" s="679"/>
      <c r="T152" s="679"/>
      <c r="U152" s="679"/>
      <c r="V152" s="679"/>
      <c r="W152" s="679"/>
      <c r="X152" s="681"/>
      <c r="Y152" s="681"/>
      <c r="Z152" s="679" t="s">
        <v>1367</v>
      </c>
      <c r="AA152" s="682" t="s">
        <v>304</v>
      </c>
    </row>
    <row r="153" spans="1:27" s="64" customFormat="1" x14ac:dyDescent="0.25">
      <c r="A153" s="677" t="s">
        <v>1591</v>
      </c>
      <c r="B153" s="678"/>
      <c r="C153" s="678" t="s">
        <v>1603</v>
      </c>
      <c r="D153" s="678" t="s">
        <v>1608</v>
      </c>
      <c r="E153" s="678"/>
      <c r="F153" s="678" t="s">
        <v>51</v>
      </c>
      <c r="G153" s="679" t="s">
        <v>47</v>
      </c>
      <c r="H153" s="678" t="s">
        <v>1366</v>
      </c>
      <c r="I153" s="680">
        <v>2120</v>
      </c>
      <c r="J153" s="680">
        <v>2650</v>
      </c>
      <c r="K153" s="680">
        <v>2650</v>
      </c>
      <c r="L153" s="680">
        <v>3355</v>
      </c>
      <c r="M153" s="679"/>
      <c r="N153" s="679"/>
      <c r="O153" s="679"/>
      <c r="P153" s="679"/>
      <c r="Q153" s="679"/>
      <c r="R153" s="679"/>
      <c r="S153" s="679"/>
      <c r="T153" s="679"/>
      <c r="U153" s="679"/>
      <c r="V153" s="679"/>
      <c r="W153" s="679"/>
      <c r="X153" s="681"/>
      <c r="Y153" s="681"/>
      <c r="Z153" s="679" t="s">
        <v>1367</v>
      </c>
      <c r="AA153" s="682" t="s">
        <v>389</v>
      </c>
    </row>
    <row r="154" spans="1:27" s="64" customFormat="1" x14ac:dyDescent="0.25">
      <c r="A154" s="677" t="s">
        <v>1591</v>
      </c>
      <c r="B154" s="678"/>
      <c r="C154" s="678" t="s">
        <v>1603</v>
      </c>
      <c r="D154" s="678" t="s">
        <v>1609</v>
      </c>
      <c r="E154" s="678"/>
      <c r="F154" s="678" t="s">
        <v>51</v>
      </c>
      <c r="G154" s="679" t="s">
        <v>47</v>
      </c>
      <c r="H154" s="678" t="s">
        <v>1366</v>
      </c>
      <c r="I154" s="680">
        <v>2120</v>
      </c>
      <c r="J154" s="680">
        <v>2650</v>
      </c>
      <c r="K154" s="680">
        <v>2650</v>
      </c>
      <c r="L154" s="680">
        <v>3355</v>
      </c>
      <c r="M154" s="679"/>
      <c r="N154" s="679"/>
      <c r="O154" s="679"/>
      <c r="P154" s="679"/>
      <c r="Q154" s="679"/>
      <c r="R154" s="679"/>
      <c r="S154" s="679"/>
      <c r="T154" s="679"/>
      <c r="U154" s="679"/>
      <c r="V154" s="679"/>
      <c r="W154" s="679"/>
      <c r="X154" s="681"/>
      <c r="Y154" s="681"/>
      <c r="Z154" s="679" t="s">
        <v>1367</v>
      </c>
      <c r="AA154" s="682" t="s">
        <v>304</v>
      </c>
    </row>
    <row r="155" spans="1:27" s="64" customFormat="1" x14ac:dyDescent="0.25">
      <c r="A155" s="677" t="s">
        <v>1591</v>
      </c>
      <c r="B155" s="678"/>
      <c r="C155" s="678" t="s">
        <v>1603</v>
      </c>
      <c r="D155" s="678" t="s">
        <v>1608</v>
      </c>
      <c r="E155" s="678" t="s">
        <v>1387</v>
      </c>
      <c r="F155" s="678" t="s">
        <v>53</v>
      </c>
      <c r="G155" s="679" t="s">
        <v>47</v>
      </c>
      <c r="H155" s="678" t="s">
        <v>1366</v>
      </c>
      <c r="I155" s="680">
        <v>2720</v>
      </c>
      <c r="J155" s="680">
        <v>3400</v>
      </c>
      <c r="K155" s="680">
        <v>3400</v>
      </c>
      <c r="L155" s="680">
        <v>4305</v>
      </c>
      <c r="M155" s="679"/>
      <c r="N155" s="679"/>
      <c r="O155" s="679"/>
      <c r="P155" s="679"/>
      <c r="Q155" s="679"/>
      <c r="R155" s="679"/>
      <c r="S155" s="679"/>
      <c r="T155" s="679"/>
      <c r="U155" s="679"/>
      <c r="V155" s="679"/>
      <c r="W155" s="679"/>
      <c r="X155" s="681"/>
      <c r="Y155" s="681"/>
      <c r="Z155" s="679" t="s">
        <v>1367</v>
      </c>
      <c r="AA155" s="682" t="s">
        <v>304</v>
      </c>
    </row>
    <row r="156" spans="1:27" s="64" customFormat="1" x14ac:dyDescent="0.25">
      <c r="A156" s="677" t="s">
        <v>1591</v>
      </c>
      <c r="B156" s="678"/>
      <c r="C156" s="678" t="s">
        <v>1603</v>
      </c>
      <c r="D156" s="678" t="s">
        <v>1390</v>
      </c>
      <c r="E156" s="678" t="s">
        <v>1610</v>
      </c>
      <c r="F156" s="678" t="s">
        <v>53</v>
      </c>
      <c r="G156" s="679" t="s">
        <v>47</v>
      </c>
      <c r="H156" s="678" t="s">
        <v>1366</v>
      </c>
      <c r="I156" s="680">
        <v>3160</v>
      </c>
      <c r="J156" s="680">
        <v>3950</v>
      </c>
      <c r="K156" s="680">
        <v>3950</v>
      </c>
      <c r="L156" s="680">
        <v>5000</v>
      </c>
      <c r="M156" s="679"/>
      <c r="N156" s="679"/>
      <c r="O156" s="679"/>
      <c r="P156" s="679"/>
      <c r="Q156" s="679"/>
      <c r="R156" s="679"/>
      <c r="S156" s="679"/>
      <c r="T156" s="679"/>
      <c r="U156" s="679"/>
      <c r="V156" s="679"/>
      <c r="W156" s="679"/>
      <c r="X156" s="681"/>
      <c r="Y156" s="681"/>
      <c r="Z156" s="679" t="s">
        <v>1367</v>
      </c>
      <c r="AA156" s="682" t="s">
        <v>304</v>
      </c>
    </row>
    <row r="157" spans="1:27" s="64" customFormat="1" x14ac:dyDescent="0.25">
      <c r="A157" s="677" t="s">
        <v>1591</v>
      </c>
      <c r="B157" s="678"/>
      <c r="C157" s="678" t="s">
        <v>1603</v>
      </c>
      <c r="D157" s="678" t="s">
        <v>1608</v>
      </c>
      <c r="E157" s="678" t="s">
        <v>1389</v>
      </c>
      <c r="F157" s="678" t="s">
        <v>53</v>
      </c>
      <c r="G157" s="679" t="s">
        <v>47</v>
      </c>
      <c r="H157" s="678" t="s">
        <v>1366</v>
      </c>
      <c r="I157" s="680">
        <v>2720</v>
      </c>
      <c r="J157" s="680">
        <v>3400</v>
      </c>
      <c r="K157" s="680">
        <v>3400</v>
      </c>
      <c r="L157" s="680">
        <v>4305</v>
      </c>
      <c r="M157" s="679"/>
      <c r="N157" s="679"/>
      <c r="O157" s="679"/>
      <c r="P157" s="679"/>
      <c r="Q157" s="679"/>
      <c r="R157" s="679"/>
      <c r="S157" s="679"/>
      <c r="T157" s="679"/>
      <c r="U157" s="679"/>
      <c r="V157" s="679"/>
      <c r="W157" s="679"/>
      <c r="X157" s="681"/>
      <c r="Y157" s="681"/>
      <c r="Z157" s="679" t="s">
        <v>1367</v>
      </c>
      <c r="AA157" s="682" t="s">
        <v>304</v>
      </c>
    </row>
    <row r="158" spans="1:27" s="64" customFormat="1" x14ac:dyDescent="0.25">
      <c r="A158" s="677" t="s">
        <v>1591</v>
      </c>
      <c r="B158" s="678"/>
      <c r="C158" s="678" t="s">
        <v>1603</v>
      </c>
      <c r="D158" s="678" t="s">
        <v>1608</v>
      </c>
      <c r="E158" s="678" t="s">
        <v>1611</v>
      </c>
      <c r="F158" s="678" t="s">
        <v>53</v>
      </c>
      <c r="G158" s="679" t="s">
        <v>47</v>
      </c>
      <c r="H158" s="678" t="s">
        <v>1366</v>
      </c>
      <c r="I158" s="680">
        <v>2920</v>
      </c>
      <c r="J158" s="680">
        <v>3650</v>
      </c>
      <c r="K158" s="680">
        <v>3650</v>
      </c>
      <c r="L158" s="680">
        <v>4620</v>
      </c>
      <c r="M158" s="679"/>
      <c r="N158" s="679"/>
      <c r="O158" s="679"/>
      <c r="P158" s="679"/>
      <c r="Q158" s="679"/>
      <c r="R158" s="679"/>
      <c r="S158" s="679"/>
      <c r="T158" s="679"/>
      <c r="U158" s="679"/>
      <c r="V158" s="679"/>
      <c r="W158" s="679"/>
      <c r="X158" s="681"/>
      <c r="Y158" s="681"/>
      <c r="Z158" s="679" t="s">
        <v>1367</v>
      </c>
      <c r="AA158" s="682" t="s">
        <v>304</v>
      </c>
    </row>
    <row r="159" spans="1:27" s="64" customFormat="1" x14ac:dyDescent="0.25">
      <c r="A159" s="677" t="s">
        <v>1591</v>
      </c>
      <c r="B159" s="678"/>
      <c r="C159" s="678" t="s">
        <v>1603</v>
      </c>
      <c r="D159" s="678" t="s">
        <v>1390</v>
      </c>
      <c r="E159" s="678" t="s">
        <v>1369</v>
      </c>
      <c r="F159" s="678" t="s">
        <v>53</v>
      </c>
      <c r="G159" s="679" t="s">
        <v>47</v>
      </c>
      <c r="H159" s="678" t="s">
        <v>1366</v>
      </c>
      <c r="I159" s="680">
        <v>3160</v>
      </c>
      <c r="J159" s="680">
        <v>3950</v>
      </c>
      <c r="K159" s="680">
        <v>3950</v>
      </c>
      <c r="L159" s="680">
        <v>5000</v>
      </c>
      <c r="M159" s="679"/>
      <c r="N159" s="679"/>
      <c r="O159" s="679"/>
      <c r="P159" s="679"/>
      <c r="Q159" s="679"/>
      <c r="R159" s="679"/>
      <c r="S159" s="679"/>
      <c r="T159" s="679"/>
      <c r="U159" s="679"/>
      <c r="V159" s="679"/>
      <c r="W159" s="679"/>
      <c r="X159" s="681"/>
      <c r="Y159" s="681"/>
      <c r="Z159" s="679" t="s">
        <v>1367</v>
      </c>
      <c r="AA159" s="682" t="s">
        <v>304</v>
      </c>
    </row>
    <row r="160" spans="1:27" s="64" customFormat="1" x14ac:dyDescent="0.25">
      <c r="A160" s="677" t="s">
        <v>1591</v>
      </c>
      <c r="B160" s="678"/>
      <c r="C160" s="678" t="s">
        <v>1603</v>
      </c>
      <c r="D160" s="678" t="s">
        <v>1391</v>
      </c>
      <c r="E160" s="678" t="s">
        <v>1369</v>
      </c>
      <c r="F160" s="678" t="s">
        <v>53</v>
      </c>
      <c r="G160" s="679" t="s">
        <v>47</v>
      </c>
      <c r="H160" s="678" t="s">
        <v>1366</v>
      </c>
      <c r="I160" s="680">
        <v>3160</v>
      </c>
      <c r="J160" s="680">
        <v>3950</v>
      </c>
      <c r="K160" s="680">
        <v>3950</v>
      </c>
      <c r="L160" s="680">
        <v>5000</v>
      </c>
      <c r="M160" s="679"/>
      <c r="N160" s="679"/>
      <c r="O160" s="679"/>
      <c r="P160" s="679"/>
      <c r="Q160" s="679"/>
      <c r="R160" s="679"/>
      <c r="S160" s="679"/>
      <c r="T160" s="679"/>
      <c r="U160" s="679"/>
      <c r="V160" s="679"/>
      <c r="W160" s="679"/>
      <c r="X160" s="681"/>
      <c r="Y160" s="681"/>
      <c r="Z160" s="679" t="s">
        <v>1367</v>
      </c>
      <c r="AA160" s="682" t="s">
        <v>304</v>
      </c>
    </row>
    <row r="161" spans="1:27" s="64" customFormat="1" x14ac:dyDescent="0.25">
      <c r="A161" s="677" t="s">
        <v>1591</v>
      </c>
      <c r="B161" s="678"/>
      <c r="C161" s="678" t="s">
        <v>1603</v>
      </c>
      <c r="D161" s="678" t="s">
        <v>1390</v>
      </c>
      <c r="E161" s="678" t="s">
        <v>1370</v>
      </c>
      <c r="F161" s="678" t="s">
        <v>53</v>
      </c>
      <c r="G161" s="679" t="s">
        <v>47</v>
      </c>
      <c r="H161" s="678" t="s">
        <v>1366</v>
      </c>
      <c r="I161" s="680">
        <v>3160</v>
      </c>
      <c r="J161" s="680">
        <v>3950</v>
      </c>
      <c r="K161" s="680">
        <v>3950</v>
      </c>
      <c r="L161" s="680">
        <v>5000</v>
      </c>
      <c r="M161" s="679"/>
      <c r="N161" s="679"/>
      <c r="O161" s="679"/>
      <c r="P161" s="679"/>
      <c r="Q161" s="679"/>
      <c r="R161" s="679"/>
      <c r="S161" s="679"/>
      <c r="T161" s="679"/>
      <c r="U161" s="679"/>
      <c r="V161" s="679"/>
      <c r="W161" s="679"/>
      <c r="X161" s="681"/>
      <c r="Y161" s="681"/>
      <c r="Z161" s="679" t="s">
        <v>1367</v>
      </c>
      <c r="AA161" s="682" t="s">
        <v>304</v>
      </c>
    </row>
    <row r="162" spans="1:27" s="64" customFormat="1" x14ac:dyDescent="0.25">
      <c r="A162" s="677" t="s">
        <v>1591</v>
      </c>
      <c r="B162" s="678"/>
      <c r="C162" s="678" t="s">
        <v>1603</v>
      </c>
      <c r="D162" s="678" t="s">
        <v>1391</v>
      </c>
      <c r="E162" s="678" t="s">
        <v>1370</v>
      </c>
      <c r="F162" s="678" t="s">
        <v>53</v>
      </c>
      <c r="G162" s="679" t="s">
        <v>47</v>
      </c>
      <c r="H162" s="678" t="s">
        <v>1366</v>
      </c>
      <c r="I162" s="680">
        <v>3160</v>
      </c>
      <c r="J162" s="680">
        <v>3950</v>
      </c>
      <c r="K162" s="680">
        <v>3950</v>
      </c>
      <c r="L162" s="680">
        <v>5000</v>
      </c>
      <c r="M162" s="679"/>
      <c r="N162" s="679"/>
      <c r="O162" s="679"/>
      <c r="P162" s="679"/>
      <c r="Q162" s="679"/>
      <c r="R162" s="679"/>
      <c r="S162" s="679"/>
      <c r="T162" s="679"/>
      <c r="U162" s="679"/>
      <c r="V162" s="679"/>
      <c r="W162" s="679"/>
      <c r="X162" s="681"/>
      <c r="Y162" s="681"/>
      <c r="Z162" s="679" t="s">
        <v>1367</v>
      </c>
      <c r="AA162" s="682" t="s">
        <v>304</v>
      </c>
    </row>
    <row r="163" spans="1:27" s="64" customFormat="1" x14ac:dyDescent="0.25">
      <c r="A163" s="677" t="s">
        <v>1591</v>
      </c>
      <c r="B163" s="678"/>
      <c r="C163" s="678" t="s">
        <v>1603</v>
      </c>
      <c r="D163" s="678" t="s">
        <v>1390</v>
      </c>
      <c r="E163" s="678" t="s">
        <v>1371</v>
      </c>
      <c r="F163" s="678" t="s">
        <v>53</v>
      </c>
      <c r="G163" s="679" t="s">
        <v>47</v>
      </c>
      <c r="H163" s="678" t="s">
        <v>1366</v>
      </c>
      <c r="I163" s="680">
        <v>3040</v>
      </c>
      <c r="J163" s="680">
        <v>3800</v>
      </c>
      <c r="K163" s="680">
        <v>3800</v>
      </c>
      <c r="L163" s="680">
        <v>4810</v>
      </c>
      <c r="M163" s="679"/>
      <c r="N163" s="679"/>
      <c r="O163" s="679"/>
      <c r="P163" s="679"/>
      <c r="Q163" s="679"/>
      <c r="R163" s="679"/>
      <c r="S163" s="679"/>
      <c r="T163" s="679"/>
      <c r="U163" s="679"/>
      <c r="V163" s="679"/>
      <c r="W163" s="679"/>
      <c r="X163" s="681"/>
      <c r="Y163" s="681"/>
      <c r="Z163" s="679" t="s">
        <v>1367</v>
      </c>
      <c r="AA163" s="682" t="s">
        <v>304</v>
      </c>
    </row>
    <row r="164" spans="1:27" s="64" customFormat="1" x14ac:dyDescent="0.25">
      <c r="A164" s="677" t="s">
        <v>1591</v>
      </c>
      <c r="B164" s="678"/>
      <c r="C164" s="678" t="s">
        <v>1603</v>
      </c>
      <c r="D164" s="678" t="s">
        <v>1391</v>
      </c>
      <c r="E164" s="678" t="s">
        <v>1371</v>
      </c>
      <c r="F164" s="678" t="s">
        <v>53</v>
      </c>
      <c r="G164" s="679" t="s">
        <v>47</v>
      </c>
      <c r="H164" s="678" t="s">
        <v>1366</v>
      </c>
      <c r="I164" s="680">
        <v>3040</v>
      </c>
      <c r="J164" s="680">
        <v>3800</v>
      </c>
      <c r="K164" s="680">
        <v>3800</v>
      </c>
      <c r="L164" s="680">
        <v>4810</v>
      </c>
      <c r="M164" s="679"/>
      <c r="N164" s="679"/>
      <c r="O164" s="679"/>
      <c r="P164" s="679"/>
      <c r="Q164" s="679"/>
      <c r="R164" s="679"/>
      <c r="S164" s="679"/>
      <c r="T164" s="679"/>
      <c r="U164" s="679"/>
      <c r="V164" s="679"/>
      <c r="W164" s="679"/>
      <c r="X164" s="681"/>
      <c r="Y164" s="681"/>
      <c r="Z164" s="679" t="s">
        <v>1367</v>
      </c>
      <c r="AA164" s="682" t="s">
        <v>304</v>
      </c>
    </row>
    <row r="165" spans="1:27" s="64" customFormat="1" x14ac:dyDescent="0.25">
      <c r="A165" s="677" t="s">
        <v>1591</v>
      </c>
      <c r="B165" s="678"/>
      <c r="C165" s="678" t="s">
        <v>1603</v>
      </c>
      <c r="D165" s="678" t="s">
        <v>1390</v>
      </c>
      <c r="E165" s="678" t="s">
        <v>1372</v>
      </c>
      <c r="F165" s="678" t="s">
        <v>53</v>
      </c>
      <c r="G165" s="679" t="s">
        <v>47</v>
      </c>
      <c r="H165" s="678" t="s">
        <v>1366</v>
      </c>
      <c r="I165" s="680">
        <v>3200</v>
      </c>
      <c r="J165" s="680">
        <v>4000</v>
      </c>
      <c r="K165" s="680">
        <v>4000</v>
      </c>
      <c r="L165" s="680">
        <v>5065</v>
      </c>
      <c r="M165" s="679"/>
      <c r="N165" s="679"/>
      <c r="O165" s="679"/>
      <c r="P165" s="679"/>
      <c r="Q165" s="679"/>
      <c r="R165" s="679"/>
      <c r="S165" s="679"/>
      <c r="T165" s="679"/>
      <c r="U165" s="679"/>
      <c r="V165" s="679"/>
      <c r="W165" s="679"/>
      <c r="X165" s="681"/>
      <c r="Y165" s="681"/>
      <c r="Z165" s="679" t="s">
        <v>1367</v>
      </c>
      <c r="AA165" s="682" t="s">
        <v>304</v>
      </c>
    </row>
    <row r="166" spans="1:27" s="64" customFormat="1" x14ac:dyDescent="0.25">
      <c r="A166" s="677" t="s">
        <v>1591</v>
      </c>
      <c r="B166" s="678"/>
      <c r="C166" s="678" t="s">
        <v>1603</v>
      </c>
      <c r="D166" s="678" t="s">
        <v>1391</v>
      </c>
      <c r="E166" s="678" t="s">
        <v>1372</v>
      </c>
      <c r="F166" s="678" t="s">
        <v>53</v>
      </c>
      <c r="G166" s="679" t="s">
        <v>47</v>
      </c>
      <c r="H166" s="678" t="s">
        <v>1366</v>
      </c>
      <c r="I166" s="680">
        <v>3200</v>
      </c>
      <c r="J166" s="680">
        <v>4000</v>
      </c>
      <c r="K166" s="680">
        <v>4000</v>
      </c>
      <c r="L166" s="680">
        <v>5065</v>
      </c>
      <c r="M166" s="679"/>
      <c r="N166" s="679"/>
      <c r="O166" s="679"/>
      <c r="P166" s="679"/>
      <c r="Q166" s="679"/>
      <c r="R166" s="679"/>
      <c r="S166" s="679"/>
      <c r="T166" s="679"/>
      <c r="U166" s="679"/>
      <c r="V166" s="679"/>
      <c r="W166" s="679"/>
      <c r="X166" s="681"/>
      <c r="Y166" s="681"/>
      <c r="Z166" s="679" t="s">
        <v>1367</v>
      </c>
      <c r="AA166" s="682" t="s">
        <v>304</v>
      </c>
    </row>
    <row r="167" spans="1:27" s="64" customFormat="1" x14ac:dyDescent="0.25">
      <c r="A167" s="677" t="s">
        <v>1591</v>
      </c>
      <c r="B167" s="678"/>
      <c r="C167" s="678" t="s">
        <v>1603</v>
      </c>
      <c r="D167" s="678" t="s">
        <v>1391</v>
      </c>
      <c r="E167" s="678" t="s">
        <v>1375</v>
      </c>
      <c r="F167" s="678" t="s">
        <v>53</v>
      </c>
      <c r="G167" s="679" t="s">
        <v>47</v>
      </c>
      <c r="H167" s="678" t="s">
        <v>1366</v>
      </c>
      <c r="I167" s="680">
        <v>3120</v>
      </c>
      <c r="J167" s="680">
        <v>3900</v>
      </c>
      <c r="K167" s="680">
        <v>3900</v>
      </c>
      <c r="L167" s="680">
        <v>4935</v>
      </c>
      <c r="M167" s="679"/>
      <c r="N167" s="679"/>
      <c r="O167" s="679"/>
      <c r="P167" s="679"/>
      <c r="Q167" s="679"/>
      <c r="R167" s="679"/>
      <c r="S167" s="679"/>
      <c r="T167" s="679"/>
      <c r="U167" s="679"/>
      <c r="V167" s="679"/>
      <c r="W167" s="679"/>
      <c r="X167" s="681"/>
      <c r="Y167" s="681"/>
      <c r="Z167" s="679" t="s">
        <v>1367</v>
      </c>
      <c r="AA167" s="682" t="s">
        <v>304</v>
      </c>
    </row>
    <row r="168" spans="1:27" s="64" customFormat="1" x14ac:dyDescent="0.25">
      <c r="A168" s="677" t="s">
        <v>1591</v>
      </c>
      <c r="B168" s="678"/>
      <c r="C168" s="678" t="s">
        <v>1603</v>
      </c>
      <c r="D168" s="678" t="s">
        <v>1609</v>
      </c>
      <c r="E168" s="678" t="s">
        <v>1612</v>
      </c>
      <c r="F168" s="678" t="s">
        <v>53</v>
      </c>
      <c r="G168" s="679" t="s">
        <v>47</v>
      </c>
      <c r="H168" s="678" t="s">
        <v>1366</v>
      </c>
      <c r="I168" s="680">
        <v>2760</v>
      </c>
      <c r="J168" s="680">
        <v>3450</v>
      </c>
      <c r="K168" s="680">
        <v>3450</v>
      </c>
      <c r="L168" s="680">
        <v>4370</v>
      </c>
      <c r="M168" s="679"/>
      <c r="N168" s="679"/>
      <c r="O168" s="679"/>
      <c r="P168" s="679"/>
      <c r="Q168" s="679"/>
      <c r="R168" s="679"/>
      <c r="S168" s="679"/>
      <c r="T168" s="679"/>
      <c r="U168" s="679"/>
      <c r="V168" s="679"/>
      <c r="W168" s="679"/>
      <c r="X168" s="681"/>
      <c r="Y168" s="681"/>
      <c r="Z168" s="679" t="s">
        <v>1367</v>
      </c>
      <c r="AA168" s="682" t="s">
        <v>304</v>
      </c>
    </row>
    <row r="169" spans="1:27" s="64" customFormat="1" x14ac:dyDescent="0.25">
      <c r="A169" s="677" t="s">
        <v>1591</v>
      </c>
      <c r="B169" s="678"/>
      <c r="C169" s="678" t="s">
        <v>1603</v>
      </c>
      <c r="D169" s="678" t="s">
        <v>1609</v>
      </c>
      <c r="E169" s="678" t="s">
        <v>1613</v>
      </c>
      <c r="F169" s="678" t="s">
        <v>53</v>
      </c>
      <c r="G169" s="679" t="s">
        <v>47</v>
      </c>
      <c r="H169" s="678" t="s">
        <v>1366</v>
      </c>
      <c r="I169" s="680">
        <v>3040</v>
      </c>
      <c r="J169" s="680">
        <v>3800</v>
      </c>
      <c r="K169" s="680">
        <v>3800</v>
      </c>
      <c r="L169" s="680">
        <v>4810</v>
      </c>
      <c r="M169" s="679"/>
      <c r="N169" s="679"/>
      <c r="O169" s="679"/>
      <c r="P169" s="679"/>
      <c r="Q169" s="679"/>
      <c r="R169" s="679"/>
      <c r="S169" s="679"/>
      <c r="T169" s="679"/>
      <c r="U169" s="679"/>
      <c r="V169" s="679"/>
      <c r="W169" s="679"/>
      <c r="X169" s="681"/>
      <c r="Y169" s="681"/>
      <c r="Z169" s="679" t="s">
        <v>1367</v>
      </c>
      <c r="AA169" s="682" t="s">
        <v>304</v>
      </c>
    </row>
    <row r="170" spans="1:27" s="64" customFormat="1" x14ac:dyDescent="0.25">
      <c r="A170" s="677" t="s">
        <v>1591</v>
      </c>
      <c r="B170" s="678"/>
      <c r="C170" s="678" t="s">
        <v>1603</v>
      </c>
      <c r="D170" s="678" t="s">
        <v>1608</v>
      </c>
      <c r="E170" s="678" t="s">
        <v>1656</v>
      </c>
      <c r="F170" s="678" t="s">
        <v>53</v>
      </c>
      <c r="G170" s="679" t="s">
        <v>47</v>
      </c>
      <c r="H170" s="678" t="s">
        <v>1366</v>
      </c>
      <c r="I170" s="680">
        <v>2920</v>
      </c>
      <c r="J170" s="680">
        <v>3650</v>
      </c>
      <c r="K170" s="680">
        <v>3650</v>
      </c>
      <c r="L170" s="680">
        <v>4620</v>
      </c>
      <c r="M170" s="679"/>
      <c r="N170" s="679"/>
      <c r="O170" s="679"/>
      <c r="P170" s="679"/>
      <c r="Q170" s="679"/>
      <c r="R170" s="679"/>
      <c r="S170" s="679"/>
      <c r="T170" s="679"/>
      <c r="U170" s="679"/>
      <c r="V170" s="679"/>
      <c r="W170" s="679"/>
      <c r="X170" s="681"/>
      <c r="Y170" s="681"/>
      <c r="Z170" s="679" t="s">
        <v>1367</v>
      </c>
      <c r="AA170" s="682" t="s">
        <v>304</v>
      </c>
    </row>
    <row r="171" spans="1:27" s="64" customFormat="1" x14ac:dyDescent="0.25">
      <c r="A171" s="677" t="s">
        <v>1591</v>
      </c>
      <c r="B171" s="678"/>
      <c r="C171" s="678" t="s">
        <v>1603</v>
      </c>
      <c r="D171" s="678" t="s">
        <v>1391</v>
      </c>
      <c r="E171" s="678" t="s">
        <v>1379</v>
      </c>
      <c r="F171" s="678" t="s">
        <v>53</v>
      </c>
      <c r="G171" s="679" t="s">
        <v>47</v>
      </c>
      <c r="H171" s="678" t="s">
        <v>1366</v>
      </c>
      <c r="I171" s="680">
        <v>3160</v>
      </c>
      <c r="J171" s="680">
        <v>3950</v>
      </c>
      <c r="K171" s="680">
        <v>3950</v>
      </c>
      <c r="L171" s="680">
        <v>5000</v>
      </c>
      <c r="M171" s="679"/>
      <c r="N171" s="679"/>
      <c r="O171" s="679"/>
      <c r="P171" s="679"/>
      <c r="Q171" s="679"/>
      <c r="R171" s="679"/>
      <c r="S171" s="679"/>
      <c r="T171" s="679"/>
      <c r="U171" s="679"/>
      <c r="V171" s="679"/>
      <c r="W171" s="679"/>
      <c r="X171" s="681"/>
      <c r="Y171" s="681"/>
      <c r="Z171" s="679" t="s">
        <v>1367</v>
      </c>
      <c r="AA171" s="682" t="s">
        <v>304</v>
      </c>
    </row>
    <row r="172" spans="1:27" s="64" customFormat="1" x14ac:dyDescent="0.25">
      <c r="A172" s="677" t="s">
        <v>1591</v>
      </c>
      <c r="B172" s="678"/>
      <c r="C172" s="678" t="s">
        <v>1603</v>
      </c>
      <c r="D172" s="678" t="s">
        <v>1391</v>
      </c>
      <c r="E172" s="678" t="s">
        <v>1380</v>
      </c>
      <c r="F172" s="678" t="s">
        <v>53</v>
      </c>
      <c r="G172" s="679" t="s">
        <v>47</v>
      </c>
      <c r="H172" s="678" t="s">
        <v>1366</v>
      </c>
      <c r="I172" s="680">
        <v>3160</v>
      </c>
      <c r="J172" s="680">
        <v>3950</v>
      </c>
      <c r="K172" s="680">
        <v>3950</v>
      </c>
      <c r="L172" s="680">
        <v>5000</v>
      </c>
      <c r="M172" s="679"/>
      <c r="N172" s="679"/>
      <c r="O172" s="679"/>
      <c r="P172" s="679"/>
      <c r="Q172" s="679"/>
      <c r="R172" s="679"/>
      <c r="S172" s="679"/>
      <c r="T172" s="679"/>
      <c r="U172" s="679"/>
      <c r="V172" s="679"/>
      <c r="W172" s="679"/>
      <c r="X172" s="681"/>
      <c r="Y172" s="681"/>
      <c r="Z172" s="679" t="s">
        <v>1367</v>
      </c>
      <c r="AA172" s="682" t="s">
        <v>304</v>
      </c>
    </row>
    <row r="173" spans="1:27" s="64" customFormat="1" x14ac:dyDescent="0.25">
      <c r="A173" s="677" t="s">
        <v>1591</v>
      </c>
      <c r="B173" s="678"/>
      <c r="C173" s="678" t="s">
        <v>1603</v>
      </c>
      <c r="D173" s="678" t="s">
        <v>1608</v>
      </c>
      <c r="E173" s="678" t="s">
        <v>1382</v>
      </c>
      <c r="F173" s="678" t="s">
        <v>53</v>
      </c>
      <c r="G173" s="679" t="s">
        <v>47</v>
      </c>
      <c r="H173" s="678" t="s">
        <v>1366</v>
      </c>
      <c r="I173" s="680">
        <v>2960</v>
      </c>
      <c r="J173" s="680">
        <v>3700</v>
      </c>
      <c r="K173" s="680">
        <v>3700</v>
      </c>
      <c r="L173" s="680">
        <v>4685</v>
      </c>
      <c r="M173" s="679"/>
      <c r="N173" s="679"/>
      <c r="O173" s="679"/>
      <c r="P173" s="679"/>
      <c r="Q173" s="679"/>
      <c r="R173" s="679"/>
      <c r="S173" s="679"/>
      <c r="T173" s="679"/>
      <c r="U173" s="679"/>
      <c r="V173" s="679"/>
      <c r="W173" s="679"/>
      <c r="X173" s="681"/>
      <c r="Y173" s="681"/>
      <c r="Z173" s="679" t="s">
        <v>1367</v>
      </c>
      <c r="AA173" s="682" t="s">
        <v>304</v>
      </c>
    </row>
    <row r="174" spans="1:27" s="64" customFormat="1" x14ac:dyDescent="0.25">
      <c r="A174" s="677" t="s">
        <v>1591</v>
      </c>
      <c r="B174" s="678"/>
      <c r="C174" s="678" t="s">
        <v>1603</v>
      </c>
      <c r="D174" s="678" t="s">
        <v>1608</v>
      </c>
      <c r="E174" s="678" t="s">
        <v>1381</v>
      </c>
      <c r="F174" s="678" t="s">
        <v>53</v>
      </c>
      <c r="G174" s="679" t="s">
        <v>47</v>
      </c>
      <c r="H174" s="678" t="s">
        <v>1366</v>
      </c>
      <c r="I174" s="680">
        <v>3080</v>
      </c>
      <c r="J174" s="680">
        <v>3850</v>
      </c>
      <c r="K174" s="680">
        <v>3850</v>
      </c>
      <c r="L174" s="680">
        <v>4875</v>
      </c>
      <c r="M174" s="679"/>
      <c r="N174" s="679"/>
      <c r="O174" s="679"/>
      <c r="P174" s="679"/>
      <c r="Q174" s="679"/>
      <c r="R174" s="679"/>
      <c r="S174" s="679"/>
      <c r="T174" s="679"/>
      <c r="U174" s="679"/>
      <c r="V174" s="679"/>
      <c r="W174" s="679"/>
      <c r="X174" s="681"/>
      <c r="Y174" s="681"/>
      <c r="Z174" s="679" t="s">
        <v>1367</v>
      </c>
      <c r="AA174" s="682" t="s">
        <v>304</v>
      </c>
    </row>
    <row r="175" spans="1:27" s="64" customFormat="1" x14ac:dyDescent="0.25">
      <c r="A175" s="677" t="s">
        <v>1591</v>
      </c>
      <c r="B175" s="678"/>
      <c r="C175" s="678" t="s">
        <v>1603</v>
      </c>
      <c r="D175" s="678" t="s">
        <v>1391</v>
      </c>
      <c r="E175" s="678" t="s">
        <v>1614</v>
      </c>
      <c r="F175" s="678" t="s">
        <v>357</v>
      </c>
      <c r="G175" s="679" t="s">
        <v>47</v>
      </c>
      <c r="H175" s="678" t="s">
        <v>1366</v>
      </c>
      <c r="I175" s="680">
        <v>3080</v>
      </c>
      <c r="J175" s="680">
        <v>3850</v>
      </c>
      <c r="K175" s="680">
        <v>3850</v>
      </c>
      <c r="L175" s="680">
        <v>4875</v>
      </c>
      <c r="M175" s="679"/>
      <c r="N175" s="679"/>
      <c r="O175" s="679"/>
      <c r="P175" s="679"/>
      <c r="Q175" s="679"/>
      <c r="R175" s="679"/>
      <c r="S175" s="679"/>
      <c r="T175" s="679"/>
      <c r="U175" s="679"/>
      <c r="V175" s="679"/>
      <c r="W175" s="679"/>
      <c r="X175" s="681"/>
      <c r="Y175" s="681"/>
      <c r="Z175" s="679" t="s">
        <v>1367</v>
      </c>
      <c r="AA175" s="682" t="s">
        <v>304</v>
      </c>
    </row>
    <row r="176" spans="1:27" s="64" customFormat="1" x14ac:dyDescent="0.25">
      <c r="A176" s="677" t="s">
        <v>1591</v>
      </c>
      <c r="B176" s="678"/>
      <c r="C176" s="678" t="s">
        <v>1603</v>
      </c>
      <c r="D176" s="678" t="s">
        <v>1391</v>
      </c>
      <c r="E176" s="678" t="s">
        <v>1386</v>
      </c>
      <c r="F176" s="678" t="s">
        <v>53</v>
      </c>
      <c r="G176" s="679" t="s">
        <v>47</v>
      </c>
      <c r="H176" s="678" t="s">
        <v>1366</v>
      </c>
      <c r="I176" s="680">
        <v>3080</v>
      </c>
      <c r="J176" s="680">
        <v>3850</v>
      </c>
      <c r="K176" s="680">
        <v>3850</v>
      </c>
      <c r="L176" s="680">
        <v>4875</v>
      </c>
      <c r="M176" s="679"/>
      <c r="N176" s="679"/>
      <c r="O176" s="679"/>
      <c r="P176" s="679"/>
      <c r="Q176" s="679"/>
      <c r="R176" s="679"/>
      <c r="S176" s="679"/>
      <c r="T176" s="679"/>
      <c r="U176" s="679"/>
      <c r="V176" s="679"/>
      <c r="W176" s="679"/>
      <c r="X176" s="681"/>
      <c r="Y176" s="681"/>
      <c r="Z176" s="679" t="s">
        <v>1367</v>
      </c>
      <c r="AA176" s="682" t="s">
        <v>304</v>
      </c>
    </row>
    <row r="177" spans="1:27" s="64" customFormat="1" x14ac:dyDescent="0.25">
      <c r="A177" s="677" t="s">
        <v>1591</v>
      </c>
      <c r="B177" s="678"/>
      <c r="C177" s="678" t="s">
        <v>1603</v>
      </c>
      <c r="D177" s="678" t="s">
        <v>1615</v>
      </c>
      <c r="E177" s="678" t="s">
        <v>1369</v>
      </c>
      <c r="F177" s="678" t="s">
        <v>53</v>
      </c>
      <c r="G177" s="679" t="s">
        <v>47</v>
      </c>
      <c r="H177" s="678" t="s">
        <v>1366</v>
      </c>
      <c r="I177" s="680">
        <v>3240</v>
      </c>
      <c r="J177" s="680">
        <v>4050</v>
      </c>
      <c r="K177" s="680">
        <v>4050</v>
      </c>
      <c r="L177" s="680">
        <v>5125</v>
      </c>
      <c r="M177" s="679"/>
      <c r="N177" s="679"/>
      <c r="O177" s="679"/>
      <c r="P177" s="679"/>
      <c r="Q177" s="679"/>
      <c r="R177" s="679"/>
      <c r="S177" s="679"/>
      <c r="T177" s="679"/>
      <c r="U177" s="679"/>
      <c r="V177" s="679"/>
      <c r="W177" s="679"/>
      <c r="X177" s="681"/>
      <c r="Y177" s="681"/>
      <c r="Z177" s="679" t="s">
        <v>1367</v>
      </c>
      <c r="AA177" s="682" t="s">
        <v>304</v>
      </c>
    </row>
    <row r="178" spans="1:27" s="64" customFormat="1" x14ac:dyDescent="0.25">
      <c r="A178" s="677" t="s">
        <v>1591</v>
      </c>
      <c r="B178" s="678"/>
      <c r="C178" s="678" t="s">
        <v>1603</v>
      </c>
      <c r="D178" s="678" t="s">
        <v>1615</v>
      </c>
      <c r="E178" s="678" t="s">
        <v>1375</v>
      </c>
      <c r="F178" s="678" t="s">
        <v>53</v>
      </c>
      <c r="G178" s="679" t="s">
        <v>47</v>
      </c>
      <c r="H178" s="678" t="s">
        <v>1366</v>
      </c>
      <c r="I178" s="680">
        <v>3240</v>
      </c>
      <c r="J178" s="680">
        <v>4050</v>
      </c>
      <c r="K178" s="680">
        <v>4050</v>
      </c>
      <c r="L178" s="680">
        <v>5125</v>
      </c>
      <c r="M178" s="679"/>
      <c r="N178" s="679"/>
      <c r="O178" s="679"/>
      <c r="P178" s="679"/>
      <c r="Q178" s="679"/>
      <c r="R178" s="679"/>
      <c r="S178" s="679"/>
      <c r="T178" s="679"/>
      <c r="U178" s="679"/>
      <c r="V178" s="679"/>
      <c r="W178" s="679"/>
      <c r="X178" s="681"/>
      <c r="Y178" s="681"/>
      <c r="Z178" s="679" t="s">
        <v>1367</v>
      </c>
      <c r="AA178" s="682" t="s">
        <v>304</v>
      </c>
    </row>
    <row r="179" spans="1:27" s="64" customFormat="1" x14ac:dyDescent="0.25">
      <c r="A179" s="677" t="s">
        <v>1591</v>
      </c>
      <c r="B179" s="678"/>
      <c r="C179" s="678" t="s">
        <v>1400</v>
      </c>
      <c r="D179" s="678" t="s">
        <v>1390</v>
      </c>
      <c r="E179" s="678"/>
      <c r="F179" s="678" t="s">
        <v>51</v>
      </c>
      <c r="G179" s="679" t="s">
        <v>47</v>
      </c>
      <c r="H179" s="678" t="s">
        <v>1366</v>
      </c>
      <c r="I179" s="680">
        <v>2120</v>
      </c>
      <c r="J179" s="680">
        <v>2650</v>
      </c>
      <c r="K179" s="680">
        <v>2650</v>
      </c>
      <c r="L179" s="680">
        <v>3355</v>
      </c>
      <c r="M179" s="679"/>
      <c r="N179" s="679"/>
      <c r="O179" s="679"/>
      <c r="P179" s="679"/>
      <c r="Q179" s="679"/>
      <c r="R179" s="679"/>
      <c r="S179" s="679"/>
      <c r="T179" s="679"/>
      <c r="U179" s="679"/>
      <c r="V179" s="679"/>
      <c r="W179" s="679"/>
      <c r="X179" s="681"/>
      <c r="Y179" s="681"/>
      <c r="Z179" s="679" t="s">
        <v>1367</v>
      </c>
      <c r="AA179" s="682" t="s">
        <v>389</v>
      </c>
    </row>
    <row r="180" spans="1:27" s="64" customFormat="1" x14ac:dyDescent="0.25">
      <c r="A180" s="677" t="s">
        <v>1591</v>
      </c>
      <c r="B180" s="678"/>
      <c r="C180" s="678" t="s">
        <v>1400</v>
      </c>
      <c r="D180" s="678" t="s">
        <v>1391</v>
      </c>
      <c r="E180" s="678"/>
      <c r="F180" s="678" t="s">
        <v>51</v>
      </c>
      <c r="G180" s="679" t="s">
        <v>47</v>
      </c>
      <c r="H180" s="678" t="s">
        <v>1366</v>
      </c>
      <c r="I180" s="680">
        <v>2120</v>
      </c>
      <c r="J180" s="680">
        <v>2650</v>
      </c>
      <c r="K180" s="680">
        <v>2650</v>
      </c>
      <c r="L180" s="680">
        <v>3355</v>
      </c>
      <c r="M180" s="679"/>
      <c r="N180" s="679"/>
      <c r="O180" s="679"/>
      <c r="P180" s="679"/>
      <c r="Q180" s="679"/>
      <c r="R180" s="679"/>
      <c r="S180" s="679"/>
      <c r="T180" s="679"/>
      <c r="U180" s="679"/>
      <c r="V180" s="679"/>
      <c r="W180" s="679"/>
      <c r="X180" s="681"/>
      <c r="Y180" s="681"/>
      <c r="Z180" s="679" t="s">
        <v>1367</v>
      </c>
      <c r="AA180" s="682" t="s">
        <v>304</v>
      </c>
    </row>
    <row r="181" spans="1:27" s="64" customFormat="1" x14ac:dyDescent="0.25">
      <c r="A181" s="677" t="s">
        <v>1591</v>
      </c>
      <c r="B181" s="678"/>
      <c r="C181" s="678" t="s">
        <v>1400</v>
      </c>
      <c r="D181" s="678" t="s">
        <v>1608</v>
      </c>
      <c r="E181" s="678"/>
      <c r="F181" s="678" t="s">
        <v>51</v>
      </c>
      <c r="G181" s="679" t="s">
        <v>47</v>
      </c>
      <c r="H181" s="678" t="s">
        <v>1366</v>
      </c>
      <c r="I181" s="680">
        <v>2120</v>
      </c>
      <c r="J181" s="680">
        <v>2650</v>
      </c>
      <c r="K181" s="680">
        <v>2650</v>
      </c>
      <c r="L181" s="680">
        <v>3355</v>
      </c>
      <c r="M181" s="679"/>
      <c r="N181" s="679"/>
      <c r="O181" s="679"/>
      <c r="P181" s="679"/>
      <c r="Q181" s="679"/>
      <c r="R181" s="679"/>
      <c r="S181" s="679"/>
      <c r="T181" s="679"/>
      <c r="U181" s="679"/>
      <c r="V181" s="679"/>
      <c r="W181" s="679"/>
      <c r="X181" s="681"/>
      <c r="Y181" s="681"/>
      <c r="Z181" s="679" t="s">
        <v>1367</v>
      </c>
      <c r="AA181" s="682" t="s">
        <v>389</v>
      </c>
    </row>
    <row r="182" spans="1:27" s="64" customFormat="1" x14ac:dyDescent="0.25">
      <c r="A182" s="677" t="s">
        <v>1591</v>
      </c>
      <c r="B182" s="678"/>
      <c r="C182" s="678" t="s">
        <v>1400</v>
      </c>
      <c r="D182" s="678" t="s">
        <v>1609</v>
      </c>
      <c r="E182" s="678"/>
      <c r="F182" s="678" t="s">
        <v>51</v>
      </c>
      <c r="G182" s="679" t="s">
        <v>47</v>
      </c>
      <c r="H182" s="678" t="s">
        <v>1366</v>
      </c>
      <c r="I182" s="680">
        <v>2120</v>
      </c>
      <c r="J182" s="680">
        <v>2650</v>
      </c>
      <c r="K182" s="680">
        <v>2650</v>
      </c>
      <c r="L182" s="680">
        <v>3355</v>
      </c>
      <c r="M182" s="679"/>
      <c r="N182" s="679"/>
      <c r="O182" s="679"/>
      <c r="P182" s="679"/>
      <c r="Q182" s="679"/>
      <c r="R182" s="679"/>
      <c r="S182" s="679"/>
      <c r="T182" s="679"/>
      <c r="U182" s="679"/>
      <c r="V182" s="679"/>
      <c r="W182" s="679"/>
      <c r="X182" s="681"/>
      <c r="Y182" s="681"/>
      <c r="Z182" s="679" t="s">
        <v>1367</v>
      </c>
      <c r="AA182" s="682" t="s">
        <v>304</v>
      </c>
    </row>
    <row r="183" spans="1:27" s="64" customFormat="1" x14ac:dyDescent="0.25">
      <c r="A183" s="677" t="s">
        <v>1591</v>
      </c>
      <c r="B183" s="678"/>
      <c r="C183" s="678" t="s">
        <v>1400</v>
      </c>
      <c r="D183" s="678" t="s">
        <v>1608</v>
      </c>
      <c r="E183" s="678" t="s">
        <v>1387</v>
      </c>
      <c r="F183" s="678" t="s">
        <v>53</v>
      </c>
      <c r="G183" s="679" t="s">
        <v>47</v>
      </c>
      <c r="H183" s="678" t="s">
        <v>1366</v>
      </c>
      <c r="I183" s="680">
        <v>2720</v>
      </c>
      <c r="J183" s="680">
        <v>3400</v>
      </c>
      <c r="K183" s="680">
        <v>3400</v>
      </c>
      <c r="L183" s="680">
        <v>4305</v>
      </c>
      <c r="M183" s="679"/>
      <c r="N183" s="679"/>
      <c r="O183" s="679"/>
      <c r="P183" s="679"/>
      <c r="Q183" s="679"/>
      <c r="R183" s="679"/>
      <c r="S183" s="679"/>
      <c r="T183" s="679"/>
      <c r="U183" s="679"/>
      <c r="V183" s="679"/>
      <c r="W183" s="679"/>
      <c r="X183" s="681"/>
      <c r="Y183" s="681"/>
      <c r="Z183" s="679" t="s">
        <v>1367</v>
      </c>
      <c r="AA183" s="682" t="s">
        <v>304</v>
      </c>
    </row>
    <row r="184" spans="1:27" s="64" customFormat="1" x14ac:dyDescent="0.25">
      <c r="A184" s="677" t="s">
        <v>1591</v>
      </c>
      <c r="B184" s="678"/>
      <c r="C184" s="678" t="s">
        <v>1400</v>
      </c>
      <c r="D184" s="678" t="s">
        <v>1390</v>
      </c>
      <c r="E184" s="678" t="s">
        <v>1610</v>
      </c>
      <c r="F184" s="678" t="s">
        <v>53</v>
      </c>
      <c r="G184" s="679" t="s">
        <v>47</v>
      </c>
      <c r="H184" s="678" t="s">
        <v>1366</v>
      </c>
      <c r="I184" s="680">
        <v>3160</v>
      </c>
      <c r="J184" s="680">
        <v>3950</v>
      </c>
      <c r="K184" s="680">
        <v>3950</v>
      </c>
      <c r="L184" s="680">
        <v>5000</v>
      </c>
      <c r="M184" s="679"/>
      <c r="N184" s="679"/>
      <c r="O184" s="679"/>
      <c r="P184" s="679"/>
      <c r="Q184" s="679"/>
      <c r="R184" s="679"/>
      <c r="S184" s="679"/>
      <c r="T184" s="679"/>
      <c r="U184" s="679"/>
      <c r="V184" s="679"/>
      <c r="W184" s="679"/>
      <c r="X184" s="681"/>
      <c r="Y184" s="681"/>
      <c r="Z184" s="679" t="s">
        <v>1367</v>
      </c>
      <c r="AA184" s="682" t="s">
        <v>304</v>
      </c>
    </row>
    <row r="185" spans="1:27" s="64" customFormat="1" x14ac:dyDescent="0.25">
      <c r="A185" s="677" t="s">
        <v>1591</v>
      </c>
      <c r="B185" s="678"/>
      <c r="C185" s="678" t="s">
        <v>1400</v>
      </c>
      <c r="D185" s="678" t="s">
        <v>1608</v>
      </c>
      <c r="E185" s="678" t="s">
        <v>1389</v>
      </c>
      <c r="F185" s="678" t="s">
        <v>53</v>
      </c>
      <c r="G185" s="679" t="s">
        <v>47</v>
      </c>
      <c r="H185" s="678" t="s">
        <v>1366</v>
      </c>
      <c r="I185" s="680">
        <v>2720</v>
      </c>
      <c r="J185" s="680">
        <v>3400</v>
      </c>
      <c r="K185" s="680">
        <v>3400</v>
      </c>
      <c r="L185" s="680">
        <v>4305</v>
      </c>
      <c r="M185" s="679"/>
      <c r="N185" s="679"/>
      <c r="O185" s="679"/>
      <c r="P185" s="679"/>
      <c r="Q185" s="679"/>
      <c r="R185" s="679"/>
      <c r="S185" s="679"/>
      <c r="T185" s="679"/>
      <c r="U185" s="679"/>
      <c r="V185" s="679"/>
      <c r="W185" s="679"/>
      <c r="X185" s="681"/>
      <c r="Y185" s="681"/>
      <c r="Z185" s="679" t="s">
        <v>1367</v>
      </c>
      <c r="AA185" s="682" t="s">
        <v>304</v>
      </c>
    </row>
    <row r="186" spans="1:27" s="64" customFormat="1" x14ac:dyDescent="0.25">
      <c r="A186" s="677" t="s">
        <v>1591</v>
      </c>
      <c r="B186" s="678"/>
      <c r="C186" s="678" t="s">
        <v>1400</v>
      </c>
      <c r="D186" s="678" t="s">
        <v>1608</v>
      </c>
      <c r="E186" s="678" t="s">
        <v>1611</v>
      </c>
      <c r="F186" s="678" t="s">
        <v>53</v>
      </c>
      <c r="G186" s="679" t="s">
        <v>47</v>
      </c>
      <c r="H186" s="678" t="s">
        <v>1366</v>
      </c>
      <c r="I186" s="680">
        <v>2920</v>
      </c>
      <c r="J186" s="680">
        <v>3650</v>
      </c>
      <c r="K186" s="680">
        <v>3650</v>
      </c>
      <c r="L186" s="680">
        <v>4620</v>
      </c>
      <c r="M186" s="679"/>
      <c r="N186" s="679"/>
      <c r="O186" s="679"/>
      <c r="P186" s="679"/>
      <c r="Q186" s="679"/>
      <c r="R186" s="679"/>
      <c r="S186" s="679"/>
      <c r="T186" s="679"/>
      <c r="U186" s="679"/>
      <c r="V186" s="679"/>
      <c r="W186" s="679"/>
      <c r="X186" s="681"/>
      <c r="Y186" s="681"/>
      <c r="Z186" s="679" t="s">
        <v>1367</v>
      </c>
      <c r="AA186" s="682" t="s">
        <v>304</v>
      </c>
    </row>
    <row r="187" spans="1:27" s="64" customFormat="1" x14ac:dyDescent="0.25">
      <c r="A187" s="677" t="s">
        <v>1591</v>
      </c>
      <c r="B187" s="678"/>
      <c r="C187" s="678" t="s">
        <v>1400</v>
      </c>
      <c r="D187" s="678" t="s">
        <v>1390</v>
      </c>
      <c r="E187" s="678" t="s">
        <v>1369</v>
      </c>
      <c r="F187" s="678" t="s">
        <v>53</v>
      </c>
      <c r="G187" s="679" t="s">
        <v>47</v>
      </c>
      <c r="H187" s="678" t="s">
        <v>1366</v>
      </c>
      <c r="I187" s="680">
        <v>3160</v>
      </c>
      <c r="J187" s="680">
        <v>3950</v>
      </c>
      <c r="K187" s="680">
        <v>3950</v>
      </c>
      <c r="L187" s="680">
        <v>5000</v>
      </c>
      <c r="M187" s="679"/>
      <c r="N187" s="679"/>
      <c r="O187" s="679"/>
      <c r="P187" s="679"/>
      <c r="Q187" s="679"/>
      <c r="R187" s="679"/>
      <c r="S187" s="679"/>
      <c r="T187" s="679"/>
      <c r="U187" s="679"/>
      <c r="V187" s="679"/>
      <c r="W187" s="679"/>
      <c r="X187" s="681"/>
      <c r="Y187" s="681"/>
      <c r="Z187" s="679" t="s">
        <v>1367</v>
      </c>
      <c r="AA187" s="682" t="s">
        <v>304</v>
      </c>
    </row>
    <row r="188" spans="1:27" s="64" customFormat="1" x14ac:dyDescent="0.25">
      <c r="A188" s="677" t="s">
        <v>1591</v>
      </c>
      <c r="B188" s="678"/>
      <c r="C188" s="678" t="s">
        <v>1400</v>
      </c>
      <c r="D188" s="678" t="s">
        <v>1391</v>
      </c>
      <c r="E188" s="678" t="s">
        <v>1369</v>
      </c>
      <c r="F188" s="678" t="s">
        <v>53</v>
      </c>
      <c r="G188" s="679" t="s">
        <v>47</v>
      </c>
      <c r="H188" s="678" t="s">
        <v>1366</v>
      </c>
      <c r="I188" s="680">
        <v>3160</v>
      </c>
      <c r="J188" s="680">
        <v>3950</v>
      </c>
      <c r="K188" s="680">
        <v>3950</v>
      </c>
      <c r="L188" s="680">
        <v>5000</v>
      </c>
      <c r="M188" s="679"/>
      <c r="N188" s="679"/>
      <c r="O188" s="679"/>
      <c r="P188" s="679"/>
      <c r="Q188" s="679"/>
      <c r="R188" s="679"/>
      <c r="S188" s="679"/>
      <c r="T188" s="679"/>
      <c r="U188" s="679"/>
      <c r="V188" s="679"/>
      <c r="W188" s="679"/>
      <c r="X188" s="681"/>
      <c r="Y188" s="681"/>
      <c r="Z188" s="679" t="s">
        <v>1367</v>
      </c>
      <c r="AA188" s="682" t="s">
        <v>304</v>
      </c>
    </row>
    <row r="189" spans="1:27" s="64" customFormat="1" x14ac:dyDescent="0.25">
      <c r="A189" s="677" t="s">
        <v>1591</v>
      </c>
      <c r="B189" s="678"/>
      <c r="C189" s="678" t="s">
        <v>1400</v>
      </c>
      <c r="D189" s="678" t="s">
        <v>1390</v>
      </c>
      <c r="E189" s="678" t="s">
        <v>1370</v>
      </c>
      <c r="F189" s="678" t="s">
        <v>53</v>
      </c>
      <c r="G189" s="679" t="s">
        <v>47</v>
      </c>
      <c r="H189" s="678" t="s">
        <v>1366</v>
      </c>
      <c r="I189" s="680">
        <v>3160</v>
      </c>
      <c r="J189" s="680">
        <v>3950</v>
      </c>
      <c r="K189" s="680">
        <v>3950</v>
      </c>
      <c r="L189" s="680">
        <v>5000</v>
      </c>
      <c r="M189" s="679"/>
      <c r="N189" s="679"/>
      <c r="O189" s="679"/>
      <c r="P189" s="679"/>
      <c r="Q189" s="679"/>
      <c r="R189" s="679"/>
      <c r="S189" s="679"/>
      <c r="T189" s="679"/>
      <c r="U189" s="679"/>
      <c r="V189" s="679"/>
      <c r="W189" s="679"/>
      <c r="X189" s="681"/>
      <c r="Y189" s="681"/>
      <c r="Z189" s="679" t="s">
        <v>1367</v>
      </c>
      <c r="AA189" s="682" t="s">
        <v>304</v>
      </c>
    </row>
    <row r="190" spans="1:27" s="64" customFormat="1" x14ac:dyDescent="0.25">
      <c r="A190" s="677" t="s">
        <v>1591</v>
      </c>
      <c r="B190" s="678"/>
      <c r="C190" s="678" t="s">
        <v>1400</v>
      </c>
      <c r="D190" s="678" t="s">
        <v>1391</v>
      </c>
      <c r="E190" s="678" t="s">
        <v>1370</v>
      </c>
      <c r="F190" s="678" t="s">
        <v>53</v>
      </c>
      <c r="G190" s="679" t="s">
        <v>47</v>
      </c>
      <c r="H190" s="678" t="s">
        <v>1366</v>
      </c>
      <c r="I190" s="680">
        <v>3160</v>
      </c>
      <c r="J190" s="680">
        <v>3950</v>
      </c>
      <c r="K190" s="680">
        <v>3950</v>
      </c>
      <c r="L190" s="680">
        <v>5000</v>
      </c>
      <c r="M190" s="679"/>
      <c r="N190" s="679"/>
      <c r="O190" s="679"/>
      <c r="P190" s="679"/>
      <c r="Q190" s="679"/>
      <c r="R190" s="679"/>
      <c r="S190" s="679"/>
      <c r="T190" s="679"/>
      <c r="U190" s="679"/>
      <c r="V190" s="679"/>
      <c r="W190" s="679"/>
      <c r="X190" s="681"/>
      <c r="Y190" s="681"/>
      <c r="Z190" s="679" t="s">
        <v>1367</v>
      </c>
      <c r="AA190" s="682" t="s">
        <v>304</v>
      </c>
    </row>
    <row r="191" spans="1:27" s="64" customFormat="1" x14ac:dyDescent="0.25">
      <c r="A191" s="677" t="s">
        <v>1591</v>
      </c>
      <c r="B191" s="678"/>
      <c r="C191" s="678" t="s">
        <v>1400</v>
      </c>
      <c r="D191" s="678" t="s">
        <v>1390</v>
      </c>
      <c r="E191" s="678" t="s">
        <v>1371</v>
      </c>
      <c r="F191" s="678" t="s">
        <v>53</v>
      </c>
      <c r="G191" s="679" t="s">
        <v>47</v>
      </c>
      <c r="H191" s="678" t="s">
        <v>1366</v>
      </c>
      <c r="I191" s="680">
        <v>3040</v>
      </c>
      <c r="J191" s="680">
        <v>3800</v>
      </c>
      <c r="K191" s="680">
        <v>3800</v>
      </c>
      <c r="L191" s="680">
        <v>4810</v>
      </c>
      <c r="M191" s="679"/>
      <c r="N191" s="679"/>
      <c r="O191" s="679"/>
      <c r="P191" s="679"/>
      <c r="Q191" s="679"/>
      <c r="R191" s="679"/>
      <c r="S191" s="679"/>
      <c r="T191" s="679"/>
      <c r="U191" s="679"/>
      <c r="V191" s="679"/>
      <c r="W191" s="679"/>
      <c r="X191" s="681"/>
      <c r="Y191" s="681"/>
      <c r="Z191" s="679" t="s">
        <v>1367</v>
      </c>
      <c r="AA191" s="682" t="s">
        <v>304</v>
      </c>
    </row>
    <row r="192" spans="1:27" s="64" customFormat="1" x14ac:dyDescent="0.25">
      <c r="A192" s="677" t="s">
        <v>1591</v>
      </c>
      <c r="B192" s="678"/>
      <c r="C192" s="678" t="s">
        <v>1400</v>
      </c>
      <c r="D192" s="678" t="s">
        <v>1391</v>
      </c>
      <c r="E192" s="678" t="s">
        <v>1371</v>
      </c>
      <c r="F192" s="678" t="s">
        <v>53</v>
      </c>
      <c r="G192" s="679" t="s">
        <v>47</v>
      </c>
      <c r="H192" s="678" t="s">
        <v>1366</v>
      </c>
      <c r="I192" s="680">
        <v>3040</v>
      </c>
      <c r="J192" s="680">
        <v>3800</v>
      </c>
      <c r="K192" s="680">
        <v>3800</v>
      </c>
      <c r="L192" s="680">
        <v>4810</v>
      </c>
      <c r="M192" s="679"/>
      <c r="N192" s="679"/>
      <c r="O192" s="679"/>
      <c r="P192" s="679"/>
      <c r="Q192" s="679"/>
      <c r="R192" s="679"/>
      <c r="S192" s="679"/>
      <c r="T192" s="679"/>
      <c r="U192" s="679"/>
      <c r="V192" s="679"/>
      <c r="W192" s="679"/>
      <c r="X192" s="681"/>
      <c r="Y192" s="681"/>
      <c r="Z192" s="679" t="s">
        <v>1367</v>
      </c>
      <c r="AA192" s="682" t="s">
        <v>304</v>
      </c>
    </row>
    <row r="193" spans="1:27" s="64" customFormat="1" x14ac:dyDescent="0.25">
      <c r="A193" s="677" t="s">
        <v>1591</v>
      </c>
      <c r="B193" s="678"/>
      <c r="C193" s="678" t="s">
        <v>1400</v>
      </c>
      <c r="D193" s="678" t="s">
        <v>1390</v>
      </c>
      <c r="E193" s="678" t="s">
        <v>1372</v>
      </c>
      <c r="F193" s="678" t="s">
        <v>53</v>
      </c>
      <c r="G193" s="679" t="s">
        <v>47</v>
      </c>
      <c r="H193" s="678" t="s">
        <v>1366</v>
      </c>
      <c r="I193" s="680">
        <v>3200</v>
      </c>
      <c r="J193" s="680">
        <v>4000</v>
      </c>
      <c r="K193" s="680">
        <v>4000</v>
      </c>
      <c r="L193" s="680">
        <v>5065</v>
      </c>
      <c r="M193" s="679"/>
      <c r="N193" s="679"/>
      <c r="O193" s="679"/>
      <c r="P193" s="679"/>
      <c r="Q193" s="679"/>
      <c r="R193" s="679"/>
      <c r="S193" s="679"/>
      <c r="T193" s="679"/>
      <c r="U193" s="679"/>
      <c r="V193" s="679"/>
      <c r="W193" s="679"/>
      <c r="X193" s="681"/>
      <c r="Y193" s="681"/>
      <c r="Z193" s="679" t="s">
        <v>1367</v>
      </c>
      <c r="AA193" s="682" t="s">
        <v>304</v>
      </c>
    </row>
    <row r="194" spans="1:27" s="64" customFormat="1" x14ac:dyDescent="0.25">
      <c r="A194" s="677" t="s">
        <v>1591</v>
      </c>
      <c r="B194" s="678"/>
      <c r="C194" s="678" t="s">
        <v>1400</v>
      </c>
      <c r="D194" s="678" t="s">
        <v>1391</v>
      </c>
      <c r="E194" s="678" t="s">
        <v>1372</v>
      </c>
      <c r="F194" s="678" t="s">
        <v>53</v>
      </c>
      <c r="G194" s="679" t="s">
        <v>47</v>
      </c>
      <c r="H194" s="678" t="s">
        <v>1366</v>
      </c>
      <c r="I194" s="680">
        <v>3200</v>
      </c>
      <c r="J194" s="680">
        <v>4000</v>
      </c>
      <c r="K194" s="680">
        <v>4000</v>
      </c>
      <c r="L194" s="680">
        <v>5065</v>
      </c>
      <c r="M194" s="679"/>
      <c r="N194" s="679"/>
      <c r="O194" s="679"/>
      <c r="P194" s="679"/>
      <c r="Q194" s="679"/>
      <c r="R194" s="679"/>
      <c r="S194" s="679"/>
      <c r="T194" s="679"/>
      <c r="U194" s="679"/>
      <c r="V194" s="679"/>
      <c r="W194" s="679"/>
      <c r="X194" s="681"/>
      <c r="Y194" s="681"/>
      <c r="Z194" s="679" t="s">
        <v>1367</v>
      </c>
      <c r="AA194" s="682" t="s">
        <v>304</v>
      </c>
    </row>
    <row r="195" spans="1:27" s="64" customFormat="1" x14ac:dyDescent="0.25">
      <c r="A195" s="677" t="s">
        <v>1591</v>
      </c>
      <c r="B195" s="678"/>
      <c r="C195" s="678" t="s">
        <v>1400</v>
      </c>
      <c r="D195" s="678" t="s">
        <v>1391</v>
      </c>
      <c r="E195" s="678" t="s">
        <v>1375</v>
      </c>
      <c r="F195" s="678" t="s">
        <v>53</v>
      </c>
      <c r="G195" s="679" t="s">
        <v>47</v>
      </c>
      <c r="H195" s="678" t="s">
        <v>1366</v>
      </c>
      <c r="I195" s="680">
        <v>3120</v>
      </c>
      <c r="J195" s="680">
        <v>3900</v>
      </c>
      <c r="K195" s="680">
        <v>3900</v>
      </c>
      <c r="L195" s="680">
        <v>4935</v>
      </c>
      <c r="M195" s="679"/>
      <c r="N195" s="679"/>
      <c r="O195" s="679"/>
      <c r="P195" s="679"/>
      <c r="Q195" s="679"/>
      <c r="R195" s="679"/>
      <c r="S195" s="679"/>
      <c r="T195" s="679"/>
      <c r="U195" s="679"/>
      <c r="V195" s="679"/>
      <c r="W195" s="679"/>
      <c r="X195" s="681"/>
      <c r="Y195" s="681"/>
      <c r="Z195" s="679" t="s">
        <v>1367</v>
      </c>
      <c r="AA195" s="682" t="s">
        <v>304</v>
      </c>
    </row>
    <row r="196" spans="1:27" s="64" customFormat="1" x14ac:dyDescent="0.25">
      <c r="A196" s="677" t="s">
        <v>1591</v>
      </c>
      <c r="B196" s="678"/>
      <c r="C196" s="678" t="s">
        <v>1400</v>
      </c>
      <c r="D196" s="678" t="s">
        <v>1609</v>
      </c>
      <c r="E196" s="678" t="s">
        <v>1612</v>
      </c>
      <c r="F196" s="678" t="s">
        <v>53</v>
      </c>
      <c r="G196" s="679" t="s">
        <v>47</v>
      </c>
      <c r="H196" s="678" t="s">
        <v>1366</v>
      </c>
      <c r="I196" s="680">
        <v>2760</v>
      </c>
      <c r="J196" s="680">
        <v>3450</v>
      </c>
      <c r="K196" s="680">
        <v>3450</v>
      </c>
      <c r="L196" s="680">
        <v>4370</v>
      </c>
      <c r="M196" s="679"/>
      <c r="N196" s="679"/>
      <c r="O196" s="679"/>
      <c r="P196" s="679"/>
      <c r="Q196" s="679"/>
      <c r="R196" s="679"/>
      <c r="S196" s="679"/>
      <c r="T196" s="679"/>
      <c r="U196" s="679"/>
      <c r="V196" s="679"/>
      <c r="W196" s="679"/>
      <c r="X196" s="681"/>
      <c r="Y196" s="681"/>
      <c r="Z196" s="679" t="s">
        <v>1367</v>
      </c>
      <c r="AA196" s="682" t="s">
        <v>304</v>
      </c>
    </row>
    <row r="197" spans="1:27" s="64" customFormat="1" x14ac:dyDescent="0.25">
      <c r="A197" s="677" t="s">
        <v>1591</v>
      </c>
      <c r="B197" s="678"/>
      <c r="C197" s="678" t="s">
        <v>1400</v>
      </c>
      <c r="D197" s="678" t="s">
        <v>1609</v>
      </c>
      <c r="E197" s="678" t="s">
        <v>1613</v>
      </c>
      <c r="F197" s="678" t="s">
        <v>53</v>
      </c>
      <c r="G197" s="679" t="s">
        <v>47</v>
      </c>
      <c r="H197" s="678" t="s">
        <v>1366</v>
      </c>
      <c r="I197" s="680">
        <v>3040</v>
      </c>
      <c r="J197" s="680">
        <v>3800</v>
      </c>
      <c r="K197" s="680">
        <v>3800</v>
      </c>
      <c r="L197" s="680">
        <v>4810</v>
      </c>
      <c r="M197" s="679"/>
      <c r="N197" s="679"/>
      <c r="O197" s="679"/>
      <c r="P197" s="679"/>
      <c r="Q197" s="679"/>
      <c r="R197" s="679"/>
      <c r="S197" s="679"/>
      <c r="T197" s="679"/>
      <c r="U197" s="679"/>
      <c r="V197" s="679"/>
      <c r="W197" s="679"/>
      <c r="X197" s="681"/>
      <c r="Y197" s="681"/>
      <c r="Z197" s="679" t="s">
        <v>1367</v>
      </c>
      <c r="AA197" s="682" t="s">
        <v>304</v>
      </c>
    </row>
    <row r="198" spans="1:27" s="64" customFormat="1" x14ac:dyDescent="0.25">
      <c r="A198" s="677" t="s">
        <v>1591</v>
      </c>
      <c r="B198" s="678"/>
      <c r="C198" s="678" t="s">
        <v>1400</v>
      </c>
      <c r="D198" s="678" t="s">
        <v>1608</v>
      </c>
      <c r="E198" s="678" t="s">
        <v>1656</v>
      </c>
      <c r="F198" s="678" t="s">
        <v>53</v>
      </c>
      <c r="G198" s="679" t="s">
        <v>47</v>
      </c>
      <c r="H198" s="678" t="s">
        <v>1366</v>
      </c>
      <c r="I198" s="680">
        <v>2920</v>
      </c>
      <c r="J198" s="680">
        <v>3650</v>
      </c>
      <c r="K198" s="680">
        <v>3650</v>
      </c>
      <c r="L198" s="680">
        <v>4620</v>
      </c>
      <c r="M198" s="679"/>
      <c r="N198" s="679"/>
      <c r="O198" s="679"/>
      <c r="P198" s="679"/>
      <c r="Q198" s="679"/>
      <c r="R198" s="679"/>
      <c r="S198" s="679"/>
      <c r="T198" s="679"/>
      <c r="U198" s="679"/>
      <c r="V198" s="679"/>
      <c r="W198" s="679"/>
      <c r="X198" s="681"/>
      <c r="Y198" s="681"/>
      <c r="Z198" s="679" t="s">
        <v>1367</v>
      </c>
      <c r="AA198" s="682" t="s">
        <v>304</v>
      </c>
    </row>
    <row r="199" spans="1:27" s="64" customFormat="1" x14ac:dyDescent="0.25">
      <c r="A199" s="677" t="s">
        <v>1591</v>
      </c>
      <c r="B199" s="678"/>
      <c r="C199" s="678" t="s">
        <v>1400</v>
      </c>
      <c r="D199" s="678" t="s">
        <v>1391</v>
      </c>
      <c r="E199" s="678" t="s">
        <v>1379</v>
      </c>
      <c r="F199" s="678" t="s">
        <v>53</v>
      </c>
      <c r="G199" s="679" t="s">
        <v>47</v>
      </c>
      <c r="H199" s="678" t="s">
        <v>1366</v>
      </c>
      <c r="I199" s="680">
        <v>3160</v>
      </c>
      <c r="J199" s="680">
        <v>3950</v>
      </c>
      <c r="K199" s="680">
        <v>3950</v>
      </c>
      <c r="L199" s="680">
        <v>5000</v>
      </c>
      <c r="M199" s="679"/>
      <c r="N199" s="679"/>
      <c r="O199" s="679"/>
      <c r="P199" s="679"/>
      <c r="Q199" s="679"/>
      <c r="R199" s="679"/>
      <c r="S199" s="679"/>
      <c r="T199" s="679"/>
      <c r="U199" s="679"/>
      <c r="V199" s="679"/>
      <c r="W199" s="679"/>
      <c r="X199" s="681"/>
      <c r="Y199" s="681"/>
      <c r="Z199" s="679" t="s">
        <v>1367</v>
      </c>
      <c r="AA199" s="682" t="s">
        <v>304</v>
      </c>
    </row>
    <row r="200" spans="1:27" s="64" customFormat="1" x14ac:dyDescent="0.25">
      <c r="A200" s="677" t="s">
        <v>1591</v>
      </c>
      <c r="B200" s="678"/>
      <c r="C200" s="678" t="s">
        <v>1400</v>
      </c>
      <c r="D200" s="678" t="s">
        <v>1391</v>
      </c>
      <c r="E200" s="678" t="s">
        <v>1380</v>
      </c>
      <c r="F200" s="678" t="s">
        <v>53</v>
      </c>
      <c r="G200" s="679" t="s">
        <v>47</v>
      </c>
      <c r="H200" s="678" t="s">
        <v>1366</v>
      </c>
      <c r="I200" s="680">
        <v>3160</v>
      </c>
      <c r="J200" s="680">
        <v>3950</v>
      </c>
      <c r="K200" s="680">
        <v>3950</v>
      </c>
      <c r="L200" s="680">
        <v>5000</v>
      </c>
      <c r="M200" s="679"/>
      <c r="N200" s="679"/>
      <c r="O200" s="679"/>
      <c r="P200" s="679"/>
      <c r="Q200" s="679"/>
      <c r="R200" s="679"/>
      <c r="S200" s="679"/>
      <c r="T200" s="679"/>
      <c r="U200" s="679"/>
      <c r="V200" s="679"/>
      <c r="W200" s="679"/>
      <c r="X200" s="681"/>
      <c r="Y200" s="681"/>
      <c r="Z200" s="679" t="s">
        <v>1367</v>
      </c>
      <c r="AA200" s="682" t="s">
        <v>304</v>
      </c>
    </row>
    <row r="201" spans="1:27" s="64" customFormat="1" x14ac:dyDescent="0.25">
      <c r="A201" s="677" t="s">
        <v>1591</v>
      </c>
      <c r="B201" s="678"/>
      <c r="C201" s="678" t="s">
        <v>1400</v>
      </c>
      <c r="D201" s="678" t="s">
        <v>1608</v>
      </c>
      <c r="E201" s="678" t="s">
        <v>1382</v>
      </c>
      <c r="F201" s="678" t="s">
        <v>53</v>
      </c>
      <c r="G201" s="679" t="s">
        <v>47</v>
      </c>
      <c r="H201" s="678" t="s">
        <v>1366</v>
      </c>
      <c r="I201" s="680">
        <v>2960</v>
      </c>
      <c r="J201" s="680">
        <v>3700</v>
      </c>
      <c r="K201" s="680">
        <v>3700</v>
      </c>
      <c r="L201" s="680">
        <v>4685</v>
      </c>
      <c r="M201" s="679"/>
      <c r="N201" s="679"/>
      <c r="O201" s="679"/>
      <c r="P201" s="679"/>
      <c r="Q201" s="679"/>
      <c r="R201" s="679"/>
      <c r="S201" s="679"/>
      <c r="T201" s="679"/>
      <c r="U201" s="679"/>
      <c r="V201" s="679"/>
      <c r="W201" s="679"/>
      <c r="X201" s="681"/>
      <c r="Y201" s="681"/>
      <c r="Z201" s="679" t="s">
        <v>1367</v>
      </c>
      <c r="AA201" s="682" t="s">
        <v>304</v>
      </c>
    </row>
    <row r="202" spans="1:27" s="64" customFormat="1" x14ac:dyDescent="0.25">
      <c r="A202" s="677" t="s">
        <v>1591</v>
      </c>
      <c r="B202" s="678"/>
      <c r="C202" s="678" t="s">
        <v>1400</v>
      </c>
      <c r="D202" s="678" t="s">
        <v>1608</v>
      </c>
      <c r="E202" s="678" t="s">
        <v>1381</v>
      </c>
      <c r="F202" s="678" t="s">
        <v>53</v>
      </c>
      <c r="G202" s="679" t="s">
        <v>47</v>
      </c>
      <c r="H202" s="678" t="s">
        <v>1366</v>
      </c>
      <c r="I202" s="680">
        <v>3080</v>
      </c>
      <c r="J202" s="680">
        <v>3850</v>
      </c>
      <c r="K202" s="680">
        <v>3850</v>
      </c>
      <c r="L202" s="680">
        <v>4875</v>
      </c>
      <c r="M202" s="679"/>
      <c r="N202" s="679"/>
      <c r="O202" s="679"/>
      <c r="P202" s="679"/>
      <c r="Q202" s="679"/>
      <c r="R202" s="679"/>
      <c r="S202" s="679"/>
      <c r="T202" s="679"/>
      <c r="U202" s="679"/>
      <c r="V202" s="679"/>
      <c r="W202" s="679"/>
      <c r="X202" s="681"/>
      <c r="Y202" s="681"/>
      <c r="Z202" s="679" t="s">
        <v>1367</v>
      </c>
      <c r="AA202" s="682" t="s">
        <v>304</v>
      </c>
    </row>
    <row r="203" spans="1:27" s="64" customFormat="1" x14ac:dyDescent="0.25">
      <c r="A203" s="677" t="s">
        <v>1591</v>
      </c>
      <c r="B203" s="678"/>
      <c r="C203" s="678" t="s">
        <v>1400</v>
      </c>
      <c r="D203" s="678" t="s">
        <v>1391</v>
      </c>
      <c r="E203" s="678" t="s">
        <v>1614</v>
      </c>
      <c r="F203" s="678" t="s">
        <v>357</v>
      </c>
      <c r="G203" s="679" t="s">
        <v>47</v>
      </c>
      <c r="H203" s="678" t="s">
        <v>1366</v>
      </c>
      <c r="I203" s="680">
        <v>3080</v>
      </c>
      <c r="J203" s="680">
        <v>3850</v>
      </c>
      <c r="K203" s="680">
        <v>3850</v>
      </c>
      <c r="L203" s="680">
        <v>4875</v>
      </c>
      <c r="M203" s="679"/>
      <c r="N203" s="679"/>
      <c r="O203" s="679"/>
      <c r="P203" s="679"/>
      <c r="Q203" s="679"/>
      <c r="R203" s="679"/>
      <c r="S203" s="679"/>
      <c r="T203" s="679"/>
      <c r="U203" s="679"/>
      <c r="V203" s="679"/>
      <c r="W203" s="679"/>
      <c r="X203" s="681"/>
      <c r="Y203" s="681"/>
      <c r="Z203" s="679" t="s">
        <v>1367</v>
      </c>
      <c r="AA203" s="682" t="s">
        <v>304</v>
      </c>
    </row>
    <row r="204" spans="1:27" s="64" customFormat="1" x14ac:dyDescent="0.25">
      <c r="A204" s="677" t="s">
        <v>1591</v>
      </c>
      <c r="B204" s="678"/>
      <c r="C204" s="678" t="s">
        <v>1400</v>
      </c>
      <c r="D204" s="678" t="s">
        <v>1391</v>
      </c>
      <c r="E204" s="678" t="s">
        <v>1386</v>
      </c>
      <c r="F204" s="678" t="s">
        <v>53</v>
      </c>
      <c r="G204" s="679" t="s">
        <v>47</v>
      </c>
      <c r="H204" s="678" t="s">
        <v>1366</v>
      </c>
      <c r="I204" s="680">
        <v>3080</v>
      </c>
      <c r="J204" s="680">
        <v>3850</v>
      </c>
      <c r="K204" s="680">
        <v>3850</v>
      </c>
      <c r="L204" s="680">
        <v>4875</v>
      </c>
      <c r="M204" s="679"/>
      <c r="N204" s="679"/>
      <c r="O204" s="679"/>
      <c r="P204" s="679"/>
      <c r="Q204" s="679"/>
      <c r="R204" s="679"/>
      <c r="S204" s="679"/>
      <c r="T204" s="679"/>
      <c r="U204" s="679"/>
      <c r="V204" s="679"/>
      <c r="W204" s="679"/>
      <c r="X204" s="681"/>
      <c r="Y204" s="681"/>
      <c r="Z204" s="679" t="s">
        <v>1367</v>
      </c>
      <c r="AA204" s="682" t="s">
        <v>304</v>
      </c>
    </row>
    <row r="205" spans="1:27" s="64" customFormat="1" x14ac:dyDescent="0.25">
      <c r="A205" s="677" t="s">
        <v>1591</v>
      </c>
      <c r="B205" s="678"/>
      <c r="C205" s="678" t="s">
        <v>1400</v>
      </c>
      <c r="D205" s="678" t="s">
        <v>1615</v>
      </c>
      <c r="E205" s="678" t="s">
        <v>1369</v>
      </c>
      <c r="F205" s="678" t="s">
        <v>53</v>
      </c>
      <c r="G205" s="679" t="s">
        <v>47</v>
      </c>
      <c r="H205" s="678" t="s">
        <v>1366</v>
      </c>
      <c r="I205" s="680">
        <v>3240</v>
      </c>
      <c r="J205" s="680">
        <v>4050</v>
      </c>
      <c r="K205" s="680">
        <v>4050</v>
      </c>
      <c r="L205" s="680">
        <v>5125</v>
      </c>
      <c r="M205" s="679"/>
      <c r="N205" s="679"/>
      <c r="O205" s="679"/>
      <c r="P205" s="679"/>
      <c r="Q205" s="679"/>
      <c r="R205" s="679"/>
      <c r="S205" s="679"/>
      <c r="T205" s="679"/>
      <c r="U205" s="679"/>
      <c r="V205" s="679"/>
      <c r="W205" s="679"/>
      <c r="X205" s="681"/>
      <c r="Y205" s="681"/>
      <c r="Z205" s="679" t="s">
        <v>1367</v>
      </c>
      <c r="AA205" s="682" t="s">
        <v>304</v>
      </c>
    </row>
    <row r="206" spans="1:27" s="64" customFormat="1" x14ac:dyDescent="0.25">
      <c r="A206" s="677" t="s">
        <v>1591</v>
      </c>
      <c r="B206" s="678"/>
      <c r="C206" s="678" t="s">
        <v>1400</v>
      </c>
      <c r="D206" s="678" t="s">
        <v>1615</v>
      </c>
      <c r="E206" s="678" t="s">
        <v>1375</v>
      </c>
      <c r="F206" s="678" t="s">
        <v>53</v>
      </c>
      <c r="G206" s="679" t="s">
        <v>47</v>
      </c>
      <c r="H206" s="678" t="s">
        <v>1366</v>
      </c>
      <c r="I206" s="680">
        <v>3240</v>
      </c>
      <c r="J206" s="680">
        <v>4050</v>
      </c>
      <c r="K206" s="680">
        <v>4050</v>
      </c>
      <c r="L206" s="680">
        <v>5125</v>
      </c>
      <c r="M206" s="679"/>
      <c r="N206" s="679"/>
      <c r="O206" s="679"/>
      <c r="P206" s="679"/>
      <c r="Q206" s="679"/>
      <c r="R206" s="679"/>
      <c r="S206" s="679"/>
      <c r="T206" s="679"/>
      <c r="U206" s="679"/>
      <c r="V206" s="679"/>
      <c r="W206" s="679"/>
      <c r="X206" s="681"/>
      <c r="Y206" s="681"/>
      <c r="Z206" s="679" t="s">
        <v>1367</v>
      </c>
      <c r="AA206" s="682" t="s">
        <v>304</v>
      </c>
    </row>
    <row r="207" spans="1:27" s="64" customFormat="1" x14ac:dyDescent="0.25">
      <c r="A207" s="677" t="s">
        <v>1591</v>
      </c>
      <c r="B207" s="678"/>
      <c r="C207" s="678" t="s">
        <v>1616</v>
      </c>
      <c r="D207" s="678" t="s">
        <v>1391</v>
      </c>
      <c r="E207" s="678"/>
      <c r="F207" s="678" t="s">
        <v>51</v>
      </c>
      <c r="G207" s="679" t="s">
        <v>47</v>
      </c>
      <c r="H207" s="678" t="s">
        <v>1366</v>
      </c>
      <c r="I207" s="680">
        <v>2465</v>
      </c>
      <c r="J207" s="680">
        <v>2900</v>
      </c>
      <c r="K207" s="680">
        <v>2900</v>
      </c>
      <c r="L207" s="680">
        <v>3670</v>
      </c>
      <c r="M207" s="679"/>
      <c r="N207" s="679"/>
      <c r="O207" s="679"/>
      <c r="P207" s="679"/>
      <c r="Q207" s="679"/>
      <c r="R207" s="679"/>
      <c r="S207" s="679"/>
      <c r="T207" s="679"/>
      <c r="U207" s="679"/>
      <c r="V207" s="679"/>
      <c r="W207" s="679"/>
      <c r="X207" s="681"/>
      <c r="Y207" s="681"/>
      <c r="Z207" s="679" t="s">
        <v>1367</v>
      </c>
      <c r="AA207" s="682" t="s">
        <v>304</v>
      </c>
    </row>
    <row r="208" spans="1:27" s="64" customFormat="1" x14ac:dyDescent="0.25">
      <c r="A208" s="677" t="s">
        <v>1591</v>
      </c>
      <c r="B208" s="678"/>
      <c r="C208" s="678" t="s">
        <v>1616</v>
      </c>
      <c r="D208" s="678" t="s">
        <v>1608</v>
      </c>
      <c r="E208" s="678"/>
      <c r="F208" s="678" t="s">
        <v>51</v>
      </c>
      <c r="G208" s="679" t="s">
        <v>47</v>
      </c>
      <c r="H208" s="678" t="s">
        <v>1366</v>
      </c>
      <c r="I208" s="680">
        <v>2465</v>
      </c>
      <c r="J208" s="680">
        <v>2900</v>
      </c>
      <c r="K208" s="680">
        <v>2900</v>
      </c>
      <c r="L208" s="680">
        <v>3670</v>
      </c>
      <c r="M208" s="679"/>
      <c r="N208" s="679"/>
      <c r="O208" s="679"/>
      <c r="P208" s="679"/>
      <c r="Q208" s="679"/>
      <c r="R208" s="679"/>
      <c r="S208" s="679"/>
      <c r="T208" s="679"/>
      <c r="U208" s="679"/>
      <c r="V208" s="679"/>
      <c r="W208" s="679"/>
      <c r="X208" s="681"/>
      <c r="Y208" s="681"/>
      <c r="Z208" s="679" t="s">
        <v>1367</v>
      </c>
      <c r="AA208" s="682" t="s">
        <v>389</v>
      </c>
    </row>
    <row r="209" spans="1:27" s="64" customFormat="1" x14ac:dyDescent="0.25">
      <c r="A209" s="677" t="s">
        <v>1591</v>
      </c>
      <c r="B209" s="678"/>
      <c r="C209" s="678" t="s">
        <v>1616</v>
      </c>
      <c r="D209" s="678" t="s">
        <v>1609</v>
      </c>
      <c r="E209" s="678"/>
      <c r="F209" s="678" t="s">
        <v>51</v>
      </c>
      <c r="G209" s="679" t="s">
        <v>47</v>
      </c>
      <c r="H209" s="678" t="s">
        <v>1366</v>
      </c>
      <c r="I209" s="680">
        <v>2465</v>
      </c>
      <c r="J209" s="680">
        <v>2900</v>
      </c>
      <c r="K209" s="680">
        <v>2900</v>
      </c>
      <c r="L209" s="680">
        <v>3670</v>
      </c>
      <c r="M209" s="679"/>
      <c r="N209" s="679"/>
      <c r="O209" s="679"/>
      <c r="P209" s="679"/>
      <c r="Q209" s="679"/>
      <c r="R209" s="679"/>
      <c r="S209" s="679"/>
      <c r="T209" s="679"/>
      <c r="U209" s="679"/>
      <c r="V209" s="679"/>
      <c r="W209" s="679"/>
      <c r="X209" s="681"/>
      <c r="Y209" s="681"/>
      <c r="Z209" s="679" t="s">
        <v>1367</v>
      </c>
      <c r="AA209" s="682" t="s">
        <v>304</v>
      </c>
    </row>
    <row r="210" spans="1:27" s="64" customFormat="1" x14ac:dyDescent="0.25">
      <c r="A210" s="677" t="s">
        <v>1591</v>
      </c>
      <c r="B210" s="678"/>
      <c r="C210" s="678" t="s">
        <v>1616</v>
      </c>
      <c r="D210" s="678" t="s">
        <v>1608</v>
      </c>
      <c r="E210" s="678" t="s">
        <v>1387</v>
      </c>
      <c r="F210" s="678" t="s">
        <v>53</v>
      </c>
      <c r="G210" s="679" t="s">
        <v>47</v>
      </c>
      <c r="H210" s="678" t="s">
        <v>1366</v>
      </c>
      <c r="I210" s="680">
        <v>3230</v>
      </c>
      <c r="J210" s="680">
        <v>3800</v>
      </c>
      <c r="K210" s="680">
        <v>3800</v>
      </c>
      <c r="L210" s="680">
        <v>4810</v>
      </c>
      <c r="M210" s="679"/>
      <c r="N210" s="679"/>
      <c r="O210" s="679"/>
      <c r="P210" s="679"/>
      <c r="Q210" s="679"/>
      <c r="R210" s="679"/>
      <c r="S210" s="679"/>
      <c r="T210" s="679"/>
      <c r="U210" s="679"/>
      <c r="V210" s="679"/>
      <c r="W210" s="679"/>
      <c r="X210" s="681"/>
      <c r="Y210" s="681"/>
      <c r="Z210" s="679" t="s">
        <v>1367</v>
      </c>
      <c r="AA210" s="682" t="s">
        <v>304</v>
      </c>
    </row>
    <row r="211" spans="1:27" s="64" customFormat="1" x14ac:dyDescent="0.25">
      <c r="A211" s="677" t="s">
        <v>1591</v>
      </c>
      <c r="B211" s="678"/>
      <c r="C211" s="678" t="s">
        <v>1616</v>
      </c>
      <c r="D211" s="678" t="s">
        <v>1608</v>
      </c>
      <c r="E211" s="678" t="s">
        <v>1389</v>
      </c>
      <c r="F211" s="678" t="s">
        <v>53</v>
      </c>
      <c r="G211" s="679" t="s">
        <v>47</v>
      </c>
      <c r="H211" s="678" t="s">
        <v>1366</v>
      </c>
      <c r="I211" s="680">
        <v>3230</v>
      </c>
      <c r="J211" s="680">
        <v>3800</v>
      </c>
      <c r="K211" s="680">
        <v>3800</v>
      </c>
      <c r="L211" s="680">
        <v>4810</v>
      </c>
      <c r="M211" s="679"/>
      <c r="N211" s="679"/>
      <c r="O211" s="679"/>
      <c r="P211" s="679"/>
      <c r="Q211" s="679"/>
      <c r="R211" s="679"/>
      <c r="S211" s="679"/>
      <c r="T211" s="679"/>
      <c r="U211" s="679"/>
      <c r="V211" s="679"/>
      <c r="W211" s="679"/>
      <c r="X211" s="681"/>
      <c r="Y211" s="681"/>
      <c r="Z211" s="679" t="s">
        <v>1367</v>
      </c>
      <c r="AA211" s="682" t="s">
        <v>304</v>
      </c>
    </row>
    <row r="212" spans="1:27" s="64" customFormat="1" x14ac:dyDescent="0.25">
      <c r="A212" s="677" t="s">
        <v>1591</v>
      </c>
      <c r="B212" s="678"/>
      <c r="C212" s="678" t="s">
        <v>1616</v>
      </c>
      <c r="D212" s="678" t="s">
        <v>1608</v>
      </c>
      <c r="E212" s="678" t="s">
        <v>1611</v>
      </c>
      <c r="F212" s="678" t="s">
        <v>53</v>
      </c>
      <c r="G212" s="679" t="s">
        <v>47</v>
      </c>
      <c r="H212" s="678" t="s">
        <v>1366</v>
      </c>
      <c r="I212" s="680">
        <v>3825</v>
      </c>
      <c r="J212" s="680">
        <v>4500</v>
      </c>
      <c r="K212" s="680">
        <v>4500</v>
      </c>
      <c r="L212" s="680">
        <v>5695</v>
      </c>
      <c r="M212" s="679"/>
      <c r="N212" s="679"/>
      <c r="O212" s="679"/>
      <c r="P212" s="679"/>
      <c r="Q212" s="679"/>
      <c r="R212" s="679"/>
      <c r="S212" s="679"/>
      <c r="T212" s="679"/>
      <c r="U212" s="679"/>
      <c r="V212" s="679"/>
      <c r="W212" s="679"/>
      <c r="X212" s="681"/>
      <c r="Y212" s="681"/>
      <c r="Z212" s="679" t="s">
        <v>1367</v>
      </c>
      <c r="AA212" s="682" t="s">
        <v>304</v>
      </c>
    </row>
    <row r="213" spans="1:27" s="64" customFormat="1" x14ac:dyDescent="0.25">
      <c r="A213" s="677" t="s">
        <v>1591</v>
      </c>
      <c r="B213" s="678"/>
      <c r="C213" s="678" t="s">
        <v>1616</v>
      </c>
      <c r="D213" s="678" t="s">
        <v>1391</v>
      </c>
      <c r="E213" s="678" t="s">
        <v>1369</v>
      </c>
      <c r="F213" s="678" t="s">
        <v>53</v>
      </c>
      <c r="G213" s="679" t="s">
        <v>47</v>
      </c>
      <c r="H213" s="678" t="s">
        <v>1366</v>
      </c>
      <c r="I213" s="680">
        <v>3740</v>
      </c>
      <c r="J213" s="680">
        <v>4400</v>
      </c>
      <c r="K213" s="680">
        <v>4400</v>
      </c>
      <c r="L213" s="680">
        <v>5570</v>
      </c>
      <c r="M213" s="679"/>
      <c r="N213" s="679"/>
      <c r="O213" s="679"/>
      <c r="P213" s="679"/>
      <c r="Q213" s="679"/>
      <c r="R213" s="679"/>
      <c r="S213" s="679"/>
      <c r="T213" s="679"/>
      <c r="U213" s="679"/>
      <c r="V213" s="679"/>
      <c r="W213" s="679"/>
      <c r="X213" s="681"/>
      <c r="Y213" s="681"/>
      <c r="Z213" s="679" t="s">
        <v>1367</v>
      </c>
      <c r="AA213" s="682" t="s">
        <v>304</v>
      </c>
    </row>
    <row r="214" spans="1:27" s="64" customFormat="1" x14ac:dyDescent="0.25">
      <c r="A214" s="677" t="s">
        <v>1591</v>
      </c>
      <c r="B214" s="678"/>
      <c r="C214" s="678" t="s">
        <v>1616</v>
      </c>
      <c r="D214" s="678" t="s">
        <v>1391</v>
      </c>
      <c r="E214" s="678" t="s">
        <v>1370</v>
      </c>
      <c r="F214" s="678" t="s">
        <v>53</v>
      </c>
      <c r="G214" s="679" t="s">
        <v>47</v>
      </c>
      <c r="H214" s="678" t="s">
        <v>1366</v>
      </c>
      <c r="I214" s="680">
        <v>3740</v>
      </c>
      <c r="J214" s="680">
        <v>4400</v>
      </c>
      <c r="K214" s="680">
        <v>4400</v>
      </c>
      <c r="L214" s="680">
        <v>5570</v>
      </c>
      <c r="M214" s="679"/>
      <c r="N214" s="679"/>
      <c r="O214" s="679"/>
      <c r="P214" s="679"/>
      <c r="Q214" s="679"/>
      <c r="R214" s="679"/>
      <c r="S214" s="679"/>
      <c r="T214" s="679"/>
      <c r="U214" s="679"/>
      <c r="V214" s="679"/>
      <c r="W214" s="679"/>
      <c r="X214" s="681"/>
      <c r="Y214" s="681"/>
      <c r="Z214" s="679" t="s">
        <v>1367</v>
      </c>
      <c r="AA214" s="682" t="s">
        <v>304</v>
      </c>
    </row>
    <row r="215" spans="1:27" s="64" customFormat="1" x14ac:dyDescent="0.25">
      <c r="A215" s="677" t="s">
        <v>1591</v>
      </c>
      <c r="B215" s="678"/>
      <c r="C215" s="678" t="s">
        <v>1616</v>
      </c>
      <c r="D215" s="678" t="s">
        <v>1391</v>
      </c>
      <c r="E215" s="678" t="s">
        <v>1371</v>
      </c>
      <c r="F215" s="678" t="s">
        <v>53</v>
      </c>
      <c r="G215" s="679" t="s">
        <v>47</v>
      </c>
      <c r="H215" s="678" t="s">
        <v>1366</v>
      </c>
      <c r="I215" s="680">
        <v>3740</v>
      </c>
      <c r="J215" s="680">
        <v>4400</v>
      </c>
      <c r="K215" s="680">
        <v>4400</v>
      </c>
      <c r="L215" s="680">
        <v>5570</v>
      </c>
      <c r="M215" s="679"/>
      <c r="N215" s="679"/>
      <c r="O215" s="679"/>
      <c r="P215" s="679"/>
      <c r="Q215" s="679"/>
      <c r="R215" s="679"/>
      <c r="S215" s="679"/>
      <c r="T215" s="679"/>
      <c r="U215" s="679"/>
      <c r="V215" s="679"/>
      <c r="W215" s="679"/>
      <c r="X215" s="681"/>
      <c r="Y215" s="681"/>
      <c r="Z215" s="679" t="s">
        <v>1367</v>
      </c>
      <c r="AA215" s="682" t="s">
        <v>304</v>
      </c>
    </row>
    <row r="216" spans="1:27" s="64" customFormat="1" x14ac:dyDescent="0.25">
      <c r="A216" s="677" t="s">
        <v>1591</v>
      </c>
      <c r="B216" s="678"/>
      <c r="C216" s="678" t="s">
        <v>1616</v>
      </c>
      <c r="D216" s="678" t="s">
        <v>1391</v>
      </c>
      <c r="E216" s="678" t="s">
        <v>1372</v>
      </c>
      <c r="F216" s="678" t="s">
        <v>53</v>
      </c>
      <c r="G216" s="679" t="s">
        <v>47</v>
      </c>
      <c r="H216" s="678" t="s">
        <v>1366</v>
      </c>
      <c r="I216" s="680">
        <v>3740</v>
      </c>
      <c r="J216" s="680">
        <v>4400</v>
      </c>
      <c r="K216" s="680">
        <v>4400</v>
      </c>
      <c r="L216" s="680">
        <v>5570</v>
      </c>
      <c r="M216" s="679"/>
      <c r="N216" s="679"/>
      <c r="O216" s="679"/>
      <c r="P216" s="679"/>
      <c r="Q216" s="679"/>
      <c r="R216" s="679"/>
      <c r="S216" s="679"/>
      <c r="T216" s="679"/>
      <c r="U216" s="679"/>
      <c r="V216" s="679"/>
      <c r="W216" s="679"/>
      <c r="X216" s="681"/>
      <c r="Y216" s="681"/>
      <c r="Z216" s="679" t="s">
        <v>1367</v>
      </c>
      <c r="AA216" s="682" t="s">
        <v>304</v>
      </c>
    </row>
    <row r="217" spans="1:27" s="64" customFormat="1" x14ac:dyDescent="0.25">
      <c r="A217" s="677" t="s">
        <v>1591</v>
      </c>
      <c r="B217" s="678"/>
      <c r="C217" s="678" t="s">
        <v>1616</v>
      </c>
      <c r="D217" s="678" t="s">
        <v>1391</v>
      </c>
      <c r="E217" s="678" t="s">
        <v>1375</v>
      </c>
      <c r="F217" s="678" t="s">
        <v>53</v>
      </c>
      <c r="G217" s="679" t="s">
        <v>47</v>
      </c>
      <c r="H217" s="678" t="s">
        <v>1366</v>
      </c>
      <c r="I217" s="680">
        <v>3740</v>
      </c>
      <c r="J217" s="680">
        <v>4400</v>
      </c>
      <c r="K217" s="680">
        <v>4400</v>
      </c>
      <c r="L217" s="680">
        <v>5570</v>
      </c>
      <c r="M217" s="679"/>
      <c r="N217" s="679"/>
      <c r="O217" s="679"/>
      <c r="P217" s="679"/>
      <c r="Q217" s="679"/>
      <c r="R217" s="679"/>
      <c r="S217" s="679"/>
      <c r="T217" s="679"/>
      <c r="U217" s="679"/>
      <c r="V217" s="679"/>
      <c r="W217" s="679"/>
      <c r="X217" s="681"/>
      <c r="Y217" s="681"/>
      <c r="Z217" s="679" t="s">
        <v>1367</v>
      </c>
      <c r="AA217" s="682" t="s">
        <v>304</v>
      </c>
    </row>
    <row r="218" spans="1:27" s="64" customFormat="1" x14ac:dyDescent="0.25">
      <c r="A218" s="677" t="s">
        <v>1591</v>
      </c>
      <c r="B218" s="678"/>
      <c r="C218" s="678" t="s">
        <v>1616</v>
      </c>
      <c r="D218" s="678" t="s">
        <v>1609</v>
      </c>
      <c r="E218" s="678" t="s">
        <v>1612</v>
      </c>
      <c r="F218" s="678" t="s">
        <v>53</v>
      </c>
      <c r="G218" s="679" t="s">
        <v>47</v>
      </c>
      <c r="H218" s="678" t="s">
        <v>1366</v>
      </c>
      <c r="I218" s="680">
        <v>3485</v>
      </c>
      <c r="J218" s="680">
        <v>4100</v>
      </c>
      <c r="K218" s="680">
        <v>4100</v>
      </c>
      <c r="L218" s="680">
        <v>5190</v>
      </c>
      <c r="M218" s="679"/>
      <c r="N218" s="679"/>
      <c r="O218" s="679"/>
      <c r="P218" s="679"/>
      <c r="Q218" s="679"/>
      <c r="R218" s="679"/>
      <c r="S218" s="679"/>
      <c r="T218" s="679"/>
      <c r="U218" s="679"/>
      <c r="V218" s="679"/>
      <c r="W218" s="679"/>
      <c r="X218" s="681"/>
      <c r="Y218" s="681"/>
      <c r="Z218" s="679" t="s">
        <v>1367</v>
      </c>
      <c r="AA218" s="682" t="s">
        <v>304</v>
      </c>
    </row>
    <row r="219" spans="1:27" s="64" customFormat="1" x14ac:dyDescent="0.25">
      <c r="A219" s="677" t="s">
        <v>1591</v>
      </c>
      <c r="B219" s="678"/>
      <c r="C219" s="678" t="s">
        <v>1616</v>
      </c>
      <c r="D219" s="678" t="s">
        <v>1609</v>
      </c>
      <c r="E219" s="678" t="s">
        <v>1613</v>
      </c>
      <c r="F219" s="678" t="s">
        <v>53</v>
      </c>
      <c r="G219" s="679" t="s">
        <v>47</v>
      </c>
      <c r="H219" s="678" t="s">
        <v>1366</v>
      </c>
      <c r="I219" s="680">
        <v>3700</v>
      </c>
      <c r="J219" s="680">
        <v>4350</v>
      </c>
      <c r="K219" s="680">
        <v>4350</v>
      </c>
      <c r="L219" s="680">
        <v>5505</v>
      </c>
      <c r="M219" s="679"/>
      <c r="N219" s="679"/>
      <c r="O219" s="679"/>
      <c r="P219" s="679"/>
      <c r="Q219" s="679"/>
      <c r="R219" s="679"/>
      <c r="S219" s="679"/>
      <c r="T219" s="679"/>
      <c r="U219" s="679"/>
      <c r="V219" s="679"/>
      <c r="W219" s="679"/>
      <c r="X219" s="681"/>
      <c r="Y219" s="681"/>
      <c r="Z219" s="679" t="s">
        <v>1367</v>
      </c>
      <c r="AA219" s="682" t="s">
        <v>304</v>
      </c>
    </row>
    <row r="220" spans="1:27" s="64" customFormat="1" x14ac:dyDescent="0.25">
      <c r="A220" s="677" t="s">
        <v>1591</v>
      </c>
      <c r="B220" s="678"/>
      <c r="C220" s="678" t="s">
        <v>1616</v>
      </c>
      <c r="D220" s="678" t="s">
        <v>1391</v>
      </c>
      <c r="E220" s="678" t="s">
        <v>1379</v>
      </c>
      <c r="F220" s="678" t="s">
        <v>53</v>
      </c>
      <c r="G220" s="679" t="s">
        <v>47</v>
      </c>
      <c r="H220" s="678" t="s">
        <v>1366</v>
      </c>
      <c r="I220" s="680">
        <v>3740</v>
      </c>
      <c r="J220" s="680">
        <v>4400</v>
      </c>
      <c r="K220" s="680">
        <v>4400</v>
      </c>
      <c r="L220" s="680">
        <v>5570</v>
      </c>
      <c r="M220" s="679"/>
      <c r="N220" s="679"/>
      <c r="O220" s="679"/>
      <c r="P220" s="679"/>
      <c r="Q220" s="679"/>
      <c r="R220" s="679"/>
      <c r="S220" s="679"/>
      <c r="T220" s="679"/>
      <c r="U220" s="679"/>
      <c r="V220" s="679"/>
      <c r="W220" s="679"/>
      <c r="X220" s="681"/>
      <c r="Y220" s="681"/>
      <c r="Z220" s="679" t="s">
        <v>1367</v>
      </c>
      <c r="AA220" s="682" t="s">
        <v>304</v>
      </c>
    </row>
    <row r="221" spans="1:27" s="64" customFormat="1" x14ac:dyDescent="0.25">
      <c r="A221" s="677" t="s">
        <v>1591</v>
      </c>
      <c r="B221" s="678"/>
      <c r="C221" s="678" t="s">
        <v>1616</v>
      </c>
      <c r="D221" s="678" t="s">
        <v>1391</v>
      </c>
      <c r="E221" s="678" t="s">
        <v>1380</v>
      </c>
      <c r="F221" s="678" t="s">
        <v>53</v>
      </c>
      <c r="G221" s="679" t="s">
        <v>47</v>
      </c>
      <c r="H221" s="678" t="s">
        <v>1366</v>
      </c>
      <c r="I221" s="680">
        <v>3740</v>
      </c>
      <c r="J221" s="680">
        <v>4400</v>
      </c>
      <c r="K221" s="680">
        <v>4400</v>
      </c>
      <c r="L221" s="680">
        <v>5570</v>
      </c>
      <c r="M221" s="679"/>
      <c r="N221" s="679"/>
      <c r="O221" s="679"/>
      <c r="P221" s="679"/>
      <c r="Q221" s="679"/>
      <c r="R221" s="679"/>
      <c r="S221" s="679"/>
      <c r="T221" s="679"/>
      <c r="U221" s="679"/>
      <c r="V221" s="679"/>
      <c r="W221" s="679"/>
      <c r="X221" s="681"/>
      <c r="Y221" s="681"/>
      <c r="Z221" s="679" t="s">
        <v>1367</v>
      </c>
      <c r="AA221" s="682" t="s">
        <v>304</v>
      </c>
    </row>
    <row r="222" spans="1:27" s="64" customFormat="1" x14ac:dyDescent="0.25">
      <c r="A222" s="677" t="s">
        <v>1591</v>
      </c>
      <c r="B222" s="678"/>
      <c r="C222" s="678" t="s">
        <v>1616</v>
      </c>
      <c r="D222" s="678" t="s">
        <v>1608</v>
      </c>
      <c r="E222" s="678" t="s">
        <v>1382</v>
      </c>
      <c r="F222" s="678" t="s">
        <v>53</v>
      </c>
      <c r="G222" s="679" t="s">
        <v>47</v>
      </c>
      <c r="H222" s="678" t="s">
        <v>1366</v>
      </c>
      <c r="I222" s="680">
        <v>3740</v>
      </c>
      <c r="J222" s="680">
        <v>4400</v>
      </c>
      <c r="K222" s="680">
        <v>4400</v>
      </c>
      <c r="L222" s="680">
        <v>5570</v>
      </c>
      <c r="M222" s="679"/>
      <c r="N222" s="679"/>
      <c r="O222" s="679"/>
      <c r="P222" s="679"/>
      <c r="Q222" s="679"/>
      <c r="R222" s="679"/>
      <c r="S222" s="679"/>
      <c r="T222" s="679"/>
      <c r="U222" s="679"/>
      <c r="V222" s="679"/>
      <c r="W222" s="679"/>
      <c r="X222" s="681"/>
      <c r="Y222" s="681"/>
      <c r="Z222" s="679" t="s">
        <v>1367</v>
      </c>
      <c r="AA222" s="682" t="s">
        <v>304</v>
      </c>
    </row>
    <row r="223" spans="1:27" s="64" customFormat="1" x14ac:dyDescent="0.25">
      <c r="A223" s="677" t="s">
        <v>1591</v>
      </c>
      <c r="B223" s="678"/>
      <c r="C223" s="678" t="s">
        <v>1616</v>
      </c>
      <c r="D223" s="678" t="s">
        <v>1608</v>
      </c>
      <c r="E223" s="678" t="s">
        <v>1381</v>
      </c>
      <c r="F223" s="678" t="s">
        <v>53</v>
      </c>
      <c r="G223" s="679" t="s">
        <v>47</v>
      </c>
      <c r="H223" s="678" t="s">
        <v>1366</v>
      </c>
      <c r="I223" s="680">
        <v>3740</v>
      </c>
      <c r="J223" s="680">
        <v>4400</v>
      </c>
      <c r="K223" s="680">
        <v>4400</v>
      </c>
      <c r="L223" s="680">
        <v>5570</v>
      </c>
      <c r="M223" s="679"/>
      <c r="N223" s="679"/>
      <c r="O223" s="679"/>
      <c r="P223" s="679"/>
      <c r="Q223" s="679"/>
      <c r="R223" s="679"/>
      <c r="S223" s="679"/>
      <c r="T223" s="679"/>
      <c r="U223" s="679"/>
      <c r="V223" s="679"/>
      <c r="W223" s="679"/>
      <c r="X223" s="681"/>
      <c r="Y223" s="681"/>
      <c r="Z223" s="679" t="s">
        <v>1367</v>
      </c>
      <c r="AA223" s="682" t="s">
        <v>304</v>
      </c>
    </row>
    <row r="224" spans="1:27" s="64" customFormat="1" x14ac:dyDescent="0.25">
      <c r="A224" s="677" t="s">
        <v>1591</v>
      </c>
      <c r="B224" s="678"/>
      <c r="C224" s="678" t="s">
        <v>1616</v>
      </c>
      <c r="D224" s="678" t="s">
        <v>1391</v>
      </c>
      <c r="E224" s="678" t="s">
        <v>1614</v>
      </c>
      <c r="F224" s="678" t="s">
        <v>357</v>
      </c>
      <c r="G224" s="679" t="s">
        <v>47</v>
      </c>
      <c r="H224" s="678" t="s">
        <v>1366</v>
      </c>
      <c r="I224" s="680">
        <v>4080</v>
      </c>
      <c r="J224" s="680">
        <v>4800</v>
      </c>
      <c r="K224" s="680">
        <v>4800</v>
      </c>
      <c r="L224" s="680">
        <v>6075</v>
      </c>
      <c r="M224" s="679"/>
      <c r="N224" s="679"/>
      <c r="O224" s="679"/>
      <c r="P224" s="679"/>
      <c r="Q224" s="679"/>
      <c r="R224" s="679"/>
      <c r="S224" s="679"/>
      <c r="T224" s="679"/>
      <c r="U224" s="679"/>
      <c r="V224" s="679"/>
      <c r="W224" s="679"/>
      <c r="X224" s="681"/>
      <c r="Y224" s="681"/>
      <c r="Z224" s="679" t="s">
        <v>1367</v>
      </c>
      <c r="AA224" s="682" t="s">
        <v>304</v>
      </c>
    </row>
    <row r="225" spans="1:27" s="64" customFormat="1" x14ac:dyDescent="0.25">
      <c r="A225" s="677" t="s">
        <v>1591</v>
      </c>
      <c r="B225" s="678"/>
      <c r="C225" s="678" t="s">
        <v>1616</v>
      </c>
      <c r="D225" s="678" t="s">
        <v>1391</v>
      </c>
      <c r="E225" s="678" t="s">
        <v>1386</v>
      </c>
      <c r="F225" s="678" t="s">
        <v>53</v>
      </c>
      <c r="G225" s="679" t="s">
        <v>47</v>
      </c>
      <c r="H225" s="678" t="s">
        <v>1366</v>
      </c>
      <c r="I225" s="680">
        <v>4080</v>
      </c>
      <c r="J225" s="680">
        <v>4800</v>
      </c>
      <c r="K225" s="680">
        <v>4800</v>
      </c>
      <c r="L225" s="680">
        <v>6075</v>
      </c>
      <c r="M225" s="679"/>
      <c r="N225" s="679"/>
      <c r="O225" s="679"/>
      <c r="P225" s="679"/>
      <c r="Q225" s="679"/>
      <c r="R225" s="679"/>
      <c r="S225" s="679"/>
      <c r="T225" s="679"/>
      <c r="U225" s="679"/>
      <c r="V225" s="679"/>
      <c r="W225" s="679"/>
      <c r="X225" s="681"/>
      <c r="Y225" s="681"/>
      <c r="Z225" s="679" t="s">
        <v>1367</v>
      </c>
      <c r="AA225" s="682" t="s">
        <v>304</v>
      </c>
    </row>
    <row r="226" spans="1:27" s="64" customFormat="1" x14ac:dyDescent="0.25">
      <c r="A226" s="677" t="s">
        <v>1592</v>
      </c>
      <c r="B226" s="678"/>
      <c r="C226" s="678" t="s">
        <v>1606</v>
      </c>
      <c r="D226" s="678" t="s">
        <v>1617</v>
      </c>
      <c r="E226" s="678"/>
      <c r="F226" s="678" t="s">
        <v>51</v>
      </c>
      <c r="G226" s="679" t="s">
        <v>47</v>
      </c>
      <c r="H226" s="678" t="s">
        <v>1366</v>
      </c>
      <c r="I226" s="680">
        <v>2200</v>
      </c>
      <c r="J226" s="680">
        <v>2750</v>
      </c>
      <c r="K226" s="680">
        <v>2750</v>
      </c>
      <c r="L226" s="680">
        <v>3480</v>
      </c>
      <c r="M226" s="679"/>
      <c r="N226" s="679"/>
      <c r="O226" s="679"/>
      <c r="P226" s="679"/>
      <c r="Q226" s="679"/>
      <c r="R226" s="679"/>
      <c r="S226" s="679"/>
      <c r="T226" s="679"/>
      <c r="U226" s="679"/>
      <c r="V226" s="679"/>
      <c r="W226" s="679"/>
      <c r="X226" s="681"/>
      <c r="Y226" s="681"/>
      <c r="Z226" s="679" t="s">
        <v>1367</v>
      </c>
      <c r="AA226" s="682" t="s">
        <v>304</v>
      </c>
    </row>
    <row r="227" spans="1:27" s="64" customFormat="1" x14ac:dyDescent="0.25">
      <c r="A227" s="677" t="s">
        <v>1592</v>
      </c>
      <c r="B227" s="678"/>
      <c r="C227" s="678" t="s">
        <v>1606</v>
      </c>
      <c r="D227" s="678" t="s">
        <v>1597</v>
      </c>
      <c r="E227" s="678"/>
      <c r="F227" s="678" t="s">
        <v>51</v>
      </c>
      <c r="G227" s="679" t="s">
        <v>47</v>
      </c>
      <c r="H227" s="678" t="s">
        <v>1366</v>
      </c>
      <c r="I227" s="680">
        <v>2200</v>
      </c>
      <c r="J227" s="680">
        <v>2750</v>
      </c>
      <c r="K227" s="680">
        <v>2750</v>
      </c>
      <c r="L227" s="680">
        <v>3480</v>
      </c>
      <c r="M227" s="679"/>
      <c r="N227" s="679"/>
      <c r="O227" s="679"/>
      <c r="P227" s="679"/>
      <c r="Q227" s="679"/>
      <c r="R227" s="679"/>
      <c r="S227" s="679"/>
      <c r="T227" s="679"/>
      <c r="U227" s="679"/>
      <c r="V227" s="679"/>
      <c r="W227" s="679"/>
      <c r="X227" s="681"/>
      <c r="Y227" s="681"/>
      <c r="Z227" s="679" t="s">
        <v>1367</v>
      </c>
      <c r="AA227" s="682" t="s">
        <v>304</v>
      </c>
    </row>
    <row r="228" spans="1:27" s="64" customFormat="1" x14ac:dyDescent="0.25">
      <c r="A228" s="677" t="s">
        <v>1592</v>
      </c>
      <c r="B228" s="678"/>
      <c r="C228" s="678" t="s">
        <v>1606</v>
      </c>
      <c r="D228" s="678" t="s">
        <v>1377</v>
      </c>
      <c r="E228" s="678" t="s">
        <v>1373</v>
      </c>
      <c r="F228" s="678" t="s">
        <v>53</v>
      </c>
      <c r="G228" s="679" t="s">
        <v>47</v>
      </c>
      <c r="H228" s="678" t="s">
        <v>1366</v>
      </c>
      <c r="I228" s="680">
        <v>3160</v>
      </c>
      <c r="J228" s="680">
        <v>3950</v>
      </c>
      <c r="K228" s="680">
        <v>3950</v>
      </c>
      <c r="L228" s="680">
        <v>5000</v>
      </c>
      <c r="M228" s="679"/>
      <c r="N228" s="679"/>
      <c r="O228" s="679"/>
      <c r="P228" s="679"/>
      <c r="Q228" s="679"/>
      <c r="R228" s="679"/>
      <c r="S228" s="679"/>
      <c r="T228" s="679"/>
      <c r="U228" s="679"/>
      <c r="V228" s="679"/>
      <c r="W228" s="679"/>
      <c r="X228" s="681"/>
      <c r="Y228" s="681"/>
      <c r="Z228" s="679" t="s">
        <v>1367</v>
      </c>
      <c r="AA228" s="682" t="s">
        <v>304</v>
      </c>
    </row>
    <row r="229" spans="1:27" s="64" customFormat="1" x14ac:dyDescent="0.25">
      <c r="A229" s="677" t="s">
        <v>1592</v>
      </c>
      <c r="B229" s="678"/>
      <c r="C229" s="678" t="s">
        <v>1606</v>
      </c>
      <c r="D229" s="678" t="s">
        <v>1377</v>
      </c>
      <c r="E229" s="678" t="s">
        <v>1374</v>
      </c>
      <c r="F229" s="678" t="s">
        <v>53</v>
      </c>
      <c r="G229" s="679" t="s">
        <v>47</v>
      </c>
      <c r="H229" s="678" t="s">
        <v>1366</v>
      </c>
      <c r="I229" s="680">
        <v>3800</v>
      </c>
      <c r="J229" s="680">
        <v>4750</v>
      </c>
      <c r="K229" s="680">
        <v>4750</v>
      </c>
      <c r="L229" s="680">
        <v>6015</v>
      </c>
      <c r="M229" s="679"/>
      <c r="N229" s="679"/>
      <c r="O229" s="679"/>
      <c r="P229" s="679"/>
      <c r="Q229" s="679"/>
      <c r="R229" s="679"/>
      <c r="S229" s="679"/>
      <c r="T229" s="679"/>
      <c r="U229" s="679"/>
      <c r="V229" s="679"/>
      <c r="W229" s="679"/>
      <c r="X229" s="681"/>
      <c r="Y229" s="681"/>
      <c r="Z229" s="679" t="s">
        <v>1367</v>
      </c>
      <c r="AA229" s="682" t="s">
        <v>304</v>
      </c>
    </row>
    <row r="230" spans="1:27" s="64" customFormat="1" x14ac:dyDescent="0.25">
      <c r="A230" s="677" t="s">
        <v>1592</v>
      </c>
      <c r="B230" s="678"/>
      <c r="C230" s="678" t="s">
        <v>1606</v>
      </c>
      <c r="D230" s="678" t="s">
        <v>1618</v>
      </c>
      <c r="E230" s="678" t="s">
        <v>1382</v>
      </c>
      <c r="F230" s="678" t="s">
        <v>53</v>
      </c>
      <c r="G230" s="679" t="s">
        <v>47</v>
      </c>
      <c r="H230" s="678" t="s">
        <v>1366</v>
      </c>
      <c r="I230" s="680">
        <v>3400</v>
      </c>
      <c r="J230" s="680">
        <v>4250</v>
      </c>
      <c r="K230" s="680">
        <v>4250</v>
      </c>
      <c r="L230" s="680">
        <v>5380</v>
      </c>
      <c r="M230" s="679"/>
      <c r="N230" s="679"/>
      <c r="O230" s="679"/>
      <c r="P230" s="679"/>
      <c r="Q230" s="679"/>
      <c r="R230" s="679"/>
      <c r="S230" s="679"/>
      <c r="T230" s="679"/>
      <c r="U230" s="679"/>
      <c r="V230" s="679"/>
      <c r="W230" s="679"/>
      <c r="X230" s="681"/>
      <c r="Y230" s="681"/>
      <c r="Z230" s="679" t="s">
        <v>1367</v>
      </c>
      <c r="AA230" s="682" t="s">
        <v>304</v>
      </c>
    </row>
    <row r="231" spans="1:27" s="64" customFormat="1" x14ac:dyDescent="0.25">
      <c r="A231" s="677" t="s">
        <v>1592</v>
      </c>
      <c r="B231" s="678"/>
      <c r="C231" s="678" t="s">
        <v>1398</v>
      </c>
      <c r="D231" s="678" t="s">
        <v>1617</v>
      </c>
      <c r="E231" s="678"/>
      <c r="F231" s="678" t="s">
        <v>51</v>
      </c>
      <c r="G231" s="679" t="s">
        <v>47</v>
      </c>
      <c r="H231" s="678" t="s">
        <v>1366</v>
      </c>
      <c r="I231" s="680">
        <v>2280</v>
      </c>
      <c r="J231" s="680">
        <v>2850</v>
      </c>
      <c r="K231" s="680">
        <v>2850</v>
      </c>
      <c r="L231" s="680">
        <v>3610</v>
      </c>
      <c r="M231" s="679"/>
      <c r="N231" s="679"/>
      <c r="O231" s="679"/>
      <c r="P231" s="679"/>
      <c r="Q231" s="679"/>
      <c r="R231" s="679"/>
      <c r="S231" s="679"/>
      <c r="T231" s="679"/>
      <c r="U231" s="679"/>
      <c r="V231" s="679"/>
      <c r="W231" s="679"/>
      <c r="X231" s="681"/>
      <c r="Y231" s="681"/>
      <c r="Z231" s="679" t="s">
        <v>1367</v>
      </c>
      <c r="AA231" s="682" t="s">
        <v>304</v>
      </c>
    </row>
    <row r="232" spans="1:27" s="64" customFormat="1" x14ac:dyDescent="0.25">
      <c r="A232" s="677" t="s">
        <v>1592</v>
      </c>
      <c r="B232" s="678"/>
      <c r="C232" s="678" t="s">
        <v>1398</v>
      </c>
      <c r="D232" s="678" t="s">
        <v>1597</v>
      </c>
      <c r="E232" s="678"/>
      <c r="F232" s="678" t="s">
        <v>51</v>
      </c>
      <c r="G232" s="679" t="s">
        <v>47</v>
      </c>
      <c r="H232" s="678" t="s">
        <v>1366</v>
      </c>
      <c r="I232" s="680">
        <v>2280</v>
      </c>
      <c r="J232" s="680">
        <v>2850</v>
      </c>
      <c r="K232" s="680">
        <v>2850</v>
      </c>
      <c r="L232" s="680">
        <v>3610</v>
      </c>
      <c r="M232" s="679"/>
      <c r="N232" s="679"/>
      <c r="O232" s="679"/>
      <c r="P232" s="679"/>
      <c r="Q232" s="679"/>
      <c r="R232" s="679"/>
      <c r="S232" s="679"/>
      <c r="T232" s="679"/>
      <c r="U232" s="679"/>
      <c r="V232" s="679"/>
      <c r="W232" s="679"/>
      <c r="X232" s="681"/>
      <c r="Y232" s="681"/>
      <c r="Z232" s="679" t="s">
        <v>1367</v>
      </c>
      <c r="AA232" s="682" t="s">
        <v>304</v>
      </c>
    </row>
    <row r="233" spans="1:27" s="64" customFormat="1" x14ac:dyDescent="0.25">
      <c r="A233" s="677" t="s">
        <v>1592</v>
      </c>
      <c r="B233" s="678"/>
      <c r="C233" s="678" t="s">
        <v>1398</v>
      </c>
      <c r="D233" s="678" t="s">
        <v>1377</v>
      </c>
      <c r="E233" s="678" t="s">
        <v>1373</v>
      </c>
      <c r="F233" s="678" t="s">
        <v>53</v>
      </c>
      <c r="G233" s="679" t="s">
        <v>47</v>
      </c>
      <c r="H233" s="678" t="s">
        <v>1366</v>
      </c>
      <c r="I233" s="680">
        <v>3240</v>
      </c>
      <c r="J233" s="680">
        <v>4050</v>
      </c>
      <c r="K233" s="680">
        <v>4050</v>
      </c>
      <c r="L233" s="680">
        <v>5125</v>
      </c>
      <c r="M233" s="679"/>
      <c r="N233" s="679"/>
      <c r="O233" s="679"/>
      <c r="P233" s="679"/>
      <c r="Q233" s="679"/>
      <c r="R233" s="679"/>
      <c r="S233" s="679"/>
      <c r="T233" s="679"/>
      <c r="U233" s="679"/>
      <c r="V233" s="679"/>
      <c r="W233" s="679"/>
      <c r="X233" s="681"/>
      <c r="Y233" s="681"/>
      <c r="Z233" s="679" t="s">
        <v>1367</v>
      </c>
      <c r="AA233" s="682" t="s">
        <v>304</v>
      </c>
    </row>
    <row r="234" spans="1:27" s="64" customFormat="1" x14ac:dyDescent="0.25">
      <c r="A234" s="677" t="s">
        <v>1592</v>
      </c>
      <c r="B234" s="678"/>
      <c r="C234" s="678" t="s">
        <v>1398</v>
      </c>
      <c r="D234" s="678" t="s">
        <v>1377</v>
      </c>
      <c r="E234" s="678" t="s">
        <v>1374</v>
      </c>
      <c r="F234" s="678" t="s">
        <v>53</v>
      </c>
      <c r="G234" s="679" t="s">
        <v>47</v>
      </c>
      <c r="H234" s="678" t="s">
        <v>1366</v>
      </c>
      <c r="I234" s="680">
        <v>3880</v>
      </c>
      <c r="J234" s="680">
        <v>4850</v>
      </c>
      <c r="K234" s="680">
        <v>4850</v>
      </c>
      <c r="L234" s="680">
        <v>6140</v>
      </c>
      <c r="M234" s="679"/>
      <c r="N234" s="679"/>
      <c r="O234" s="679"/>
      <c r="P234" s="679"/>
      <c r="Q234" s="679"/>
      <c r="R234" s="679"/>
      <c r="S234" s="679"/>
      <c r="T234" s="679"/>
      <c r="U234" s="679"/>
      <c r="V234" s="679"/>
      <c r="W234" s="679"/>
      <c r="X234" s="681"/>
      <c r="Y234" s="681"/>
      <c r="Z234" s="679" t="s">
        <v>1367</v>
      </c>
      <c r="AA234" s="682" t="s">
        <v>304</v>
      </c>
    </row>
    <row r="235" spans="1:27" s="64" customFormat="1" x14ac:dyDescent="0.25">
      <c r="A235" s="677" t="s">
        <v>1592</v>
      </c>
      <c r="B235" s="678"/>
      <c r="C235" s="678" t="s">
        <v>1398</v>
      </c>
      <c r="D235" s="678" t="s">
        <v>1618</v>
      </c>
      <c r="E235" s="678" t="s">
        <v>1382</v>
      </c>
      <c r="F235" s="678" t="s">
        <v>53</v>
      </c>
      <c r="G235" s="679" t="s">
        <v>47</v>
      </c>
      <c r="H235" s="678" t="s">
        <v>1366</v>
      </c>
      <c r="I235" s="680">
        <v>3480</v>
      </c>
      <c r="J235" s="680">
        <v>4350</v>
      </c>
      <c r="K235" s="680">
        <v>4350</v>
      </c>
      <c r="L235" s="680">
        <v>5505</v>
      </c>
      <c r="M235" s="679"/>
      <c r="N235" s="679"/>
      <c r="O235" s="679"/>
      <c r="P235" s="679"/>
      <c r="Q235" s="679"/>
      <c r="R235" s="679"/>
      <c r="S235" s="679"/>
      <c r="T235" s="679"/>
      <c r="U235" s="679"/>
      <c r="V235" s="679"/>
      <c r="W235" s="679"/>
      <c r="X235" s="681"/>
      <c r="Y235" s="681"/>
      <c r="Z235" s="679" t="s">
        <v>1367</v>
      </c>
      <c r="AA235" s="682" t="s">
        <v>304</v>
      </c>
    </row>
    <row r="236" spans="1:27" s="64" customFormat="1" x14ac:dyDescent="0.25">
      <c r="A236" s="677" t="s">
        <v>1592</v>
      </c>
      <c r="B236" s="678"/>
      <c r="C236" s="678" t="s">
        <v>1392</v>
      </c>
      <c r="D236" s="678" t="s">
        <v>1617</v>
      </c>
      <c r="E236" s="678"/>
      <c r="F236" s="678" t="s">
        <v>51</v>
      </c>
      <c r="G236" s="679" t="s">
        <v>47</v>
      </c>
      <c r="H236" s="678" t="s">
        <v>1366</v>
      </c>
      <c r="I236" s="680">
        <v>2200</v>
      </c>
      <c r="J236" s="680">
        <v>2750</v>
      </c>
      <c r="K236" s="680">
        <v>2750</v>
      </c>
      <c r="L236" s="680">
        <v>3480</v>
      </c>
      <c r="M236" s="679"/>
      <c r="N236" s="679"/>
      <c r="O236" s="679"/>
      <c r="P236" s="679"/>
      <c r="Q236" s="679"/>
      <c r="R236" s="679"/>
      <c r="S236" s="679"/>
      <c r="T236" s="679"/>
      <c r="U236" s="679"/>
      <c r="V236" s="679"/>
      <c r="W236" s="679"/>
      <c r="X236" s="681"/>
      <c r="Y236" s="681"/>
      <c r="Z236" s="679" t="s">
        <v>1367</v>
      </c>
      <c r="AA236" s="682" t="s">
        <v>304</v>
      </c>
    </row>
    <row r="237" spans="1:27" s="64" customFormat="1" x14ac:dyDescent="0.25">
      <c r="A237" s="677" t="s">
        <v>1592</v>
      </c>
      <c r="B237" s="678"/>
      <c r="C237" s="678" t="s">
        <v>1392</v>
      </c>
      <c r="D237" s="678" t="s">
        <v>1597</v>
      </c>
      <c r="E237" s="678"/>
      <c r="F237" s="678" t="s">
        <v>51</v>
      </c>
      <c r="G237" s="679" t="s">
        <v>47</v>
      </c>
      <c r="H237" s="678" t="s">
        <v>1366</v>
      </c>
      <c r="I237" s="680">
        <v>2200</v>
      </c>
      <c r="J237" s="680">
        <v>2750</v>
      </c>
      <c r="K237" s="680">
        <v>2750</v>
      </c>
      <c r="L237" s="680">
        <v>3480</v>
      </c>
      <c r="M237" s="679"/>
      <c r="N237" s="679"/>
      <c r="O237" s="679"/>
      <c r="P237" s="679"/>
      <c r="Q237" s="679"/>
      <c r="R237" s="679"/>
      <c r="S237" s="679"/>
      <c r="T237" s="679"/>
      <c r="U237" s="679"/>
      <c r="V237" s="679"/>
      <c r="W237" s="679"/>
      <c r="X237" s="681"/>
      <c r="Y237" s="681"/>
      <c r="Z237" s="679" t="s">
        <v>1367</v>
      </c>
      <c r="AA237" s="682" t="s">
        <v>304</v>
      </c>
    </row>
    <row r="238" spans="1:27" s="64" customFormat="1" x14ac:dyDescent="0.25">
      <c r="A238" s="677" t="s">
        <v>1592</v>
      </c>
      <c r="B238" s="678"/>
      <c r="C238" s="678" t="s">
        <v>1392</v>
      </c>
      <c r="D238" s="678" t="s">
        <v>1377</v>
      </c>
      <c r="E238" s="678" t="s">
        <v>1373</v>
      </c>
      <c r="F238" s="678" t="s">
        <v>53</v>
      </c>
      <c r="G238" s="679" t="s">
        <v>47</v>
      </c>
      <c r="H238" s="678" t="s">
        <v>1366</v>
      </c>
      <c r="I238" s="680">
        <v>3160</v>
      </c>
      <c r="J238" s="680">
        <v>3950</v>
      </c>
      <c r="K238" s="680">
        <v>3950</v>
      </c>
      <c r="L238" s="680">
        <v>5000</v>
      </c>
      <c r="M238" s="679"/>
      <c r="N238" s="679"/>
      <c r="O238" s="679"/>
      <c r="P238" s="679"/>
      <c r="Q238" s="679"/>
      <c r="R238" s="679"/>
      <c r="S238" s="679"/>
      <c r="T238" s="679"/>
      <c r="U238" s="679"/>
      <c r="V238" s="679"/>
      <c r="W238" s="679"/>
      <c r="X238" s="681"/>
      <c r="Y238" s="681"/>
      <c r="Z238" s="679" t="s">
        <v>1367</v>
      </c>
      <c r="AA238" s="682" t="s">
        <v>304</v>
      </c>
    </row>
    <row r="239" spans="1:27" s="64" customFormat="1" x14ac:dyDescent="0.25">
      <c r="A239" s="677" t="s">
        <v>1592</v>
      </c>
      <c r="B239" s="678"/>
      <c r="C239" s="678" t="s">
        <v>1392</v>
      </c>
      <c r="D239" s="678" t="s">
        <v>1377</v>
      </c>
      <c r="E239" s="678" t="s">
        <v>1374</v>
      </c>
      <c r="F239" s="678" t="s">
        <v>53</v>
      </c>
      <c r="G239" s="679" t="s">
        <v>47</v>
      </c>
      <c r="H239" s="678" t="s">
        <v>1366</v>
      </c>
      <c r="I239" s="680">
        <v>3800</v>
      </c>
      <c r="J239" s="680">
        <v>4750</v>
      </c>
      <c r="K239" s="680">
        <v>4750</v>
      </c>
      <c r="L239" s="680">
        <v>6015</v>
      </c>
      <c r="M239" s="679"/>
      <c r="N239" s="679"/>
      <c r="O239" s="679"/>
      <c r="P239" s="679"/>
      <c r="Q239" s="679"/>
      <c r="R239" s="679"/>
      <c r="S239" s="679"/>
      <c r="T239" s="679"/>
      <c r="U239" s="679"/>
      <c r="V239" s="679"/>
      <c r="W239" s="679"/>
      <c r="X239" s="681"/>
      <c r="Y239" s="681"/>
      <c r="Z239" s="679" t="s">
        <v>1367</v>
      </c>
      <c r="AA239" s="682" t="s">
        <v>304</v>
      </c>
    </row>
    <row r="240" spans="1:27" s="64" customFormat="1" x14ac:dyDescent="0.25">
      <c r="A240" s="677" t="s">
        <v>1592</v>
      </c>
      <c r="B240" s="678"/>
      <c r="C240" s="678" t="s">
        <v>1392</v>
      </c>
      <c r="D240" s="678" t="s">
        <v>1618</v>
      </c>
      <c r="E240" s="678" t="s">
        <v>1382</v>
      </c>
      <c r="F240" s="678" t="s">
        <v>53</v>
      </c>
      <c r="G240" s="679" t="s">
        <v>47</v>
      </c>
      <c r="H240" s="678" t="s">
        <v>1366</v>
      </c>
      <c r="I240" s="680">
        <v>3400</v>
      </c>
      <c r="J240" s="680">
        <v>4250</v>
      </c>
      <c r="K240" s="680">
        <v>4250</v>
      </c>
      <c r="L240" s="680">
        <v>5380</v>
      </c>
      <c r="M240" s="679"/>
      <c r="N240" s="679"/>
      <c r="O240" s="679"/>
      <c r="P240" s="679"/>
      <c r="Q240" s="679"/>
      <c r="R240" s="679"/>
      <c r="S240" s="679"/>
      <c r="T240" s="679"/>
      <c r="U240" s="679"/>
      <c r="V240" s="679"/>
      <c r="W240" s="679"/>
      <c r="X240" s="681"/>
      <c r="Y240" s="681"/>
      <c r="Z240" s="679" t="s">
        <v>1367</v>
      </c>
      <c r="AA240" s="682" t="s">
        <v>304</v>
      </c>
    </row>
    <row r="241" spans="1:27" s="64" customFormat="1" x14ac:dyDescent="0.25">
      <c r="A241" s="677" t="s">
        <v>1592</v>
      </c>
      <c r="B241" s="678"/>
      <c r="C241" s="678" t="s">
        <v>1595</v>
      </c>
      <c r="D241" s="678" t="s">
        <v>1617</v>
      </c>
      <c r="E241" s="678"/>
      <c r="F241" s="678" t="s">
        <v>51</v>
      </c>
      <c r="G241" s="679" t="s">
        <v>47</v>
      </c>
      <c r="H241" s="678" t="s">
        <v>1366</v>
      </c>
      <c r="I241" s="680">
        <v>2200</v>
      </c>
      <c r="J241" s="680">
        <v>2750</v>
      </c>
      <c r="K241" s="680">
        <v>2750</v>
      </c>
      <c r="L241" s="680">
        <v>3480</v>
      </c>
      <c r="M241" s="679"/>
      <c r="N241" s="679"/>
      <c r="O241" s="679"/>
      <c r="P241" s="679"/>
      <c r="Q241" s="679"/>
      <c r="R241" s="679"/>
      <c r="S241" s="679"/>
      <c r="T241" s="679"/>
      <c r="U241" s="679"/>
      <c r="V241" s="679"/>
      <c r="W241" s="679"/>
      <c r="X241" s="681"/>
      <c r="Y241" s="681"/>
      <c r="Z241" s="679" t="s">
        <v>1367</v>
      </c>
      <c r="AA241" s="682" t="s">
        <v>304</v>
      </c>
    </row>
    <row r="242" spans="1:27" s="64" customFormat="1" x14ac:dyDescent="0.25">
      <c r="A242" s="677" t="s">
        <v>1592</v>
      </c>
      <c r="B242" s="678"/>
      <c r="C242" s="678" t="s">
        <v>1595</v>
      </c>
      <c r="D242" s="678" t="s">
        <v>1597</v>
      </c>
      <c r="E242" s="678"/>
      <c r="F242" s="678" t="s">
        <v>51</v>
      </c>
      <c r="G242" s="679" t="s">
        <v>47</v>
      </c>
      <c r="H242" s="678" t="s">
        <v>1366</v>
      </c>
      <c r="I242" s="680">
        <v>2200</v>
      </c>
      <c r="J242" s="680">
        <v>2750</v>
      </c>
      <c r="K242" s="680">
        <v>2750</v>
      </c>
      <c r="L242" s="680">
        <v>3480</v>
      </c>
      <c r="M242" s="679"/>
      <c r="N242" s="679"/>
      <c r="O242" s="679"/>
      <c r="P242" s="679"/>
      <c r="Q242" s="679"/>
      <c r="R242" s="679"/>
      <c r="S242" s="679"/>
      <c r="T242" s="679"/>
      <c r="U242" s="679"/>
      <c r="V242" s="679"/>
      <c r="W242" s="679"/>
      <c r="X242" s="681"/>
      <c r="Y242" s="681"/>
      <c r="Z242" s="679" t="s">
        <v>1367</v>
      </c>
      <c r="AA242" s="682" t="s">
        <v>304</v>
      </c>
    </row>
    <row r="243" spans="1:27" s="64" customFormat="1" x14ac:dyDescent="0.25">
      <c r="A243" s="677" t="s">
        <v>1592</v>
      </c>
      <c r="B243" s="678"/>
      <c r="C243" s="678" t="s">
        <v>1595</v>
      </c>
      <c r="D243" s="678" t="s">
        <v>1377</v>
      </c>
      <c r="E243" s="678" t="s">
        <v>1373</v>
      </c>
      <c r="F243" s="678" t="s">
        <v>53</v>
      </c>
      <c r="G243" s="679" t="s">
        <v>47</v>
      </c>
      <c r="H243" s="678" t="s">
        <v>1366</v>
      </c>
      <c r="I243" s="680">
        <v>3160</v>
      </c>
      <c r="J243" s="680">
        <v>3950</v>
      </c>
      <c r="K243" s="680">
        <v>3950</v>
      </c>
      <c r="L243" s="680">
        <v>5000</v>
      </c>
      <c r="M243" s="679"/>
      <c r="N243" s="679"/>
      <c r="O243" s="679"/>
      <c r="P243" s="679"/>
      <c r="Q243" s="679"/>
      <c r="R243" s="679"/>
      <c r="S243" s="679"/>
      <c r="T243" s="679"/>
      <c r="U243" s="679"/>
      <c r="V243" s="679"/>
      <c r="W243" s="679"/>
      <c r="X243" s="681"/>
      <c r="Y243" s="681"/>
      <c r="Z243" s="679" t="s">
        <v>1367</v>
      </c>
      <c r="AA243" s="682" t="s">
        <v>304</v>
      </c>
    </row>
    <row r="244" spans="1:27" s="64" customFormat="1" x14ac:dyDescent="0.25">
      <c r="A244" s="677" t="s">
        <v>1592</v>
      </c>
      <c r="B244" s="678"/>
      <c r="C244" s="678" t="s">
        <v>1595</v>
      </c>
      <c r="D244" s="678" t="s">
        <v>1377</v>
      </c>
      <c r="E244" s="678" t="s">
        <v>1374</v>
      </c>
      <c r="F244" s="678" t="s">
        <v>53</v>
      </c>
      <c r="G244" s="679" t="s">
        <v>47</v>
      </c>
      <c r="H244" s="678" t="s">
        <v>1366</v>
      </c>
      <c r="I244" s="680">
        <v>3800</v>
      </c>
      <c r="J244" s="680">
        <v>4750</v>
      </c>
      <c r="K244" s="680">
        <v>4750</v>
      </c>
      <c r="L244" s="680">
        <v>6015</v>
      </c>
      <c r="M244" s="679"/>
      <c r="N244" s="679"/>
      <c r="O244" s="679"/>
      <c r="P244" s="679"/>
      <c r="Q244" s="679"/>
      <c r="R244" s="679"/>
      <c r="S244" s="679"/>
      <c r="T244" s="679"/>
      <c r="U244" s="679"/>
      <c r="V244" s="679"/>
      <c r="W244" s="679"/>
      <c r="X244" s="681"/>
      <c r="Y244" s="681"/>
      <c r="Z244" s="679" t="s">
        <v>1367</v>
      </c>
      <c r="AA244" s="682" t="s">
        <v>304</v>
      </c>
    </row>
    <row r="245" spans="1:27" s="64" customFormat="1" x14ac:dyDescent="0.25">
      <c r="A245" s="677" t="s">
        <v>1592</v>
      </c>
      <c r="B245" s="678"/>
      <c r="C245" s="678" t="s">
        <v>1595</v>
      </c>
      <c r="D245" s="678" t="s">
        <v>1618</v>
      </c>
      <c r="E245" s="678" t="s">
        <v>1382</v>
      </c>
      <c r="F245" s="678" t="s">
        <v>53</v>
      </c>
      <c r="G245" s="679" t="s">
        <v>47</v>
      </c>
      <c r="H245" s="678" t="s">
        <v>1366</v>
      </c>
      <c r="I245" s="680">
        <v>3400</v>
      </c>
      <c r="J245" s="680">
        <v>4250</v>
      </c>
      <c r="K245" s="680">
        <v>4250</v>
      </c>
      <c r="L245" s="680">
        <v>5380</v>
      </c>
      <c r="M245" s="679"/>
      <c r="N245" s="679"/>
      <c r="O245" s="679"/>
      <c r="P245" s="679"/>
      <c r="Q245" s="679"/>
      <c r="R245" s="679"/>
      <c r="S245" s="679"/>
      <c r="T245" s="679"/>
      <c r="U245" s="679"/>
      <c r="V245" s="679"/>
      <c r="W245" s="679"/>
      <c r="X245" s="681"/>
      <c r="Y245" s="681"/>
      <c r="Z245" s="679" t="s">
        <v>1367</v>
      </c>
      <c r="AA245" s="682" t="s">
        <v>304</v>
      </c>
    </row>
    <row r="246" spans="1:27" s="64" customFormat="1" x14ac:dyDescent="0.25">
      <c r="A246" s="677" t="s">
        <v>1592</v>
      </c>
      <c r="B246" s="678"/>
      <c r="C246" s="678" t="s">
        <v>1400</v>
      </c>
      <c r="D246" s="678" t="s">
        <v>1617</v>
      </c>
      <c r="E246" s="678"/>
      <c r="F246" s="678" t="s">
        <v>51</v>
      </c>
      <c r="G246" s="679" t="s">
        <v>47</v>
      </c>
      <c r="H246" s="678" t="s">
        <v>1366</v>
      </c>
      <c r="I246" s="680">
        <v>2320</v>
      </c>
      <c r="J246" s="680">
        <v>2900</v>
      </c>
      <c r="K246" s="680">
        <v>2900</v>
      </c>
      <c r="L246" s="680">
        <v>3670</v>
      </c>
      <c r="M246" s="679"/>
      <c r="N246" s="679"/>
      <c r="O246" s="679"/>
      <c r="P246" s="679"/>
      <c r="Q246" s="679"/>
      <c r="R246" s="679"/>
      <c r="S246" s="679"/>
      <c r="T246" s="679"/>
      <c r="U246" s="679"/>
      <c r="V246" s="679"/>
      <c r="W246" s="679"/>
      <c r="X246" s="681"/>
      <c r="Y246" s="681"/>
      <c r="Z246" s="679" t="s">
        <v>1367</v>
      </c>
      <c r="AA246" s="682" t="s">
        <v>304</v>
      </c>
    </row>
    <row r="247" spans="1:27" s="64" customFormat="1" x14ac:dyDescent="0.25">
      <c r="A247" s="677" t="s">
        <v>1592</v>
      </c>
      <c r="B247" s="678"/>
      <c r="C247" s="678" t="s">
        <v>1400</v>
      </c>
      <c r="D247" s="678" t="s">
        <v>1597</v>
      </c>
      <c r="E247" s="678"/>
      <c r="F247" s="678" t="s">
        <v>51</v>
      </c>
      <c r="G247" s="679" t="s">
        <v>47</v>
      </c>
      <c r="H247" s="678" t="s">
        <v>1366</v>
      </c>
      <c r="I247" s="680">
        <v>2320</v>
      </c>
      <c r="J247" s="680">
        <v>2900</v>
      </c>
      <c r="K247" s="680">
        <v>2900</v>
      </c>
      <c r="L247" s="680">
        <v>3670</v>
      </c>
      <c r="M247" s="679"/>
      <c r="N247" s="679"/>
      <c r="O247" s="679"/>
      <c r="P247" s="679"/>
      <c r="Q247" s="679"/>
      <c r="R247" s="679"/>
      <c r="S247" s="679"/>
      <c r="T247" s="679"/>
      <c r="U247" s="679"/>
      <c r="V247" s="679"/>
      <c r="W247" s="679"/>
      <c r="X247" s="681"/>
      <c r="Y247" s="681"/>
      <c r="Z247" s="679" t="s">
        <v>1367</v>
      </c>
      <c r="AA247" s="682" t="s">
        <v>304</v>
      </c>
    </row>
    <row r="248" spans="1:27" s="64" customFormat="1" x14ac:dyDescent="0.25">
      <c r="A248" s="677" t="s">
        <v>1592</v>
      </c>
      <c r="B248" s="678"/>
      <c r="C248" s="678" t="s">
        <v>1400</v>
      </c>
      <c r="D248" s="678" t="s">
        <v>1377</v>
      </c>
      <c r="E248" s="678" t="s">
        <v>1373</v>
      </c>
      <c r="F248" s="678" t="s">
        <v>53</v>
      </c>
      <c r="G248" s="679" t="s">
        <v>47</v>
      </c>
      <c r="H248" s="678" t="s">
        <v>1366</v>
      </c>
      <c r="I248" s="680">
        <v>3280</v>
      </c>
      <c r="J248" s="680">
        <v>4100</v>
      </c>
      <c r="K248" s="680">
        <v>4100</v>
      </c>
      <c r="L248" s="680">
        <v>5190</v>
      </c>
      <c r="M248" s="679"/>
      <c r="N248" s="679"/>
      <c r="O248" s="679"/>
      <c r="P248" s="679"/>
      <c r="Q248" s="679"/>
      <c r="R248" s="679"/>
      <c r="S248" s="679"/>
      <c r="T248" s="679"/>
      <c r="U248" s="679"/>
      <c r="V248" s="679"/>
      <c r="W248" s="679"/>
      <c r="X248" s="681"/>
      <c r="Y248" s="681"/>
      <c r="Z248" s="679" t="s">
        <v>1367</v>
      </c>
      <c r="AA248" s="682" t="s">
        <v>304</v>
      </c>
    </row>
    <row r="249" spans="1:27" s="64" customFormat="1" x14ac:dyDescent="0.25">
      <c r="A249" s="677" t="s">
        <v>1592</v>
      </c>
      <c r="B249" s="678"/>
      <c r="C249" s="678" t="s">
        <v>1400</v>
      </c>
      <c r="D249" s="678" t="s">
        <v>1377</v>
      </c>
      <c r="E249" s="678" t="s">
        <v>1374</v>
      </c>
      <c r="F249" s="678" t="s">
        <v>53</v>
      </c>
      <c r="G249" s="679" t="s">
        <v>47</v>
      </c>
      <c r="H249" s="678" t="s">
        <v>1366</v>
      </c>
      <c r="I249" s="680">
        <v>3920</v>
      </c>
      <c r="J249" s="680">
        <v>4900</v>
      </c>
      <c r="K249" s="680">
        <v>4900</v>
      </c>
      <c r="L249" s="680">
        <v>6205</v>
      </c>
      <c r="M249" s="679"/>
      <c r="N249" s="679"/>
      <c r="O249" s="679"/>
      <c r="P249" s="679"/>
      <c r="Q249" s="679"/>
      <c r="R249" s="679"/>
      <c r="S249" s="679"/>
      <c r="T249" s="679"/>
      <c r="U249" s="679"/>
      <c r="V249" s="679"/>
      <c r="W249" s="679"/>
      <c r="X249" s="681"/>
      <c r="Y249" s="681"/>
      <c r="Z249" s="679" t="s">
        <v>1367</v>
      </c>
      <c r="AA249" s="682" t="s">
        <v>304</v>
      </c>
    </row>
    <row r="250" spans="1:27" s="64" customFormat="1" x14ac:dyDescent="0.25">
      <c r="A250" s="677" t="s">
        <v>1592</v>
      </c>
      <c r="B250" s="678"/>
      <c r="C250" s="678" t="s">
        <v>1400</v>
      </c>
      <c r="D250" s="678" t="s">
        <v>1618</v>
      </c>
      <c r="E250" s="678" t="s">
        <v>1382</v>
      </c>
      <c r="F250" s="678" t="s">
        <v>53</v>
      </c>
      <c r="G250" s="679" t="s">
        <v>47</v>
      </c>
      <c r="H250" s="678" t="s">
        <v>1366</v>
      </c>
      <c r="I250" s="680">
        <v>3520</v>
      </c>
      <c r="J250" s="680">
        <v>4400</v>
      </c>
      <c r="K250" s="680">
        <v>4400</v>
      </c>
      <c r="L250" s="680">
        <v>5570</v>
      </c>
      <c r="M250" s="679"/>
      <c r="N250" s="679"/>
      <c r="O250" s="679"/>
      <c r="P250" s="679"/>
      <c r="Q250" s="679"/>
      <c r="R250" s="679"/>
      <c r="S250" s="679"/>
      <c r="T250" s="679"/>
      <c r="U250" s="679"/>
      <c r="V250" s="679"/>
      <c r="W250" s="679"/>
      <c r="X250" s="681"/>
      <c r="Y250" s="681"/>
      <c r="Z250" s="679" t="s">
        <v>1367</v>
      </c>
      <c r="AA250" s="682" t="s">
        <v>304</v>
      </c>
    </row>
    <row r="251" spans="1:27" s="64" customFormat="1" x14ac:dyDescent="0.25">
      <c r="A251" s="677" t="s">
        <v>1593</v>
      </c>
      <c r="B251" s="678"/>
      <c r="C251" s="678" t="s">
        <v>1200</v>
      </c>
      <c r="D251" s="678" t="s">
        <v>1619</v>
      </c>
      <c r="E251" s="678"/>
      <c r="F251" s="678" t="s">
        <v>51</v>
      </c>
      <c r="G251" s="679" t="s">
        <v>47</v>
      </c>
      <c r="H251" s="678" t="s">
        <v>1366</v>
      </c>
      <c r="I251" s="680">
        <v>2120</v>
      </c>
      <c r="J251" s="680">
        <v>2650</v>
      </c>
      <c r="K251" s="680">
        <v>2650</v>
      </c>
      <c r="L251" s="680">
        <v>3355</v>
      </c>
      <c r="M251" s="679"/>
      <c r="N251" s="679"/>
      <c r="O251" s="679"/>
      <c r="P251" s="679"/>
      <c r="Q251" s="679"/>
      <c r="R251" s="679"/>
      <c r="S251" s="679"/>
      <c r="T251" s="679"/>
      <c r="U251" s="679"/>
      <c r="V251" s="679"/>
      <c r="W251" s="679"/>
      <c r="X251" s="681"/>
      <c r="Y251" s="681"/>
      <c r="Z251" s="679" t="s">
        <v>1367</v>
      </c>
      <c r="AA251" s="682" t="s">
        <v>304</v>
      </c>
    </row>
    <row r="252" spans="1:27" s="64" customFormat="1" x14ac:dyDescent="0.25">
      <c r="A252" s="677" t="s">
        <v>1593</v>
      </c>
      <c r="B252" s="678"/>
      <c r="C252" s="678" t="s">
        <v>1398</v>
      </c>
      <c r="D252" s="678" t="s">
        <v>1619</v>
      </c>
      <c r="E252" s="678"/>
      <c r="F252" s="678" t="s">
        <v>51</v>
      </c>
      <c r="G252" s="679" t="s">
        <v>47</v>
      </c>
      <c r="H252" s="678" t="s">
        <v>1366</v>
      </c>
      <c r="I252" s="680">
        <v>2120</v>
      </c>
      <c r="J252" s="680">
        <v>2650</v>
      </c>
      <c r="K252" s="680">
        <v>2650</v>
      </c>
      <c r="L252" s="680">
        <v>3355</v>
      </c>
      <c r="M252" s="679"/>
      <c r="N252" s="679"/>
      <c r="O252" s="679"/>
      <c r="P252" s="679"/>
      <c r="Q252" s="679"/>
      <c r="R252" s="679"/>
      <c r="S252" s="679"/>
      <c r="T252" s="679"/>
      <c r="U252" s="679"/>
      <c r="V252" s="679"/>
      <c r="W252" s="679"/>
      <c r="X252" s="681"/>
      <c r="Y252" s="681"/>
      <c r="Z252" s="679" t="s">
        <v>1367</v>
      </c>
      <c r="AA252" s="682" t="s">
        <v>304</v>
      </c>
    </row>
    <row r="253" spans="1:27" s="64" customFormat="1" x14ac:dyDescent="0.25">
      <c r="A253" s="677" t="s">
        <v>1593</v>
      </c>
      <c r="B253" s="678"/>
      <c r="C253" s="678" t="s">
        <v>1392</v>
      </c>
      <c r="D253" s="678" t="s">
        <v>1619</v>
      </c>
      <c r="E253" s="678"/>
      <c r="F253" s="678" t="s">
        <v>51</v>
      </c>
      <c r="G253" s="679" t="s">
        <v>47</v>
      </c>
      <c r="H253" s="678" t="s">
        <v>1366</v>
      </c>
      <c r="I253" s="680">
        <v>2120</v>
      </c>
      <c r="J253" s="680">
        <v>2650</v>
      </c>
      <c r="K253" s="680">
        <v>2650</v>
      </c>
      <c r="L253" s="680">
        <v>3355</v>
      </c>
      <c r="M253" s="679"/>
      <c r="N253" s="679"/>
      <c r="O253" s="679"/>
      <c r="P253" s="679"/>
      <c r="Q253" s="679"/>
      <c r="R253" s="679"/>
      <c r="S253" s="679"/>
      <c r="T253" s="679"/>
      <c r="U253" s="679"/>
      <c r="V253" s="679"/>
      <c r="W253" s="679"/>
      <c r="X253" s="681"/>
      <c r="Y253" s="681"/>
      <c r="Z253" s="679" t="s">
        <v>1367</v>
      </c>
      <c r="AA253" s="682" t="s">
        <v>304</v>
      </c>
    </row>
    <row r="254" spans="1:27" s="64" customFormat="1" x14ac:dyDescent="0.25">
      <c r="A254" s="677" t="s">
        <v>1593</v>
      </c>
      <c r="B254" s="678"/>
      <c r="C254" s="678" t="s">
        <v>1400</v>
      </c>
      <c r="D254" s="678" t="s">
        <v>1619</v>
      </c>
      <c r="E254" s="678"/>
      <c r="F254" s="678" t="s">
        <v>51</v>
      </c>
      <c r="G254" s="679" t="s">
        <v>47</v>
      </c>
      <c r="H254" s="678" t="s">
        <v>1366</v>
      </c>
      <c r="I254" s="680">
        <v>2280</v>
      </c>
      <c r="J254" s="680">
        <v>2850</v>
      </c>
      <c r="K254" s="680">
        <v>2850</v>
      </c>
      <c r="L254" s="680">
        <v>3610</v>
      </c>
      <c r="M254" s="679"/>
      <c r="N254" s="679"/>
      <c r="O254" s="679"/>
      <c r="P254" s="679"/>
      <c r="Q254" s="679"/>
      <c r="R254" s="679"/>
      <c r="S254" s="679"/>
      <c r="T254" s="679"/>
      <c r="U254" s="679"/>
      <c r="V254" s="679"/>
      <c r="W254" s="679"/>
      <c r="X254" s="681"/>
      <c r="Y254" s="681"/>
      <c r="Z254" s="679" t="s">
        <v>1367</v>
      </c>
      <c r="AA254" s="682" t="s">
        <v>304</v>
      </c>
    </row>
    <row r="255" spans="1:27" s="64" customFormat="1" x14ac:dyDescent="0.25">
      <c r="A255" s="677" t="s">
        <v>1591</v>
      </c>
      <c r="B255" s="678"/>
      <c r="C255" s="678" t="s">
        <v>1400</v>
      </c>
      <c r="D255" s="678" t="s">
        <v>1619</v>
      </c>
      <c r="E255" s="678" t="s">
        <v>1620</v>
      </c>
      <c r="F255" s="678" t="s">
        <v>53</v>
      </c>
      <c r="G255" s="679" t="s">
        <v>47</v>
      </c>
      <c r="H255" s="678" t="s">
        <v>1366</v>
      </c>
      <c r="I255" s="680">
        <v>3160</v>
      </c>
      <c r="J255" s="680">
        <v>3950</v>
      </c>
      <c r="K255" s="680">
        <v>3950</v>
      </c>
      <c r="L255" s="680">
        <v>5000</v>
      </c>
      <c r="M255" s="679"/>
      <c r="N255" s="679"/>
      <c r="O255" s="679"/>
      <c r="P255" s="679"/>
      <c r="Q255" s="679"/>
      <c r="R255" s="679"/>
      <c r="S255" s="679"/>
      <c r="T255" s="679"/>
      <c r="U255" s="679"/>
      <c r="V255" s="679"/>
      <c r="W255" s="679"/>
      <c r="X255" s="681"/>
      <c r="Y255" s="681"/>
      <c r="Z255" s="679" t="s">
        <v>1367</v>
      </c>
      <c r="AA255" s="682" t="s">
        <v>304</v>
      </c>
    </row>
    <row r="256" spans="1:27" s="64" customFormat="1" x14ac:dyDescent="0.25">
      <c r="A256" s="677" t="s">
        <v>1593</v>
      </c>
      <c r="B256" s="678"/>
      <c r="C256" s="678" t="s">
        <v>1401</v>
      </c>
      <c r="D256" s="678" t="s">
        <v>1619</v>
      </c>
      <c r="E256" s="678"/>
      <c r="F256" s="678" t="s">
        <v>51</v>
      </c>
      <c r="G256" s="679" t="s">
        <v>47</v>
      </c>
      <c r="H256" s="678" t="s">
        <v>1366</v>
      </c>
      <c r="I256" s="680">
        <v>2200</v>
      </c>
      <c r="J256" s="680">
        <v>2750</v>
      </c>
      <c r="K256" s="680">
        <v>2750</v>
      </c>
      <c r="L256" s="680">
        <v>3480</v>
      </c>
      <c r="M256" s="679"/>
      <c r="N256" s="679"/>
      <c r="O256" s="679"/>
      <c r="P256" s="679"/>
      <c r="Q256" s="679"/>
      <c r="R256" s="679"/>
      <c r="S256" s="679"/>
      <c r="T256" s="679"/>
      <c r="U256" s="679"/>
      <c r="V256" s="679"/>
      <c r="W256" s="679"/>
      <c r="X256" s="681"/>
      <c r="Y256" s="681"/>
      <c r="Z256" s="679" t="s">
        <v>1367</v>
      </c>
      <c r="AA256" s="682" t="s">
        <v>304</v>
      </c>
    </row>
    <row r="257" spans="1:27" s="64" customFormat="1" x14ac:dyDescent="0.25">
      <c r="A257" s="677" t="s">
        <v>1591</v>
      </c>
      <c r="B257" s="678"/>
      <c r="C257" s="678" t="s">
        <v>1401</v>
      </c>
      <c r="D257" s="678" t="s">
        <v>1619</v>
      </c>
      <c r="E257" s="678" t="s">
        <v>1620</v>
      </c>
      <c r="F257" s="678" t="s">
        <v>53</v>
      </c>
      <c r="G257" s="679" t="s">
        <v>47</v>
      </c>
      <c r="H257" s="678" t="s">
        <v>1366</v>
      </c>
      <c r="I257" s="680">
        <v>3080</v>
      </c>
      <c r="J257" s="680">
        <v>3850</v>
      </c>
      <c r="K257" s="680">
        <v>3850</v>
      </c>
      <c r="L257" s="680">
        <v>4875</v>
      </c>
      <c r="M257" s="679"/>
      <c r="N257" s="679"/>
      <c r="O257" s="679"/>
      <c r="P257" s="679"/>
      <c r="Q257" s="679"/>
      <c r="R257" s="679"/>
      <c r="S257" s="679"/>
      <c r="T257" s="679"/>
      <c r="U257" s="679"/>
      <c r="V257" s="679"/>
      <c r="W257" s="679"/>
      <c r="X257" s="681"/>
      <c r="Y257" s="681"/>
      <c r="Z257" s="679" t="s">
        <v>1367</v>
      </c>
      <c r="AA257" s="682" t="s">
        <v>304</v>
      </c>
    </row>
    <row r="258" spans="1:27" s="64" customFormat="1" x14ac:dyDescent="0.25">
      <c r="A258" s="677" t="s">
        <v>1593</v>
      </c>
      <c r="B258" s="678"/>
      <c r="C258" s="678" t="s">
        <v>1616</v>
      </c>
      <c r="D258" s="678" t="s">
        <v>1619</v>
      </c>
      <c r="E258" s="678"/>
      <c r="F258" s="678" t="s">
        <v>51</v>
      </c>
      <c r="G258" s="679" t="s">
        <v>47</v>
      </c>
      <c r="H258" s="678" t="s">
        <v>1366</v>
      </c>
      <c r="I258" s="680">
        <v>2465</v>
      </c>
      <c r="J258" s="680">
        <v>2900</v>
      </c>
      <c r="K258" s="680">
        <v>2900</v>
      </c>
      <c r="L258" s="680">
        <v>3670</v>
      </c>
      <c r="M258" s="679"/>
      <c r="N258" s="679"/>
      <c r="O258" s="679"/>
      <c r="P258" s="679"/>
      <c r="Q258" s="679"/>
      <c r="R258" s="679"/>
      <c r="S258" s="679"/>
      <c r="T258" s="679"/>
      <c r="U258" s="679"/>
      <c r="V258" s="679"/>
      <c r="W258" s="679"/>
      <c r="X258" s="681"/>
      <c r="Y258" s="681"/>
      <c r="Z258" s="679" t="s">
        <v>1367</v>
      </c>
      <c r="AA258" s="682" t="s">
        <v>304</v>
      </c>
    </row>
    <row r="259" spans="1:27" s="64" customFormat="1" x14ac:dyDescent="0.25">
      <c r="A259" s="677" t="s">
        <v>1653</v>
      </c>
      <c r="B259" s="678"/>
      <c r="C259" s="678" t="s">
        <v>1601</v>
      </c>
      <c r="D259" s="678" t="s">
        <v>1654</v>
      </c>
      <c r="E259" s="678"/>
      <c r="F259" s="678" t="s">
        <v>51</v>
      </c>
      <c r="G259" s="679" t="s">
        <v>47</v>
      </c>
      <c r="H259" s="678" t="s">
        <v>1366</v>
      </c>
      <c r="I259" s="680">
        <v>2080</v>
      </c>
      <c r="J259" s="680">
        <v>2600</v>
      </c>
      <c r="K259" s="680">
        <v>2600</v>
      </c>
      <c r="L259" s="680">
        <v>3290</v>
      </c>
      <c r="M259" s="679"/>
      <c r="N259" s="679"/>
      <c r="O259" s="679"/>
      <c r="P259" s="679"/>
      <c r="Q259" s="679"/>
      <c r="R259" s="679"/>
      <c r="S259" s="679"/>
      <c r="T259" s="679"/>
      <c r="U259" s="679"/>
      <c r="V259" s="679"/>
      <c r="W259" s="679"/>
      <c r="X259" s="681"/>
      <c r="Y259" s="681"/>
      <c r="Z259" s="679" t="s">
        <v>1367</v>
      </c>
      <c r="AA259" s="682" t="s">
        <v>304</v>
      </c>
    </row>
    <row r="260" spans="1:27" s="64" customFormat="1" x14ac:dyDescent="0.25">
      <c r="A260" s="677" t="s">
        <v>1653</v>
      </c>
      <c r="B260" s="678"/>
      <c r="C260" s="678" t="s">
        <v>1392</v>
      </c>
      <c r="D260" s="678" t="s">
        <v>1654</v>
      </c>
      <c r="E260" s="678"/>
      <c r="F260" s="678" t="s">
        <v>51</v>
      </c>
      <c r="G260" s="679" t="s">
        <v>47</v>
      </c>
      <c r="H260" s="678" t="s">
        <v>1366</v>
      </c>
      <c r="I260" s="680">
        <v>2080</v>
      </c>
      <c r="J260" s="680">
        <v>2600</v>
      </c>
      <c r="K260" s="680">
        <v>2600</v>
      </c>
      <c r="L260" s="680">
        <v>3290</v>
      </c>
      <c r="M260" s="679"/>
      <c r="N260" s="679"/>
      <c r="O260" s="679"/>
      <c r="P260" s="679"/>
      <c r="Q260" s="679"/>
      <c r="R260" s="679"/>
      <c r="S260" s="679"/>
      <c r="T260" s="679"/>
      <c r="U260" s="679"/>
      <c r="V260" s="679"/>
      <c r="W260" s="679"/>
      <c r="X260" s="681"/>
      <c r="Y260" s="681"/>
      <c r="Z260" s="679" t="s">
        <v>1367</v>
      </c>
      <c r="AA260" s="682" t="s">
        <v>304</v>
      </c>
    </row>
    <row r="261" spans="1:27" s="258" customFormat="1" x14ac:dyDescent="0.25">
      <c r="A261" s="683" t="s">
        <v>1590</v>
      </c>
      <c r="B261" s="684"/>
      <c r="C261" s="684" t="s">
        <v>1199</v>
      </c>
      <c r="D261" s="684" t="s">
        <v>1388</v>
      </c>
      <c r="E261" s="684"/>
      <c r="F261" s="684" t="s">
        <v>51</v>
      </c>
      <c r="G261" s="685" t="s">
        <v>47</v>
      </c>
      <c r="H261" s="684" t="s">
        <v>1366</v>
      </c>
      <c r="I261" s="686">
        <v>1960</v>
      </c>
      <c r="J261" s="686">
        <v>2450</v>
      </c>
      <c r="K261" s="686">
        <v>2450</v>
      </c>
      <c r="L261" s="686">
        <v>3100</v>
      </c>
      <c r="M261" s="685"/>
      <c r="N261" s="685"/>
      <c r="O261" s="685"/>
      <c r="P261" s="685"/>
      <c r="Q261" s="685"/>
      <c r="R261" s="685"/>
      <c r="S261" s="685"/>
      <c r="T261" s="685"/>
      <c r="U261" s="685"/>
      <c r="V261" s="685"/>
      <c r="W261" s="685"/>
      <c r="X261" s="687"/>
      <c r="Y261" s="687"/>
      <c r="Z261" s="685" t="s">
        <v>1367</v>
      </c>
      <c r="AA261" s="688" t="s">
        <v>304</v>
      </c>
    </row>
    <row r="262" spans="1:27" s="258" customFormat="1" x14ac:dyDescent="0.25">
      <c r="A262" s="683" t="s">
        <v>1590</v>
      </c>
      <c r="B262" s="684"/>
      <c r="C262" s="684" t="s">
        <v>1398</v>
      </c>
      <c r="D262" s="684" t="s">
        <v>1388</v>
      </c>
      <c r="E262" s="684"/>
      <c r="F262" s="684" t="s">
        <v>51</v>
      </c>
      <c r="G262" s="685" t="s">
        <v>47</v>
      </c>
      <c r="H262" s="684" t="s">
        <v>1366</v>
      </c>
      <c r="I262" s="686">
        <v>1880</v>
      </c>
      <c r="J262" s="686">
        <v>2350</v>
      </c>
      <c r="K262" s="686">
        <v>2350</v>
      </c>
      <c r="L262" s="686">
        <v>2975</v>
      </c>
      <c r="M262" s="685"/>
      <c r="N262" s="685"/>
      <c r="O262" s="685"/>
      <c r="P262" s="685"/>
      <c r="Q262" s="685"/>
      <c r="R262" s="685"/>
      <c r="S262" s="685"/>
      <c r="T262" s="685"/>
      <c r="U262" s="685"/>
      <c r="V262" s="685"/>
      <c r="W262" s="685"/>
      <c r="X262" s="687"/>
      <c r="Y262" s="687"/>
      <c r="Z262" s="685" t="s">
        <v>1367</v>
      </c>
      <c r="AA262" s="688" t="s">
        <v>304</v>
      </c>
    </row>
    <row r="263" spans="1:27" s="258" customFormat="1" x14ac:dyDescent="0.25">
      <c r="A263" s="683" t="s">
        <v>1590</v>
      </c>
      <c r="B263" s="684"/>
      <c r="C263" s="684" t="s">
        <v>1400</v>
      </c>
      <c r="D263" s="684" t="s">
        <v>1388</v>
      </c>
      <c r="E263" s="684"/>
      <c r="F263" s="684" t="s">
        <v>51</v>
      </c>
      <c r="G263" s="685" t="s">
        <v>47</v>
      </c>
      <c r="H263" s="684" t="s">
        <v>1366</v>
      </c>
      <c r="I263" s="686">
        <v>2040</v>
      </c>
      <c r="J263" s="686">
        <v>2550</v>
      </c>
      <c r="K263" s="686">
        <v>2550</v>
      </c>
      <c r="L263" s="686">
        <v>3230</v>
      </c>
      <c r="M263" s="685"/>
      <c r="N263" s="685"/>
      <c r="O263" s="685"/>
      <c r="P263" s="685"/>
      <c r="Q263" s="685"/>
      <c r="R263" s="685"/>
      <c r="S263" s="685"/>
      <c r="T263" s="685"/>
      <c r="U263" s="685"/>
      <c r="V263" s="685"/>
      <c r="W263" s="685"/>
      <c r="X263" s="687"/>
      <c r="Y263" s="687"/>
      <c r="Z263" s="685" t="s">
        <v>1367</v>
      </c>
      <c r="AA263" s="688" t="s">
        <v>304</v>
      </c>
    </row>
    <row r="264" spans="1:27" s="258" customFormat="1" x14ac:dyDescent="0.25">
      <c r="A264" s="683" t="s">
        <v>1590</v>
      </c>
      <c r="B264" s="684"/>
      <c r="C264" s="684" t="s">
        <v>1401</v>
      </c>
      <c r="D264" s="684" t="s">
        <v>1388</v>
      </c>
      <c r="E264" s="684"/>
      <c r="F264" s="684" t="s">
        <v>51</v>
      </c>
      <c r="G264" s="685" t="s">
        <v>47</v>
      </c>
      <c r="H264" s="684" t="s">
        <v>1366</v>
      </c>
      <c r="I264" s="686">
        <v>2040</v>
      </c>
      <c r="J264" s="686">
        <v>2550</v>
      </c>
      <c r="K264" s="686">
        <v>2550</v>
      </c>
      <c r="L264" s="686">
        <v>3230</v>
      </c>
      <c r="M264" s="685"/>
      <c r="N264" s="685"/>
      <c r="O264" s="685"/>
      <c r="P264" s="685"/>
      <c r="Q264" s="685"/>
      <c r="R264" s="685"/>
      <c r="S264" s="685"/>
      <c r="T264" s="685"/>
      <c r="U264" s="685"/>
      <c r="V264" s="685"/>
      <c r="W264" s="685"/>
      <c r="X264" s="687"/>
      <c r="Y264" s="687"/>
      <c r="Z264" s="685" t="s">
        <v>1367</v>
      </c>
      <c r="AA264" s="688" t="s">
        <v>304</v>
      </c>
    </row>
    <row r="265" spans="1:27" s="258" customFormat="1" x14ac:dyDescent="0.25">
      <c r="A265" s="683" t="s">
        <v>1591</v>
      </c>
      <c r="B265" s="684"/>
      <c r="C265" s="684" t="s">
        <v>1601</v>
      </c>
      <c r="D265" s="684" t="s">
        <v>1390</v>
      </c>
      <c r="E265" s="684"/>
      <c r="F265" s="684" t="s">
        <v>51</v>
      </c>
      <c r="G265" s="685" t="s">
        <v>47</v>
      </c>
      <c r="H265" s="684" t="s">
        <v>1366</v>
      </c>
      <c r="I265" s="686">
        <v>2000</v>
      </c>
      <c r="J265" s="686">
        <v>2500</v>
      </c>
      <c r="K265" s="686">
        <v>2500</v>
      </c>
      <c r="L265" s="686">
        <v>3165</v>
      </c>
      <c r="M265" s="685"/>
      <c r="N265" s="685"/>
      <c r="O265" s="685"/>
      <c r="P265" s="685"/>
      <c r="Q265" s="685"/>
      <c r="R265" s="685"/>
      <c r="S265" s="685"/>
      <c r="T265" s="685"/>
      <c r="U265" s="685"/>
      <c r="V265" s="685"/>
      <c r="W265" s="685"/>
      <c r="X265" s="687"/>
      <c r="Y265" s="687"/>
      <c r="Z265" s="685" t="s">
        <v>1367</v>
      </c>
      <c r="AA265" s="688" t="s">
        <v>389</v>
      </c>
    </row>
    <row r="266" spans="1:27" s="258" customFormat="1" x14ac:dyDescent="0.25">
      <c r="A266" s="683" t="s">
        <v>1591</v>
      </c>
      <c r="B266" s="684"/>
      <c r="C266" s="684" t="s">
        <v>1601</v>
      </c>
      <c r="D266" s="684" t="s">
        <v>1391</v>
      </c>
      <c r="E266" s="684"/>
      <c r="F266" s="684" t="s">
        <v>51</v>
      </c>
      <c r="G266" s="685" t="s">
        <v>47</v>
      </c>
      <c r="H266" s="684" t="s">
        <v>1366</v>
      </c>
      <c r="I266" s="686">
        <v>2000</v>
      </c>
      <c r="J266" s="686">
        <v>2500</v>
      </c>
      <c r="K266" s="686">
        <v>2500</v>
      </c>
      <c r="L266" s="686">
        <v>3165</v>
      </c>
      <c r="M266" s="685"/>
      <c r="N266" s="685"/>
      <c r="O266" s="685"/>
      <c r="P266" s="685"/>
      <c r="Q266" s="685"/>
      <c r="R266" s="685"/>
      <c r="S266" s="685"/>
      <c r="T266" s="685"/>
      <c r="U266" s="685"/>
      <c r="V266" s="685"/>
      <c r="W266" s="685"/>
      <c r="X266" s="687"/>
      <c r="Y266" s="687"/>
      <c r="Z266" s="685" t="s">
        <v>1367</v>
      </c>
      <c r="AA266" s="688" t="s">
        <v>304</v>
      </c>
    </row>
    <row r="267" spans="1:27" s="258" customFormat="1" x14ac:dyDescent="0.25">
      <c r="A267" s="683" t="s">
        <v>1591</v>
      </c>
      <c r="B267" s="684"/>
      <c r="C267" s="684" t="s">
        <v>1601</v>
      </c>
      <c r="D267" s="684" t="s">
        <v>1608</v>
      </c>
      <c r="E267" s="684"/>
      <c r="F267" s="684" t="s">
        <v>51</v>
      </c>
      <c r="G267" s="685" t="s">
        <v>47</v>
      </c>
      <c r="H267" s="684" t="s">
        <v>1366</v>
      </c>
      <c r="I267" s="686">
        <v>2000</v>
      </c>
      <c r="J267" s="686">
        <v>2500</v>
      </c>
      <c r="K267" s="686">
        <v>2500</v>
      </c>
      <c r="L267" s="686">
        <v>3165</v>
      </c>
      <c r="M267" s="685"/>
      <c r="N267" s="685"/>
      <c r="O267" s="685"/>
      <c r="P267" s="685"/>
      <c r="Q267" s="685"/>
      <c r="R267" s="685"/>
      <c r="S267" s="685"/>
      <c r="T267" s="685"/>
      <c r="U267" s="685"/>
      <c r="V267" s="685"/>
      <c r="W267" s="685"/>
      <c r="X267" s="687"/>
      <c r="Y267" s="687"/>
      <c r="Z267" s="685" t="s">
        <v>1367</v>
      </c>
      <c r="AA267" s="688" t="s">
        <v>389</v>
      </c>
    </row>
    <row r="268" spans="1:27" s="258" customFormat="1" x14ac:dyDescent="0.25">
      <c r="A268" s="683" t="s">
        <v>1591</v>
      </c>
      <c r="B268" s="684"/>
      <c r="C268" s="684" t="s">
        <v>1601</v>
      </c>
      <c r="D268" s="684" t="s">
        <v>1609</v>
      </c>
      <c r="E268" s="684"/>
      <c r="F268" s="684" t="s">
        <v>51</v>
      </c>
      <c r="G268" s="685" t="s">
        <v>47</v>
      </c>
      <c r="H268" s="684" t="s">
        <v>1366</v>
      </c>
      <c r="I268" s="686">
        <v>2000</v>
      </c>
      <c r="J268" s="686">
        <v>2500</v>
      </c>
      <c r="K268" s="686">
        <v>2500</v>
      </c>
      <c r="L268" s="686">
        <v>3165</v>
      </c>
      <c r="M268" s="685"/>
      <c r="N268" s="685"/>
      <c r="O268" s="685"/>
      <c r="P268" s="685"/>
      <c r="Q268" s="685"/>
      <c r="R268" s="685"/>
      <c r="S268" s="685"/>
      <c r="T268" s="685"/>
      <c r="U268" s="685"/>
      <c r="V268" s="685"/>
      <c r="W268" s="685"/>
      <c r="X268" s="687"/>
      <c r="Y268" s="687"/>
      <c r="Z268" s="685" t="s">
        <v>1367</v>
      </c>
      <c r="AA268" s="688" t="s">
        <v>304</v>
      </c>
    </row>
    <row r="269" spans="1:27" s="258" customFormat="1" x14ac:dyDescent="0.25">
      <c r="A269" s="683" t="s">
        <v>1591</v>
      </c>
      <c r="B269" s="684"/>
      <c r="C269" s="684" t="s">
        <v>1601</v>
      </c>
      <c r="D269" s="684" t="s">
        <v>1608</v>
      </c>
      <c r="E269" s="684" t="s">
        <v>1387</v>
      </c>
      <c r="F269" s="684" t="s">
        <v>53</v>
      </c>
      <c r="G269" s="685" t="s">
        <v>47</v>
      </c>
      <c r="H269" s="684" t="s">
        <v>1366</v>
      </c>
      <c r="I269" s="686">
        <v>2600</v>
      </c>
      <c r="J269" s="686">
        <v>3250</v>
      </c>
      <c r="K269" s="686">
        <v>3250</v>
      </c>
      <c r="L269" s="686">
        <v>4115</v>
      </c>
      <c r="M269" s="685"/>
      <c r="N269" s="685"/>
      <c r="O269" s="685"/>
      <c r="P269" s="685"/>
      <c r="Q269" s="685"/>
      <c r="R269" s="685"/>
      <c r="S269" s="685"/>
      <c r="T269" s="685"/>
      <c r="U269" s="685"/>
      <c r="V269" s="685"/>
      <c r="W269" s="685"/>
      <c r="X269" s="687"/>
      <c r="Y269" s="687"/>
      <c r="Z269" s="685" t="s">
        <v>1367</v>
      </c>
      <c r="AA269" s="688" t="s">
        <v>304</v>
      </c>
    </row>
    <row r="270" spans="1:27" s="258" customFormat="1" x14ac:dyDescent="0.25">
      <c r="A270" s="683" t="s">
        <v>1591</v>
      </c>
      <c r="B270" s="684"/>
      <c r="C270" s="684" t="s">
        <v>1601</v>
      </c>
      <c r="D270" s="684" t="s">
        <v>1390</v>
      </c>
      <c r="E270" s="684" t="s">
        <v>1610</v>
      </c>
      <c r="F270" s="684" t="s">
        <v>53</v>
      </c>
      <c r="G270" s="685" t="s">
        <v>47</v>
      </c>
      <c r="H270" s="684" t="s">
        <v>1366</v>
      </c>
      <c r="I270" s="686">
        <v>3040</v>
      </c>
      <c r="J270" s="686">
        <v>3800</v>
      </c>
      <c r="K270" s="686">
        <v>3800</v>
      </c>
      <c r="L270" s="686">
        <v>4810</v>
      </c>
      <c r="M270" s="685"/>
      <c r="N270" s="685"/>
      <c r="O270" s="685"/>
      <c r="P270" s="685"/>
      <c r="Q270" s="685"/>
      <c r="R270" s="685"/>
      <c r="S270" s="685"/>
      <c r="T270" s="685"/>
      <c r="U270" s="685"/>
      <c r="V270" s="685"/>
      <c r="W270" s="685"/>
      <c r="X270" s="687"/>
      <c r="Y270" s="687"/>
      <c r="Z270" s="685" t="s">
        <v>1367</v>
      </c>
      <c r="AA270" s="688" t="s">
        <v>304</v>
      </c>
    </row>
    <row r="271" spans="1:27" s="258" customFormat="1" x14ac:dyDescent="0.25">
      <c r="A271" s="683" t="s">
        <v>1591</v>
      </c>
      <c r="B271" s="684"/>
      <c r="C271" s="684" t="s">
        <v>1601</v>
      </c>
      <c r="D271" s="684" t="s">
        <v>1608</v>
      </c>
      <c r="E271" s="684" t="s">
        <v>1389</v>
      </c>
      <c r="F271" s="684" t="s">
        <v>53</v>
      </c>
      <c r="G271" s="685" t="s">
        <v>47</v>
      </c>
      <c r="H271" s="684" t="s">
        <v>1366</v>
      </c>
      <c r="I271" s="686">
        <v>2600</v>
      </c>
      <c r="J271" s="686">
        <v>3250</v>
      </c>
      <c r="K271" s="686">
        <v>3250</v>
      </c>
      <c r="L271" s="686">
        <v>4115</v>
      </c>
      <c r="M271" s="685"/>
      <c r="N271" s="685"/>
      <c r="O271" s="685"/>
      <c r="P271" s="685"/>
      <c r="Q271" s="685"/>
      <c r="R271" s="685"/>
      <c r="S271" s="685"/>
      <c r="T271" s="685"/>
      <c r="U271" s="685"/>
      <c r="V271" s="685"/>
      <c r="W271" s="685"/>
      <c r="X271" s="687"/>
      <c r="Y271" s="687"/>
      <c r="Z271" s="685" t="s">
        <v>1367</v>
      </c>
      <c r="AA271" s="688" t="s">
        <v>304</v>
      </c>
    </row>
    <row r="272" spans="1:27" s="258" customFormat="1" x14ac:dyDescent="0.25">
      <c r="A272" s="683" t="s">
        <v>1591</v>
      </c>
      <c r="B272" s="684"/>
      <c r="C272" s="684" t="s">
        <v>1601</v>
      </c>
      <c r="D272" s="684" t="s">
        <v>1608</v>
      </c>
      <c r="E272" s="684" t="s">
        <v>1611</v>
      </c>
      <c r="F272" s="684" t="s">
        <v>53</v>
      </c>
      <c r="G272" s="685" t="s">
        <v>47</v>
      </c>
      <c r="H272" s="684" t="s">
        <v>1366</v>
      </c>
      <c r="I272" s="686">
        <v>2800</v>
      </c>
      <c r="J272" s="686">
        <v>3500</v>
      </c>
      <c r="K272" s="686">
        <v>3500</v>
      </c>
      <c r="L272" s="686">
        <v>4430</v>
      </c>
      <c r="M272" s="685"/>
      <c r="N272" s="685"/>
      <c r="O272" s="685"/>
      <c r="P272" s="685"/>
      <c r="Q272" s="685"/>
      <c r="R272" s="685"/>
      <c r="S272" s="685"/>
      <c r="T272" s="685"/>
      <c r="U272" s="685"/>
      <c r="V272" s="685"/>
      <c r="W272" s="685"/>
      <c r="X272" s="687"/>
      <c r="Y272" s="687"/>
      <c r="Z272" s="685" t="s">
        <v>1367</v>
      </c>
      <c r="AA272" s="688" t="s">
        <v>304</v>
      </c>
    </row>
    <row r="273" spans="1:27" s="258" customFormat="1" x14ac:dyDescent="0.25">
      <c r="A273" s="683" t="s">
        <v>1591</v>
      </c>
      <c r="B273" s="684"/>
      <c r="C273" s="684" t="s">
        <v>1601</v>
      </c>
      <c r="D273" s="684" t="s">
        <v>1390</v>
      </c>
      <c r="E273" s="684" t="s">
        <v>1369</v>
      </c>
      <c r="F273" s="684" t="s">
        <v>53</v>
      </c>
      <c r="G273" s="685" t="s">
        <v>47</v>
      </c>
      <c r="H273" s="684" t="s">
        <v>1366</v>
      </c>
      <c r="I273" s="686">
        <v>3040</v>
      </c>
      <c r="J273" s="686">
        <v>3800</v>
      </c>
      <c r="K273" s="686">
        <v>3800</v>
      </c>
      <c r="L273" s="686">
        <v>4810</v>
      </c>
      <c r="M273" s="685"/>
      <c r="N273" s="685"/>
      <c r="O273" s="685"/>
      <c r="P273" s="685"/>
      <c r="Q273" s="685"/>
      <c r="R273" s="685"/>
      <c r="S273" s="685"/>
      <c r="T273" s="685"/>
      <c r="U273" s="685"/>
      <c r="V273" s="685"/>
      <c r="W273" s="685"/>
      <c r="X273" s="687"/>
      <c r="Y273" s="687"/>
      <c r="Z273" s="685" t="s">
        <v>1367</v>
      </c>
      <c r="AA273" s="688" t="s">
        <v>304</v>
      </c>
    </row>
    <row r="274" spans="1:27" s="258" customFormat="1" x14ac:dyDescent="0.25">
      <c r="A274" s="683" t="s">
        <v>1591</v>
      </c>
      <c r="B274" s="684"/>
      <c r="C274" s="684" t="s">
        <v>1601</v>
      </c>
      <c r="D274" s="684" t="s">
        <v>1391</v>
      </c>
      <c r="E274" s="684" t="s">
        <v>1369</v>
      </c>
      <c r="F274" s="684" t="s">
        <v>53</v>
      </c>
      <c r="G274" s="685" t="s">
        <v>47</v>
      </c>
      <c r="H274" s="684" t="s">
        <v>1366</v>
      </c>
      <c r="I274" s="686">
        <v>3040</v>
      </c>
      <c r="J274" s="686">
        <v>3800</v>
      </c>
      <c r="K274" s="686">
        <v>3800</v>
      </c>
      <c r="L274" s="686">
        <v>4810</v>
      </c>
      <c r="M274" s="685"/>
      <c r="N274" s="685"/>
      <c r="O274" s="685"/>
      <c r="P274" s="685"/>
      <c r="Q274" s="685"/>
      <c r="R274" s="685"/>
      <c r="S274" s="685"/>
      <c r="T274" s="685"/>
      <c r="U274" s="685"/>
      <c r="V274" s="685"/>
      <c r="W274" s="685"/>
      <c r="X274" s="687"/>
      <c r="Y274" s="687"/>
      <c r="Z274" s="685" t="s">
        <v>1367</v>
      </c>
      <c r="AA274" s="688" t="s">
        <v>304</v>
      </c>
    </row>
    <row r="275" spans="1:27" s="258" customFormat="1" x14ac:dyDescent="0.25">
      <c r="A275" s="683" t="s">
        <v>1591</v>
      </c>
      <c r="B275" s="684"/>
      <c r="C275" s="684" t="s">
        <v>1601</v>
      </c>
      <c r="D275" s="684" t="s">
        <v>1390</v>
      </c>
      <c r="E275" s="684" t="s">
        <v>1370</v>
      </c>
      <c r="F275" s="684" t="s">
        <v>53</v>
      </c>
      <c r="G275" s="685" t="s">
        <v>47</v>
      </c>
      <c r="H275" s="684" t="s">
        <v>1366</v>
      </c>
      <c r="I275" s="686">
        <v>3040</v>
      </c>
      <c r="J275" s="686">
        <v>3800</v>
      </c>
      <c r="K275" s="686">
        <v>3800</v>
      </c>
      <c r="L275" s="686">
        <v>4810</v>
      </c>
      <c r="M275" s="685"/>
      <c r="N275" s="685"/>
      <c r="O275" s="685"/>
      <c r="P275" s="685"/>
      <c r="Q275" s="685"/>
      <c r="R275" s="685"/>
      <c r="S275" s="685"/>
      <c r="T275" s="685"/>
      <c r="U275" s="685"/>
      <c r="V275" s="685"/>
      <c r="W275" s="685"/>
      <c r="X275" s="687"/>
      <c r="Y275" s="687"/>
      <c r="Z275" s="685" t="s">
        <v>1367</v>
      </c>
      <c r="AA275" s="688" t="s">
        <v>304</v>
      </c>
    </row>
    <row r="276" spans="1:27" s="258" customFormat="1" x14ac:dyDescent="0.25">
      <c r="A276" s="683" t="s">
        <v>1591</v>
      </c>
      <c r="B276" s="684"/>
      <c r="C276" s="684" t="s">
        <v>1601</v>
      </c>
      <c r="D276" s="684" t="s">
        <v>1391</v>
      </c>
      <c r="E276" s="684" t="s">
        <v>1370</v>
      </c>
      <c r="F276" s="684" t="s">
        <v>53</v>
      </c>
      <c r="G276" s="685" t="s">
        <v>47</v>
      </c>
      <c r="H276" s="684" t="s">
        <v>1366</v>
      </c>
      <c r="I276" s="686">
        <v>3040</v>
      </c>
      <c r="J276" s="686">
        <v>3800</v>
      </c>
      <c r="K276" s="686">
        <v>3800</v>
      </c>
      <c r="L276" s="686">
        <v>4810</v>
      </c>
      <c r="M276" s="685"/>
      <c r="N276" s="685"/>
      <c r="O276" s="685"/>
      <c r="P276" s="685"/>
      <c r="Q276" s="685"/>
      <c r="R276" s="685"/>
      <c r="S276" s="685"/>
      <c r="T276" s="685"/>
      <c r="U276" s="685"/>
      <c r="V276" s="685"/>
      <c r="W276" s="685"/>
      <c r="X276" s="687"/>
      <c r="Y276" s="687"/>
      <c r="Z276" s="685" t="s">
        <v>1367</v>
      </c>
      <c r="AA276" s="688" t="s">
        <v>304</v>
      </c>
    </row>
    <row r="277" spans="1:27" s="258" customFormat="1" x14ac:dyDescent="0.25">
      <c r="A277" s="683" t="s">
        <v>1591</v>
      </c>
      <c r="B277" s="684"/>
      <c r="C277" s="684" t="s">
        <v>1601</v>
      </c>
      <c r="D277" s="684" t="s">
        <v>1390</v>
      </c>
      <c r="E277" s="684" t="s">
        <v>1371</v>
      </c>
      <c r="F277" s="684" t="s">
        <v>53</v>
      </c>
      <c r="G277" s="685" t="s">
        <v>47</v>
      </c>
      <c r="H277" s="684" t="s">
        <v>1366</v>
      </c>
      <c r="I277" s="686">
        <v>2920</v>
      </c>
      <c r="J277" s="686">
        <v>3650</v>
      </c>
      <c r="K277" s="686">
        <v>3650</v>
      </c>
      <c r="L277" s="686">
        <v>4620</v>
      </c>
      <c r="M277" s="685"/>
      <c r="N277" s="685"/>
      <c r="O277" s="685"/>
      <c r="P277" s="685"/>
      <c r="Q277" s="685"/>
      <c r="R277" s="685"/>
      <c r="S277" s="685"/>
      <c r="T277" s="685"/>
      <c r="U277" s="685"/>
      <c r="V277" s="685"/>
      <c r="W277" s="685"/>
      <c r="X277" s="687"/>
      <c r="Y277" s="687"/>
      <c r="Z277" s="685" t="s">
        <v>1367</v>
      </c>
      <c r="AA277" s="688" t="s">
        <v>304</v>
      </c>
    </row>
    <row r="278" spans="1:27" s="258" customFormat="1" x14ac:dyDescent="0.25">
      <c r="A278" s="683" t="s">
        <v>1591</v>
      </c>
      <c r="B278" s="684"/>
      <c r="C278" s="684" t="s">
        <v>1601</v>
      </c>
      <c r="D278" s="684" t="s">
        <v>1391</v>
      </c>
      <c r="E278" s="684" t="s">
        <v>1371</v>
      </c>
      <c r="F278" s="684" t="s">
        <v>53</v>
      </c>
      <c r="G278" s="685" t="s">
        <v>47</v>
      </c>
      <c r="H278" s="684" t="s">
        <v>1366</v>
      </c>
      <c r="I278" s="686">
        <v>2920</v>
      </c>
      <c r="J278" s="686">
        <v>3650</v>
      </c>
      <c r="K278" s="686">
        <v>3650</v>
      </c>
      <c r="L278" s="686">
        <v>4620</v>
      </c>
      <c r="M278" s="685"/>
      <c r="N278" s="685"/>
      <c r="O278" s="685"/>
      <c r="P278" s="685"/>
      <c r="Q278" s="685"/>
      <c r="R278" s="685"/>
      <c r="S278" s="685"/>
      <c r="T278" s="685"/>
      <c r="U278" s="685"/>
      <c r="V278" s="685"/>
      <c r="W278" s="685"/>
      <c r="X278" s="687"/>
      <c r="Y278" s="687"/>
      <c r="Z278" s="685" t="s">
        <v>1367</v>
      </c>
      <c r="AA278" s="688" t="s">
        <v>304</v>
      </c>
    </row>
    <row r="279" spans="1:27" s="258" customFormat="1" x14ac:dyDescent="0.25">
      <c r="A279" s="683" t="s">
        <v>1591</v>
      </c>
      <c r="B279" s="684"/>
      <c r="C279" s="684" t="s">
        <v>1601</v>
      </c>
      <c r="D279" s="684" t="s">
        <v>1390</v>
      </c>
      <c r="E279" s="684" t="s">
        <v>1372</v>
      </c>
      <c r="F279" s="684" t="s">
        <v>53</v>
      </c>
      <c r="G279" s="685" t="s">
        <v>47</v>
      </c>
      <c r="H279" s="684" t="s">
        <v>1366</v>
      </c>
      <c r="I279" s="686">
        <v>3080</v>
      </c>
      <c r="J279" s="686">
        <v>3850</v>
      </c>
      <c r="K279" s="686">
        <v>3850</v>
      </c>
      <c r="L279" s="686">
        <v>4875</v>
      </c>
      <c r="M279" s="685"/>
      <c r="N279" s="685"/>
      <c r="O279" s="685"/>
      <c r="P279" s="685"/>
      <c r="Q279" s="685"/>
      <c r="R279" s="685"/>
      <c r="S279" s="685"/>
      <c r="T279" s="685"/>
      <c r="U279" s="685"/>
      <c r="V279" s="685"/>
      <c r="W279" s="685"/>
      <c r="X279" s="687"/>
      <c r="Y279" s="687"/>
      <c r="Z279" s="685" t="s">
        <v>1367</v>
      </c>
      <c r="AA279" s="688" t="s">
        <v>304</v>
      </c>
    </row>
    <row r="280" spans="1:27" s="258" customFormat="1" x14ac:dyDescent="0.25">
      <c r="A280" s="683" t="s">
        <v>1591</v>
      </c>
      <c r="B280" s="684"/>
      <c r="C280" s="684" t="s">
        <v>1601</v>
      </c>
      <c r="D280" s="684" t="s">
        <v>1391</v>
      </c>
      <c r="E280" s="684" t="s">
        <v>1372</v>
      </c>
      <c r="F280" s="684" t="s">
        <v>53</v>
      </c>
      <c r="G280" s="685" t="s">
        <v>47</v>
      </c>
      <c r="H280" s="684" t="s">
        <v>1366</v>
      </c>
      <c r="I280" s="686">
        <v>3080</v>
      </c>
      <c r="J280" s="686">
        <v>3850</v>
      </c>
      <c r="K280" s="686">
        <v>3850</v>
      </c>
      <c r="L280" s="686">
        <v>4875</v>
      </c>
      <c r="M280" s="685"/>
      <c r="N280" s="685"/>
      <c r="O280" s="685"/>
      <c r="P280" s="685"/>
      <c r="Q280" s="685"/>
      <c r="R280" s="685"/>
      <c r="S280" s="685"/>
      <c r="T280" s="685"/>
      <c r="U280" s="685"/>
      <c r="V280" s="685"/>
      <c r="W280" s="685"/>
      <c r="X280" s="687"/>
      <c r="Y280" s="687"/>
      <c r="Z280" s="685" t="s">
        <v>1367</v>
      </c>
      <c r="AA280" s="688" t="s">
        <v>304</v>
      </c>
    </row>
    <row r="281" spans="1:27" s="258" customFormat="1" x14ac:dyDescent="0.25">
      <c r="A281" s="683" t="s">
        <v>1591</v>
      </c>
      <c r="B281" s="684"/>
      <c r="C281" s="684" t="s">
        <v>1601</v>
      </c>
      <c r="D281" s="684" t="s">
        <v>1391</v>
      </c>
      <c r="E281" s="684" t="s">
        <v>1375</v>
      </c>
      <c r="F281" s="684" t="s">
        <v>53</v>
      </c>
      <c r="G281" s="685" t="s">
        <v>47</v>
      </c>
      <c r="H281" s="684" t="s">
        <v>1366</v>
      </c>
      <c r="I281" s="686">
        <v>3000</v>
      </c>
      <c r="J281" s="686">
        <v>3750</v>
      </c>
      <c r="K281" s="686">
        <v>3750</v>
      </c>
      <c r="L281" s="686">
        <v>4750</v>
      </c>
      <c r="M281" s="685"/>
      <c r="N281" s="685"/>
      <c r="O281" s="685"/>
      <c r="P281" s="685"/>
      <c r="Q281" s="685"/>
      <c r="R281" s="685"/>
      <c r="S281" s="685"/>
      <c r="T281" s="685"/>
      <c r="U281" s="685"/>
      <c r="V281" s="685"/>
      <c r="W281" s="685"/>
      <c r="X281" s="687"/>
      <c r="Y281" s="687"/>
      <c r="Z281" s="685" t="s">
        <v>1367</v>
      </c>
      <c r="AA281" s="688" t="s">
        <v>304</v>
      </c>
    </row>
    <row r="282" spans="1:27" s="258" customFormat="1" x14ac:dyDescent="0.25">
      <c r="A282" s="683" t="s">
        <v>1591</v>
      </c>
      <c r="B282" s="684"/>
      <c r="C282" s="684" t="s">
        <v>1601</v>
      </c>
      <c r="D282" s="684" t="s">
        <v>1609</v>
      </c>
      <c r="E282" s="684" t="s">
        <v>1612</v>
      </c>
      <c r="F282" s="684" t="s">
        <v>53</v>
      </c>
      <c r="G282" s="685" t="s">
        <v>47</v>
      </c>
      <c r="H282" s="684" t="s">
        <v>1366</v>
      </c>
      <c r="I282" s="686">
        <v>2640</v>
      </c>
      <c r="J282" s="686">
        <v>3300</v>
      </c>
      <c r="K282" s="686">
        <v>3300</v>
      </c>
      <c r="L282" s="686">
        <v>4180</v>
      </c>
      <c r="M282" s="685"/>
      <c r="N282" s="685"/>
      <c r="O282" s="685"/>
      <c r="P282" s="685"/>
      <c r="Q282" s="685"/>
      <c r="R282" s="685"/>
      <c r="S282" s="685"/>
      <c r="T282" s="685"/>
      <c r="U282" s="685"/>
      <c r="V282" s="685"/>
      <c r="W282" s="685"/>
      <c r="X282" s="687"/>
      <c r="Y282" s="687"/>
      <c r="Z282" s="685" t="s">
        <v>1367</v>
      </c>
      <c r="AA282" s="688" t="s">
        <v>304</v>
      </c>
    </row>
    <row r="283" spans="1:27" s="258" customFormat="1" x14ac:dyDescent="0.25">
      <c r="A283" s="683" t="s">
        <v>1591</v>
      </c>
      <c r="B283" s="684"/>
      <c r="C283" s="684" t="s">
        <v>1601</v>
      </c>
      <c r="D283" s="684" t="s">
        <v>1609</v>
      </c>
      <c r="E283" s="684" t="s">
        <v>1613</v>
      </c>
      <c r="F283" s="684" t="s">
        <v>53</v>
      </c>
      <c r="G283" s="685" t="s">
        <v>47</v>
      </c>
      <c r="H283" s="684" t="s">
        <v>1366</v>
      </c>
      <c r="I283" s="686">
        <v>2920</v>
      </c>
      <c r="J283" s="686">
        <v>3650</v>
      </c>
      <c r="K283" s="686">
        <v>3650</v>
      </c>
      <c r="L283" s="686">
        <v>4620</v>
      </c>
      <c r="M283" s="685"/>
      <c r="N283" s="685"/>
      <c r="O283" s="685"/>
      <c r="P283" s="685"/>
      <c r="Q283" s="685"/>
      <c r="R283" s="685"/>
      <c r="S283" s="685"/>
      <c r="T283" s="685"/>
      <c r="U283" s="685"/>
      <c r="V283" s="685"/>
      <c r="W283" s="685"/>
      <c r="X283" s="687"/>
      <c r="Y283" s="687"/>
      <c r="Z283" s="685" t="s">
        <v>1367</v>
      </c>
      <c r="AA283" s="688" t="s">
        <v>304</v>
      </c>
    </row>
    <row r="284" spans="1:27" s="258" customFormat="1" x14ac:dyDescent="0.25">
      <c r="A284" s="683" t="s">
        <v>1591</v>
      </c>
      <c r="B284" s="684"/>
      <c r="C284" s="684" t="s">
        <v>1601</v>
      </c>
      <c r="D284" s="684" t="s">
        <v>1608</v>
      </c>
      <c r="E284" s="684" t="s">
        <v>1656</v>
      </c>
      <c r="F284" s="684" t="s">
        <v>53</v>
      </c>
      <c r="G284" s="685" t="s">
        <v>47</v>
      </c>
      <c r="H284" s="684" t="s">
        <v>1366</v>
      </c>
      <c r="I284" s="686">
        <v>2800</v>
      </c>
      <c r="J284" s="686">
        <v>3500</v>
      </c>
      <c r="K284" s="686">
        <v>3500</v>
      </c>
      <c r="L284" s="686">
        <v>4430</v>
      </c>
      <c r="M284" s="685"/>
      <c r="N284" s="685"/>
      <c r="O284" s="685"/>
      <c r="P284" s="685"/>
      <c r="Q284" s="685"/>
      <c r="R284" s="685"/>
      <c r="S284" s="685"/>
      <c r="T284" s="685"/>
      <c r="U284" s="685"/>
      <c r="V284" s="685"/>
      <c r="W284" s="685"/>
      <c r="X284" s="687"/>
      <c r="Y284" s="687"/>
      <c r="Z284" s="685" t="s">
        <v>1367</v>
      </c>
      <c r="AA284" s="688" t="s">
        <v>304</v>
      </c>
    </row>
    <row r="285" spans="1:27" s="258" customFormat="1" x14ac:dyDescent="0.25">
      <c r="A285" s="683" t="s">
        <v>1591</v>
      </c>
      <c r="B285" s="684"/>
      <c r="C285" s="684" t="s">
        <v>1601</v>
      </c>
      <c r="D285" s="684" t="s">
        <v>1391</v>
      </c>
      <c r="E285" s="684" t="s">
        <v>1379</v>
      </c>
      <c r="F285" s="684" t="s">
        <v>53</v>
      </c>
      <c r="G285" s="685" t="s">
        <v>47</v>
      </c>
      <c r="H285" s="684" t="s">
        <v>1366</v>
      </c>
      <c r="I285" s="686">
        <v>3040</v>
      </c>
      <c r="J285" s="686">
        <v>3800</v>
      </c>
      <c r="K285" s="686">
        <v>3800</v>
      </c>
      <c r="L285" s="686">
        <v>4810</v>
      </c>
      <c r="M285" s="685"/>
      <c r="N285" s="685"/>
      <c r="O285" s="685"/>
      <c r="P285" s="685"/>
      <c r="Q285" s="685"/>
      <c r="R285" s="685"/>
      <c r="S285" s="685"/>
      <c r="T285" s="685"/>
      <c r="U285" s="685"/>
      <c r="V285" s="685"/>
      <c r="W285" s="685"/>
      <c r="X285" s="687"/>
      <c r="Y285" s="687"/>
      <c r="Z285" s="685" t="s">
        <v>1367</v>
      </c>
      <c r="AA285" s="688" t="s">
        <v>304</v>
      </c>
    </row>
    <row r="286" spans="1:27" s="258" customFormat="1" x14ac:dyDescent="0.25">
      <c r="A286" s="683" t="s">
        <v>1591</v>
      </c>
      <c r="B286" s="684"/>
      <c r="C286" s="684" t="s">
        <v>1601</v>
      </c>
      <c r="D286" s="684" t="s">
        <v>1391</v>
      </c>
      <c r="E286" s="684" t="s">
        <v>1380</v>
      </c>
      <c r="F286" s="684" t="s">
        <v>53</v>
      </c>
      <c r="G286" s="685" t="s">
        <v>47</v>
      </c>
      <c r="H286" s="684" t="s">
        <v>1366</v>
      </c>
      <c r="I286" s="686">
        <v>3040</v>
      </c>
      <c r="J286" s="686">
        <v>3800</v>
      </c>
      <c r="K286" s="686">
        <v>3800</v>
      </c>
      <c r="L286" s="686">
        <v>4810</v>
      </c>
      <c r="M286" s="685"/>
      <c r="N286" s="685"/>
      <c r="O286" s="685"/>
      <c r="P286" s="685"/>
      <c r="Q286" s="685"/>
      <c r="R286" s="685"/>
      <c r="S286" s="685"/>
      <c r="T286" s="685"/>
      <c r="U286" s="685"/>
      <c r="V286" s="685"/>
      <c r="W286" s="685"/>
      <c r="X286" s="687"/>
      <c r="Y286" s="687"/>
      <c r="Z286" s="685" t="s">
        <v>1367</v>
      </c>
      <c r="AA286" s="688" t="s">
        <v>304</v>
      </c>
    </row>
    <row r="287" spans="1:27" s="258" customFormat="1" x14ac:dyDescent="0.25">
      <c r="A287" s="683" t="s">
        <v>1591</v>
      </c>
      <c r="B287" s="684"/>
      <c r="C287" s="684" t="s">
        <v>1601</v>
      </c>
      <c r="D287" s="684" t="s">
        <v>1608</v>
      </c>
      <c r="E287" s="684" t="s">
        <v>1382</v>
      </c>
      <c r="F287" s="684" t="s">
        <v>53</v>
      </c>
      <c r="G287" s="685" t="s">
        <v>47</v>
      </c>
      <c r="H287" s="684" t="s">
        <v>1366</v>
      </c>
      <c r="I287" s="686">
        <v>2840</v>
      </c>
      <c r="J287" s="686">
        <v>3550</v>
      </c>
      <c r="K287" s="686">
        <v>3550</v>
      </c>
      <c r="L287" s="686">
        <v>4495</v>
      </c>
      <c r="M287" s="685"/>
      <c r="N287" s="685"/>
      <c r="O287" s="685"/>
      <c r="P287" s="685"/>
      <c r="Q287" s="685"/>
      <c r="R287" s="685"/>
      <c r="S287" s="685"/>
      <c r="T287" s="685"/>
      <c r="U287" s="685"/>
      <c r="V287" s="685"/>
      <c r="W287" s="685"/>
      <c r="X287" s="687"/>
      <c r="Y287" s="687"/>
      <c r="Z287" s="685" t="s">
        <v>1367</v>
      </c>
      <c r="AA287" s="688" t="s">
        <v>304</v>
      </c>
    </row>
    <row r="288" spans="1:27" s="258" customFormat="1" x14ac:dyDescent="0.25">
      <c r="A288" s="683" t="s">
        <v>1591</v>
      </c>
      <c r="B288" s="684"/>
      <c r="C288" s="684" t="s">
        <v>1601</v>
      </c>
      <c r="D288" s="684" t="s">
        <v>1608</v>
      </c>
      <c r="E288" s="684" t="s">
        <v>1381</v>
      </c>
      <c r="F288" s="684" t="s">
        <v>53</v>
      </c>
      <c r="G288" s="685" t="s">
        <v>47</v>
      </c>
      <c r="H288" s="684" t="s">
        <v>1366</v>
      </c>
      <c r="I288" s="686">
        <v>2960</v>
      </c>
      <c r="J288" s="686">
        <v>3700</v>
      </c>
      <c r="K288" s="686">
        <v>3700</v>
      </c>
      <c r="L288" s="686">
        <v>4685</v>
      </c>
      <c r="M288" s="685"/>
      <c r="N288" s="685"/>
      <c r="O288" s="685"/>
      <c r="P288" s="685"/>
      <c r="Q288" s="685"/>
      <c r="R288" s="685"/>
      <c r="S288" s="685"/>
      <c r="T288" s="685"/>
      <c r="U288" s="685"/>
      <c r="V288" s="685"/>
      <c r="W288" s="685"/>
      <c r="X288" s="687"/>
      <c r="Y288" s="687"/>
      <c r="Z288" s="685" t="s">
        <v>1367</v>
      </c>
      <c r="AA288" s="688" t="s">
        <v>304</v>
      </c>
    </row>
    <row r="289" spans="1:27" s="258" customFormat="1" x14ac:dyDescent="0.25">
      <c r="A289" s="683" t="s">
        <v>1591</v>
      </c>
      <c r="B289" s="684"/>
      <c r="C289" s="684" t="s">
        <v>1601</v>
      </c>
      <c r="D289" s="684" t="s">
        <v>1391</v>
      </c>
      <c r="E289" s="684" t="s">
        <v>1614</v>
      </c>
      <c r="F289" s="684" t="s">
        <v>357</v>
      </c>
      <c r="G289" s="685" t="s">
        <v>47</v>
      </c>
      <c r="H289" s="684" t="s">
        <v>1366</v>
      </c>
      <c r="I289" s="686">
        <v>2960</v>
      </c>
      <c r="J289" s="686">
        <v>3700</v>
      </c>
      <c r="K289" s="686">
        <v>3700</v>
      </c>
      <c r="L289" s="686">
        <v>4685</v>
      </c>
      <c r="M289" s="685"/>
      <c r="N289" s="685"/>
      <c r="O289" s="685"/>
      <c r="P289" s="685"/>
      <c r="Q289" s="685"/>
      <c r="R289" s="685"/>
      <c r="S289" s="685"/>
      <c r="T289" s="685"/>
      <c r="U289" s="685"/>
      <c r="V289" s="685"/>
      <c r="W289" s="685"/>
      <c r="X289" s="687"/>
      <c r="Y289" s="687"/>
      <c r="Z289" s="685" t="s">
        <v>1367</v>
      </c>
      <c r="AA289" s="688" t="s">
        <v>304</v>
      </c>
    </row>
    <row r="290" spans="1:27" s="258" customFormat="1" x14ac:dyDescent="0.25">
      <c r="A290" s="683" t="s">
        <v>1591</v>
      </c>
      <c r="B290" s="684"/>
      <c r="C290" s="684" t="s">
        <v>1601</v>
      </c>
      <c r="D290" s="684" t="s">
        <v>1391</v>
      </c>
      <c r="E290" s="684" t="s">
        <v>1386</v>
      </c>
      <c r="F290" s="684" t="s">
        <v>53</v>
      </c>
      <c r="G290" s="685" t="s">
        <v>47</v>
      </c>
      <c r="H290" s="684" t="s">
        <v>1366</v>
      </c>
      <c r="I290" s="686">
        <v>2960</v>
      </c>
      <c r="J290" s="686">
        <v>3700</v>
      </c>
      <c r="K290" s="686">
        <v>3700</v>
      </c>
      <c r="L290" s="686">
        <v>4685</v>
      </c>
      <c r="M290" s="685"/>
      <c r="N290" s="685"/>
      <c r="O290" s="685"/>
      <c r="P290" s="685"/>
      <c r="Q290" s="685"/>
      <c r="R290" s="685"/>
      <c r="S290" s="685"/>
      <c r="T290" s="685"/>
      <c r="U290" s="685"/>
      <c r="V290" s="685"/>
      <c r="W290" s="685"/>
      <c r="X290" s="687"/>
      <c r="Y290" s="687"/>
      <c r="Z290" s="685" t="s">
        <v>1367</v>
      </c>
      <c r="AA290" s="688" t="s">
        <v>304</v>
      </c>
    </row>
    <row r="291" spans="1:27" s="258" customFormat="1" x14ac:dyDescent="0.25">
      <c r="A291" s="683" t="s">
        <v>1591</v>
      </c>
      <c r="B291" s="684"/>
      <c r="C291" s="684" t="s">
        <v>1605</v>
      </c>
      <c r="D291" s="684" t="s">
        <v>1390</v>
      </c>
      <c r="E291" s="684"/>
      <c r="F291" s="684" t="s">
        <v>51</v>
      </c>
      <c r="G291" s="685" t="s">
        <v>47</v>
      </c>
      <c r="H291" s="684" t="s">
        <v>1366</v>
      </c>
      <c r="I291" s="686">
        <v>2000</v>
      </c>
      <c r="J291" s="686">
        <v>2500</v>
      </c>
      <c r="K291" s="686">
        <v>2500</v>
      </c>
      <c r="L291" s="686">
        <v>3165</v>
      </c>
      <c r="M291" s="685"/>
      <c r="N291" s="685"/>
      <c r="O291" s="685"/>
      <c r="P291" s="685"/>
      <c r="Q291" s="685"/>
      <c r="R291" s="685"/>
      <c r="S291" s="685"/>
      <c r="T291" s="685"/>
      <c r="U291" s="685"/>
      <c r="V291" s="685"/>
      <c r="W291" s="685"/>
      <c r="X291" s="687"/>
      <c r="Y291" s="687"/>
      <c r="Z291" s="685" t="s">
        <v>1367</v>
      </c>
      <c r="AA291" s="688" t="s">
        <v>389</v>
      </c>
    </row>
    <row r="292" spans="1:27" s="258" customFormat="1" x14ac:dyDescent="0.25">
      <c r="A292" s="683" t="s">
        <v>1591</v>
      </c>
      <c r="B292" s="684"/>
      <c r="C292" s="684" t="s">
        <v>1605</v>
      </c>
      <c r="D292" s="684" t="s">
        <v>1391</v>
      </c>
      <c r="E292" s="684"/>
      <c r="F292" s="684" t="s">
        <v>51</v>
      </c>
      <c r="G292" s="685" t="s">
        <v>47</v>
      </c>
      <c r="H292" s="684" t="s">
        <v>1366</v>
      </c>
      <c r="I292" s="686">
        <v>2000</v>
      </c>
      <c r="J292" s="686">
        <v>2500</v>
      </c>
      <c r="K292" s="686">
        <v>2500</v>
      </c>
      <c r="L292" s="686">
        <v>3165</v>
      </c>
      <c r="M292" s="685"/>
      <c r="N292" s="685"/>
      <c r="O292" s="685"/>
      <c r="P292" s="685"/>
      <c r="Q292" s="685"/>
      <c r="R292" s="685"/>
      <c r="S292" s="685"/>
      <c r="T292" s="685"/>
      <c r="U292" s="685"/>
      <c r="V292" s="685"/>
      <c r="W292" s="685"/>
      <c r="X292" s="687"/>
      <c r="Y292" s="687"/>
      <c r="Z292" s="685" t="s">
        <v>1367</v>
      </c>
      <c r="AA292" s="688" t="s">
        <v>304</v>
      </c>
    </row>
    <row r="293" spans="1:27" s="258" customFormat="1" x14ac:dyDescent="0.25">
      <c r="A293" s="683" t="s">
        <v>1591</v>
      </c>
      <c r="B293" s="684"/>
      <c r="C293" s="684" t="s">
        <v>1605</v>
      </c>
      <c r="D293" s="684" t="s">
        <v>1608</v>
      </c>
      <c r="E293" s="684"/>
      <c r="F293" s="684" t="s">
        <v>51</v>
      </c>
      <c r="G293" s="685" t="s">
        <v>47</v>
      </c>
      <c r="H293" s="684" t="s">
        <v>1366</v>
      </c>
      <c r="I293" s="686">
        <v>2000</v>
      </c>
      <c r="J293" s="686">
        <v>2500</v>
      </c>
      <c r="K293" s="686">
        <v>2500</v>
      </c>
      <c r="L293" s="686">
        <v>3165</v>
      </c>
      <c r="M293" s="685"/>
      <c r="N293" s="685"/>
      <c r="O293" s="685"/>
      <c r="P293" s="685"/>
      <c r="Q293" s="685"/>
      <c r="R293" s="685"/>
      <c r="S293" s="685"/>
      <c r="T293" s="685"/>
      <c r="U293" s="685"/>
      <c r="V293" s="685"/>
      <c r="W293" s="685"/>
      <c r="X293" s="687"/>
      <c r="Y293" s="687"/>
      <c r="Z293" s="685" t="s">
        <v>1367</v>
      </c>
      <c r="AA293" s="688" t="s">
        <v>389</v>
      </c>
    </row>
    <row r="294" spans="1:27" s="258" customFormat="1" x14ac:dyDescent="0.25">
      <c r="A294" s="683" t="s">
        <v>1591</v>
      </c>
      <c r="B294" s="684"/>
      <c r="C294" s="684" t="s">
        <v>1605</v>
      </c>
      <c r="D294" s="684" t="s">
        <v>1609</v>
      </c>
      <c r="E294" s="684"/>
      <c r="F294" s="684" t="s">
        <v>51</v>
      </c>
      <c r="G294" s="685" t="s">
        <v>47</v>
      </c>
      <c r="H294" s="684" t="s">
        <v>1366</v>
      </c>
      <c r="I294" s="686">
        <v>2000</v>
      </c>
      <c r="J294" s="686">
        <v>2500</v>
      </c>
      <c r="K294" s="686">
        <v>2500</v>
      </c>
      <c r="L294" s="686">
        <v>3165</v>
      </c>
      <c r="M294" s="685"/>
      <c r="N294" s="685"/>
      <c r="O294" s="685"/>
      <c r="P294" s="685"/>
      <c r="Q294" s="685"/>
      <c r="R294" s="685"/>
      <c r="S294" s="685"/>
      <c r="T294" s="685"/>
      <c r="U294" s="685"/>
      <c r="V294" s="685"/>
      <c r="W294" s="685"/>
      <c r="X294" s="687"/>
      <c r="Y294" s="687"/>
      <c r="Z294" s="685" t="s">
        <v>1367</v>
      </c>
      <c r="AA294" s="688" t="s">
        <v>304</v>
      </c>
    </row>
    <row r="295" spans="1:27" s="258" customFormat="1" x14ac:dyDescent="0.25">
      <c r="A295" s="683" t="s">
        <v>1591</v>
      </c>
      <c r="B295" s="684"/>
      <c r="C295" s="684" t="s">
        <v>1605</v>
      </c>
      <c r="D295" s="684" t="s">
        <v>1608</v>
      </c>
      <c r="E295" s="684" t="s">
        <v>1387</v>
      </c>
      <c r="F295" s="684" t="s">
        <v>53</v>
      </c>
      <c r="G295" s="685" t="s">
        <v>47</v>
      </c>
      <c r="H295" s="684" t="s">
        <v>1366</v>
      </c>
      <c r="I295" s="686">
        <v>2600</v>
      </c>
      <c r="J295" s="686">
        <v>3250</v>
      </c>
      <c r="K295" s="686">
        <v>3250</v>
      </c>
      <c r="L295" s="686">
        <v>4115</v>
      </c>
      <c r="M295" s="685"/>
      <c r="N295" s="685"/>
      <c r="O295" s="685"/>
      <c r="P295" s="685"/>
      <c r="Q295" s="685"/>
      <c r="R295" s="685"/>
      <c r="S295" s="685"/>
      <c r="T295" s="685"/>
      <c r="U295" s="685"/>
      <c r="V295" s="685"/>
      <c r="W295" s="685"/>
      <c r="X295" s="687"/>
      <c r="Y295" s="687"/>
      <c r="Z295" s="685" t="s">
        <v>1367</v>
      </c>
      <c r="AA295" s="688" t="s">
        <v>304</v>
      </c>
    </row>
    <row r="296" spans="1:27" s="258" customFormat="1" x14ac:dyDescent="0.25">
      <c r="A296" s="683" t="s">
        <v>1591</v>
      </c>
      <c r="B296" s="684"/>
      <c r="C296" s="684" t="s">
        <v>1605</v>
      </c>
      <c r="D296" s="684" t="s">
        <v>1390</v>
      </c>
      <c r="E296" s="684" t="s">
        <v>1610</v>
      </c>
      <c r="F296" s="684" t="s">
        <v>53</v>
      </c>
      <c r="G296" s="685" t="s">
        <v>47</v>
      </c>
      <c r="H296" s="684" t="s">
        <v>1366</v>
      </c>
      <c r="I296" s="686">
        <v>3040</v>
      </c>
      <c r="J296" s="686">
        <v>3800</v>
      </c>
      <c r="K296" s="686">
        <v>3800</v>
      </c>
      <c r="L296" s="686">
        <v>4810</v>
      </c>
      <c r="M296" s="685"/>
      <c r="N296" s="685"/>
      <c r="O296" s="685"/>
      <c r="P296" s="685"/>
      <c r="Q296" s="685"/>
      <c r="R296" s="685"/>
      <c r="S296" s="685"/>
      <c r="T296" s="685"/>
      <c r="U296" s="685"/>
      <c r="V296" s="685"/>
      <c r="W296" s="685"/>
      <c r="X296" s="687"/>
      <c r="Y296" s="687"/>
      <c r="Z296" s="685" t="s">
        <v>1367</v>
      </c>
      <c r="AA296" s="688" t="s">
        <v>304</v>
      </c>
    </row>
    <row r="297" spans="1:27" s="258" customFormat="1" x14ac:dyDescent="0.25">
      <c r="A297" s="683" t="s">
        <v>1591</v>
      </c>
      <c r="B297" s="684"/>
      <c r="C297" s="684" t="s">
        <v>1605</v>
      </c>
      <c r="D297" s="684" t="s">
        <v>1608</v>
      </c>
      <c r="E297" s="684" t="s">
        <v>1389</v>
      </c>
      <c r="F297" s="684" t="s">
        <v>53</v>
      </c>
      <c r="G297" s="685" t="s">
        <v>47</v>
      </c>
      <c r="H297" s="684" t="s">
        <v>1366</v>
      </c>
      <c r="I297" s="686">
        <v>2600</v>
      </c>
      <c r="J297" s="686">
        <v>3250</v>
      </c>
      <c r="K297" s="686">
        <v>3250</v>
      </c>
      <c r="L297" s="686">
        <v>4115</v>
      </c>
      <c r="M297" s="685"/>
      <c r="N297" s="685"/>
      <c r="O297" s="685"/>
      <c r="P297" s="685"/>
      <c r="Q297" s="685"/>
      <c r="R297" s="685"/>
      <c r="S297" s="685"/>
      <c r="T297" s="685"/>
      <c r="U297" s="685"/>
      <c r="V297" s="685"/>
      <c r="W297" s="685"/>
      <c r="X297" s="687"/>
      <c r="Y297" s="687"/>
      <c r="Z297" s="685" t="s">
        <v>1367</v>
      </c>
      <c r="AA297" s="688" t="s">
        <v>304</v>
      </c>
    </row>
    <row r="298" spans="1:27" s="258" customFormat="1" x14ac:dyDescent="0.25">
      <c r="A298" s="683" t="s">
        <v>1591</v>
      </c>
      <c r="B298" s="684"/>
      <c r="C298" s="684" t="s">
        <v>1605</v>
      </c>
      <c r="D298" s="684" t="s">
        <v>1608</v>
      </c>
      <c r="E298" s="684" t="s">
        <v>1611</v>
      </c>
      <c r="F298" s="684" t="s">
        <v>53</v>
      </c>
      <c r="G298" s="685" t="s">
        <v>47</v>
      </c>
      <c r="H298" s="684" t="s">
        <v>1366</v>
      </c>
      <c r="I298" s="686">
        <v>2800</v>
      </c>
      <c r="J298" s="686">
        <v>3500</v>
      </c>
      <c r="K298" s="686">
        <v>3500</v>
      </c>
      <c r="L298" s="686">
        <v>4430</v>
      </c>
      <c r="M298" s="685"/>
      <c r="N298" s="685"/>
      <c r="O298" s="685"/>
      <c r="P298" s="685"/>
      <c r="Q298" s="685"/>
      <c r="R298" s="685"/>
      <c r="S298" s="685"/>
      <c r="T298" s="685"/>
      <c r="U298" s="685"/>
      <c r="V298" s="685"/>
      <c r="W298" s="685"/>
      <c r="X298" s="687"/>
      <c r="Y298" s="687"/>
      <c r="Z298" s="685" t="s">
        <v>1367</v>
      </c>
      <c r="AA298" s="688" t="s">
        <v>304</v>
      </c>
    </row>
    <row r="299" spans="1:27" s="258" customFormat="1" x14ac:dyDescent="0.25">
      <c r="A299" s="683" t="s">
        <v>1591</v>
      </c>
      <c r="B299" s="684"/>
      <c r="C299" s="684" t="s">
        <v>1605</v>
      </c>
      <c r="D299" s="684" t="s">
        <v>1390</v>
      </c>
      <c r="E299" s="684" t="s">
        <v>1369</v>
      </c>
      <c r="F299" s="684" t="s">
        <v>53</v>
      </c>
      <c r="G299" s="685" t="s">
        <v>47</v>
      </c>
      <c r="H299" s="684" t="s">
        <v>1366</v>
      </c>
      <c r="I299" s="686">
        <v>3040</v>
      </c>
      <c r="J299" s="686">
        <v>3800</v>
      </c>
      <c r="K299" s="686">
        <v>3800</v>
      </c>
      <c r="L299" s="686">
        <v>4810</v>
      </c>
      <c r="M299" s="685"/>
      <c r="N299" s="685"/>
      <c r="O299" s="685"/>
      <c r="P299" s="685"/>
      <c r="Q299" s="685"/>
      <c r="R299" s="685"/>
      <c r="S299" s="685"/>
      <c r="T299" s="685"/>
      <c r="U299" s="685"/>
      <c r="V299" s="685"/>
      <c r="W299" s="685"/>
      <c r="X299" s="687"/>
      <c r="Y299" s="687"/>
      <c r="Z299" s="685" t="s">
        <v>1367</v>
      </c>
      <c r="AA299" s="688" t="s">
        <v>304</v>
      </c>
    </row>
    <row r="300" spans="1:27" s="258" customFormat="1" x14ac:dyDescent="0.25">
      <c r="A300" s="683" t="s">
        <v>1591</v>
      </c>
      <c r="B300" s="684"/>
      <c r="C300" s="684" t="s">
        <v>1605</v>
      </c>
      <c r="D300" s="684" t="s">
        <v>1391</v>
      </c>
      <c r="E300" s="684" t="s">
        <v>1369</v>
      </c>
      <c r="F300" s="684" t="s">
        <v>53</v>
      </c>
      <c r="G300" s="685" t="s">
        <v>47</v>
      </c>
      <c r="H300" s="684" t="s">
        <v>1366</v>
      </c>
      <c r="I300" s="686">
        <v>3040</v>
      </c>
      <c r="J300" s="686">
        <v>3800</v>
      </c>
      <c r="K300" s="686">
        <v>3800</v>
      </c>
      <c r="L300" s="686">
        <v>4810</v>
      </c>
      <c r="M300" s="685"/>
      <c r="N300" s="685"/>
      <c r="O300" s="685"/>
      <c r="P300" s="685"/>
      <c r="Q300" s="685"/>
      <c r="R300" s="685"/>
      <c r="S300" s="685"/>
      <c r="T300" s="685"/>
      <c r="U300" s="685"/>
      <c r="V300" s="685"/>
      <c r="W300" s="685"/>
      <c r="X300" s="687"/>
      <c r="Y300" s="687"/>
      <c r="Z300" s="685" t="s">
        <v>1367</v>
      </c>
      <c r="AA300" s="688" t="s">
        <v>304</v>
      </c>
    </row>
    <row r="301" spans="1:27" s="258" customFormat="1" x14ac:dyDescent="0.25">
      <c r="A301" s="683" t="s">
        <v>1591</v>
      </c>
      <c r="B301" s="684"/>
      <c r="C301" s="684" t="s">
        <v>1605</v>
      </c>
      <c r="D301" s="684" t="s">
        <v>1390</v>
      </c>
      <c r="E301" s="684" t="s">
        <v>1370</v>
      </c>
      <c r="F301" s="684" t="s">
        <v>53</v>
      </c>
      <c r="G301" s="685" t="s">
        <v>47</v>
      </c>
      <c r="H301" s="684" t="s">
        <v>1366</v>
      </c>
      <c r="I301" s="686">
        <v>3040</v>
      </c>
      <c r="J301" s="686">
        <v>3800</v>
      </c>
      <c r="K301" s="686">
        <v>3800</v>
      </c>
      <c r="L301" s="686">
        <v>4810</v>
      </c>
      <c r="M301" s="685"/>
      <c r="N301" s="685"/>
      <c r="O301" s="685"/>
      <c r="P301" s="685"/>
      <c r="Q301" s="685"/>
      <c r="R301" s="685"/>
      <c r="S301" s="685"/>
      <c r="T301" s="685"/>
      <c r="U301" s="685"/>
      <c r="V301" s="685"/>
      <c r="W301" s="685"/>
      <c r="X301" s="687"/>
      <c r="Y301" s="687"/>
      <c r="Z301" s="685" t="s">
        <v>1367</v>
      </c>
      <c r="AA301" s="688" t="s">
        <v>304</v>
      </c>
    </row>
    <row r="302" spans="1:27" s="258" customFormat="1" x14ac:dyDescent="0.25">
      <c r="A302" s="683" t="s">
        <v>1591</v>
      </c>
      <c r="B302" s="684"/>
      <c r="C302" s="684" t="s">
        <v>1605</v>
      </c>
      <c r="D302" s="684" t="s">
        <v>1391</v>
      </c>
      <c r="E302" s="684" t="s">
        <v>1370</v>
      </c>
      <c r="F302" s="684" t="s">
        <v>53</v>
      </c>
      <c r="G302" s="685" t="s">
        <v>47</v>
      </c>
      <c r="H302" s="684" t="s">
        <v>1366</v>
      </c>
      <c r="I302" s="686">
        <v>3040</v>
      </c>
      <c r="J302" s="686">
        <v>3800</v>
      </c>
      <c r="K302" s="686">
        <v>3800</v>
      </c>
      <c r="L302" s="686">
        <v>4810</v>
      </c>
      <c r="M302" s="685"/>
      <c r="N302" s="685"/>
      <c r="O302" s="685"/>
      <c r="P302" s="685"/>
      <c r="Q302" s="685"/>
      <c r="R302" s="685"/>
      <c r="S302" s="685"/>
      <c r="T302" s="685"/>
      <c r="U302" s="685"/>
      <c r="V302" s="685"/>
      <c r="W302" s="685"/>
      <c r="X302" s="687"/>
      <c r="Y302" s="687"/>
      <c r="Z302" s="685" t="s">
        <v>1367</v>
      </c>
      <c r="AA302" s="688" t="s">
        <v>304</v>
      </c>
    </row>
    <row r="303" spans="1:27" s="258" customFormat="1" x14ac:dyDescent="0.25">
      <c r="A303" s="683" t="s">
        <v>1591</v>
      </c>
      <c r="B303" s="684"/>
      <c r="C303" s="684" t="s">
        <v>1605</v>
      </c>
      <c r="D303" s="684" t="s">
        <v>1390</v>
      </c>
      <c r="E303" s="684" t="s">
        <v>1371</v>
      </c>
      <c r="F303" s="684" t="s">
        <v>53</v>
      </c>
      <c r="G303" s="685" t="s">
        <v>47</v>
      </c>
      <c r="H303" s="684" t="s">
        <v>1366</v>
      </c>
      <c r="I303" s="686">
        <v>2920</v>
      </c>
      <c r="J303" s="686">
        <v>3650</v>
      </c>
      <c r="K303" s="686">
        <v>3650</v>
      </c>
      <c r="L303" s="686">
        <v>4620</v>
      </c>
      <c r="M303" s="685"/>
      <c r="N303" s="685"/>
      <c r="O303" s="685"/>
      <c r="P303" s="685"/>
      <c r="Q303" s="685"/>
      <c r="R303" s="685"/>
      <c r="S303" s="685"/>
      <c r="T303" s="685"/>
      <c r="U303" s="685"/>
      <c r="V303" s="685"/>
      <c r="W303" s="685"/>
      <c r="X303" s="687"/>
      <c r="Y303" s="687"/>
      <c r="Z303" s="685" t="s">
        <v>1367</v>
      </c>
      <c r="AA303" s="688" t="s">
        <v>304</v>
      </c>
    </row>
    <row r="304" spans="1:27" s="258" customFormat="1" x14ac:dyDescent="0.25">
      <c r="A304" s="683" t="s">
        <v>1591</v>
      </c>
      <c r="B304" s="684"/>
      <c r="C304" s="684" t="s">
        <v>1605</v>
      </c>
      <c r="D304" s="684" t="s">
        <v>1391</v>
      </c>
      <c r="E304" s="684" t="s">
        <v>1371</v>
      </c>
      <c r="F304" s="684" t="s">
        <v>53</v>
      </c>
      <c r="G304" s="685" t="s">
        <v>47</v>
      </c>
      <c r="H304" s="684" t="s">
        <v>1366</v>
      </c>
      <c r="I304" s="686">
        <v>2920</v>
      </c>
      <c r="J304" s="686">
        <v>3650</v>
      </c>
      <c r="K304" s="686">
        <v>3650</v>
      </c>
      <c r="L304" s="686">
        <v>4620</v>
      </c>
      <c r="M304" s="685"/>
      <c r="N304" s="685"/>
      <c r="O304" s="685"/>
      <c r="P304" s="685"/>
      <c r="Q304" s="685"/>
      <c r="R304" s="685"/>
      <c r="S304" s="685"/>
      <c r="T304" s="685"/>
      <c r="U304" s="685"/>
      <c r="V304" s="685"/>
      <c r="W304" s="685"/>
      <c r="X304" s="687"/>
      <c r="Y304" s="687"/>
      <c r="Z304" s="685" t="s">
        <v>1367</v>
      </c>
      <c r="AA304" s="688" t="s">
        <v>304</v>
      </c>
    </row>
    <row r="305" spans="1:27" s="258" customFormat="1" x14ac:dyDescent="0.25">
      <c r="A305" s="683" t="s">
        <v>1591</v>
      </c>
      <c r="B305" s="684"/>
      <c r="C305" s="684" t="s">
        <v>1605</v>
      </c>
      <c r="D305" s="684" t="s">
        <v>1390</v>
      </c>
      <c r="E305" s="684" t="s">
        <v>1372</v>
      </c>
      <c r="F305" s="684" t="s">
        <v>53</v>
      </c>
      <c r="G305" s="685" t="s">
        <v>47</v>
      </c>
      <c r="H305" s="684" t="s">
        <v>1366</v>
      </c>
      <c r="I305" s="686">
        <v>3080</v>
      </c>
      <c r="J305" s="686">
        <v>3850</v>
      </c>
      <c r="K305" s="686">
        <v>3850</v>
      </c>
      <c r="L305" s="686">
        <v>4875</v>
      </c>
      <c r="M305" s="685"/>
      <c r="N305" s="685"/>
      <c r="O305" s="685"/>
      <c r="P305" s="685"/>
      <c r="Q305" s="685"/>
      <c r="R305" s="685"/>
      <c r="S305" s="685"/>
      <c r="T305" s="685"/>
      <c r="U305" s="685"/>
      <c r="V305" s="685"/>
      <c r="W305" s="685"/>
      <c r="X305" s="687"/>
      <c r="Y305" s="687"/>
      <c r="Z305" s="685" t="s">
        <v>1367</v>
      </c>
      <c r="AA305" s="688" t="s">
        <v>304</v>
      </c>
    </row>
    <row r="306" spans="1:27" s="258" customFormat="1" x14ac:dyDescent="0.25">
      <c r="A306" s="683" t="s">
        <v>1591</v>
      </c>
      <c r="B306" s="684"/>
      <c r="C306" s="684" t="s">
        <v>1605</v>
      </c>
      <c r="D306" s="684" t="s">
        <v>1391</v>
      </c>
      <c r="E306" s="684" t="s">
        <v>1372</v>
      </c>
      <c r="F306" s="684" t="s">
        <v>53</v>
      </c>
      <c r="G306" s="685" t="s">
        <v>47</v>
      </c>
      <c r="H306" s="684" t="s">
        <v>1366</v>
      </c>
      <c r="I306" s="686">
        <v>3080</v>
      </c>
      <c r="J306" s="686">
        <v>3850</v>
      </c>
      <c r="K306" s="686">
        <v>3850</v>
      </c>
      <c r="L306" s="686">
        <v>4875</v>
      </c>
      <c r="M306" s="685"/>
      <c r="N306" s="685"/>
      <c r="O306" s="685"/>
      <c r="P306" s="685"/>
      <c r="Q306" s="685"/>
      <c r="R306" s="685"/>
      <c r="S306" s="685"/>
      <c r="T306" s="685"/>
      <c r="U306" s="685"/>
      <c r="V306" s="685"/>
      <c r="W306" s="685"/>
      <c r="X306" s="687"/>
      <c r="Y306" s="687"/>
      <c r="Z306" s="685" t="s">
        <v>1367</v>
      </c>
      <c r="AA306" s="688" t="s">
        <v>304</v>
      </c>
    </row>
    <row r="307" spans="1:27" s="258" customFormat="1" x14ac:dyDescent="0.25">
      <c r="A307" s="683" t="s">
        <v>1591</v>
      </c>
      <c r="B307" s="684"/>
      <c r="C307" s="684" t="s">
        <v>1605</v>
      </c>
      <c r="D307" s="684" t="s">
        <v>1391</v>
      </c>
      <c r="E307" s="684" t="s">
        <v>1375</v>
      </c>
      <c r="F307" s="684" t="s">
        <v>53</v>
      </c>
      <c r="G307" s="685" t="s">
        <v>47</v>
      </c>
      <c r="H307" s="684" t="s">
        <v>1366</v>
      </c>
      <c r="I307" s="686">
        <v>3000</v>
      </c>
      <c r="J307" s="686">
        <v>3750</v>
      </c>
      <c r="K307" s="686">
        <v>3750</v>
      </c>
      <c r="L307" s="686">
        <v>4750</v>
      </c>
      <c r="M307" s="685"/>
      <c r="N307" s="685"/>
      <c r="O307" s="685"/>
      <c r="P307" s="685"/>
      <c r="Q307" s="685"/>
      <c r="R307" s="685"/>
      <c r="S307" s="685"/>
      <c r="T307" s="685"/>
      <c r="U307" s="685"/>
      <c r="V307" s="685"/>
      <c r="W307" s="685"/>
      <c r="X307" s="687"/>
      <c r="Y307" s="687"/>
      <c r="Z307" s="685" t="s">
        <v>1367</v>
      </c>
      <c r="AA307" s="688" t="s">
        <v>304</v>
      </c>
    </row>
    <row r="308" spans="1:27" s="258" customFormat="1" x14ac:dyDescent="0.25">
      <c r="A308" s="683" t="s">
        <v>1591</v>
      </c>
      <c r="B308" s="684"/>
      <c r="C308" s="684" t="s">
        <v>1605</v>
      </c>
      <c r="D308" s="684" t="s">
        <v>1609</v>
      </c>
      <c r="E308" s="684" t="s">
        <v>1612</v>
      </c>
      <c r="F308" s="684" t="s">
        <v>53</v>
      </c>
      <c r="G308" s="685" t="s">
        <v>47</v>
      </c>
      <c r="H308" s="684" t="s">
        <v>1366</v>
      </c>
      <c r="I308" s="686">
        <v>2640</v>
      </c>
      <c r="J308" s="686">
        <v>3300</v>
      </c>
      <c r="K308" s="686">
        <v>3300</v>
      </c>
      <c r="L308" s="686">
        <v>4180</v>
      </c>
      <c r="M308" s="685"/>
      <c r="N308" s="685"/>
      <c r="O308" s="685"/>
      <c r="P308" s="685"/>
      <c r="Q308" s="685"/>
      <c r="R308" s="685"/>
      <c r="S308" s="685"/>
      <c r="T308" s="685"/>
      <c r="U308" s="685"/>
      <c r="V308" s="685"/>
      <c r="W308" s="685"/>
      <c r="X308" s="687"/>
      <c r="Y308" s="687"/>
      <c r="Z308" s="685" t="s">
        <v>1367</v>
      </c>
      <c r="AA308" s="688" t="s">
        <v>304</v>
      </c>
    </row>
    <row r="309" spans="1:27" s="258" customFormat="1" x14ac:dyDescent="0.25">
      <c r="A309" s="683" t="s">
        <v>1591</v>
      </c>
      <c r="B309" s="684"/>
      <c r="C309" s="684" t="s">
        <v>1605</v>
      </c>
      <c r="D309" s="684" t="s">
        <v>1609</v>
      </c>
      <c r="E309" s="684" t="s">
        <v>1613</v>
      </c>
      <c r="F309" s="684" t="s">
        <v>53</v>
      </c>
      <c r="G309" s="685" t="s">
        <v>47</v>
      </c>
      <c r="H309" s="684" t="s">
        <v>1366</v>
      </c>
      <c r="I309" s="686">
        <v>2920</v>
      </c>
      <c r="J309" s="686">
        <v>3650</v>
      </c>
      <c r="K309" s="686">
        <v>3650</v>
      </c>
      <c r="L309" s="686">
        <v>4620</v>
      </c>
      <c r="M309" s="685"/>
      <c r="N309" s="685"/>
      <c r="O309" s="685"/>
      <c r="P309" s="685"/>
      <c r="Q309" s="685"/>
      <c r="R309" s="685"/>
      <c r="S309" s="685"/>
      <c r="T309" s="685"/>
      <c r="U309" s="685"/>
      <c r="V309" s="685"/>
      <c r="W309" s="685"/>
      <c r="X309" s="687"/>
      <c r="Y309" s="687"/>
      <c r="Z309" s="685" t="s">
        <v>1367</v>
      </c>
      <c r="AA309" s="688" t="s">
        <v>304</v>
      </c>
    </row>
    <row r="310" spans="1:27" s="258" customFormat="1" x14ac:dyDescent="0.25">
      <c r="A310" s="683" t="s">
        <v>1591</v>
      </c>
      <c r="B310" s="684"/>
      <c r="C310" s="684" t="s">
        <v>1605</v>
      </c>
      <c r="D310" s="684" t="s">
        <v>1608</v>
      </c>
      <c r="E310" s="684" t="s">
        <v>1656</v>
      </c>
      <c r="F310" s="684" t="s">
        <v>53</v>
      </c>
      <c r="G310" s="685" t="s">
        <v>47</v>
      </c>
      <c r="H310" s="684" t="s">
        <v>1366</v>
      </c>
      <c r="I310" s="686">
        <v>2800</v>
      </c>
      <c r="J310" s="686">
        <v>3500</v>
      </c>
      <c r="K310" s="686">
        <v>3500</v>
      </c>
      <c r="L310" s="686">
        <v>4430</v>
      </c>
      <c r="M310" s="685"/>
      <c r="N310" s="685"/>
      <c r="O310" s="685"/>
      <c r="P310" s="685"/>
      <c r="Q310" s="685"/>
      <c r="R310" s="685"/>
      <c r="S310" s="685"/>
      <c r="T310" s="685"/>
      <c r="U310" s="685"/>
      <c r="V310" s="685"/>
      <c r="W310" s="685"/>
      <c r="X310" s="687"/>
      <c r="Y310" s="687"/>
      <c r="Z310" s="685" t="s">
        <v>1367</v>
      </c>
      <c r="AA310" s="688" t="s">
        <v>304</v>
      </c>
    </row>
    <row r="311" spans="1:27" s="258" customFormat="1" x14ac:dyDescent="0.25">
      <c r="A311" s="683" t="s">
        <v>1591</v>
      </c>
      <c r="B311" s="684"/>
      <c r="C311" s="684" t="s">
        <v>1605</v>
      </c>
      <c r="D311" s="684" t="s">
        <v>1391</v>
      </c>
      <c r="E311" s="684" t="s">
        <v>1379</v>
      </c>
      <c r="F311" s="684" t="s">
        <v>53</v>
      </c>
      <c r="G311" s="685" t="s">
        <v>47</v>
      </c>
      <c r="H311" s="684" t="s">
        <v>1366</v>
      </c>
      <c r="I311" s="686">
        <v>3040</v>
      </c>
      <c r="J311" s="686">
        <v>3800</v>
      </c>
      <c r="K311" s="686">
        <v>3800</v>
      </c>
      <c r="L311" s="686">
        <v>4810</v>
      </c>
      <c r="M311" s="685"/>
      <c r="N311" s="685"/>
      <c r="O311" s="685"/>
      <c r="P311" s="685"/>
      <c r="Q311" s="685"/>
      <c r="R311" s="685"/>
      <c r="S311" s="685"/>
      <c r="T311" s="685"/>
      <c r="U311" s="685"/>
      <c r="V311" s="685"/>
      <c r="W311" s="685"/>
      <c r="X311" s="687"/>
      <c r="Y311" s="687"/>
      <c r="Z311" s="685" t="s">
        <v>1367</v>
      </c>
      <c r="AA311" s="688" t="s">
        <v>304</v>
      </c>
    </row>
    <row r="312" spans="1:27" s="258" customFormat="1" x14ac:dyDescent="0.25">
      <c r="A312" s="683" t="s">
        <v>1591</v>
      </c>
      <c r="B312" s="684"/>
      <c r="C312" s="684" t="s">
        <v>1605</v>
      </c>
      <c r="D312" s="684" t="s">
        <v>1391</v>
      </c>
      <c r="E312" s="684" t="s">
        <v>1380</v>
      </c>
      <c r="F312" s="684" t="s">
        <v>53</v>
      </c>
      <c r="G312" s="685" t="s">
        <v>47</v>
      </c>
      <c r="H312" s="684" t="s">
        <v>1366</v>
      </c>
      <c r="I312" s="686">
        <v>3040</v>
      </c>
      <c r="J312" s="686">
        <v>3800</v>
      </c>
      <c r="K312" s="686">
        <v>3800</v>
      </c>
      <c r="L312" s="686">
        <v>4810</v>
      </c>
      <c r="M312" s="685"/>
      <c r="N312" s="685"/>
      <c r="O312" s="685"/>
      <c r="P312" s="685"/>
      <c r="Q312" s="685"/>
      <c r="R312" s="685"/>
      <c r="S312" s="685"/>
      <c r="T312" s="685"/>
      <c r="U312" s="685"/>
      <c r="V312" s="685"/>
      <c r="W312" s="685"/>
      <c r="X312" s="687"/>
      <c r="Y312" s="687"/>
      <c r="Z312" s="685" t="s">
        <v>1367</v>
      </c>
      <c r="AA312" s="688" t="s">
        <v>304</v>
      </c>
    </row>
    <row r="313" spans="1:27" s="258" customFormat="1" x14ac:dyDescent="0.25">
      <c r="A313" s="683" t="s">
        <v>1591</v>
      </c>
      <c r="B313" s="684"/>
      <c r="C313" s="684" t="s">
        <v>1605</v>
      </c>
      <c r="D313" s="684" t="s">
        <v>1608</v>
      </c>
      <c r="E313" s="684" t="s">
        <v>1382</v>
      </c>
      <c r="F313" s="684" t="s">
        <v>53</v>
      </c>
      <c r="G313" s="685" t="s">
        <v>47</v>
      </c>
      <c r="H313" s="684" t="s">
        <v>1366</v>
      </c>
      <c r="I313" s="686">
        <v>2840</v>
      </c>
      <c r="J313" s="686">
        <v>3550</v>
      </c>
      <c r="K313" s="686">
        <v>3550</v>
      </c>
      <c r="L313" s="686">
        <v>4495</v>
      </c>
      <c r="M313" s="685"/>
      <c r="N313" s="685"/>
      <c r="O313" s="685"/>
      <c r="P313" s="685"/>
      <c r="Q313" s="685"/>
      <c r="R313" s="685"/>
      <c r="S313" s="685"/>
      <c r="T313" s="685"/>
      <c r="U313" s="685"/>
      <c r="V313" s="685"/>
      <c r="W313" s="685"/>
      <c r="X313" s="687"/>
      <c r="Y313" s="687"/>
      <c r="Z313" s="685" t="s">
        <v>1367</v>
      </c>
      <c r="AA313" s="688" t="s">
        <v>304</v>
      </c>
    </row>
    <row r="314" spans="1:27" s="258" customFormat="1" x14ac:dyDescent="0.25">
      <c r="A314" s="683" t="s">
        <v>1591</v>
      </c>
      <c r="B314" s="684"/>
      <c r="C314" s="684" t="s">
        <v>1605</v>
      </c>
      <c r="D314" s="684" t="s">
        <v>1608</v>
      </c>
      <c r="E314" s="684" t="s">
        <v>1381</v>
      </c>
      <c r="F314" s="684" t="s">
        <v>53</v>
      </c>
      <c r="G314" s="685" t="s">
        <v>47</v>
      </c>
      <c r="H314" s="684" t="s">
        <v>1366</v>
      </c>
      <c r="I314" s="686">
        <v>2960</v>
      </c>
      <c r="J314" s="686">
        <v>3700</v>
      </c>
      <c r="K314" s="686">
        <v>3700</v>
      </c>
      <c r="L314" s="686">
        <v>4685</v>
      </c>
      <c r="M314" s="685"/>
      <c r="N314" s="685"/>
      <c r="O314" s="685"/>
      <c r="P314" s="685"/>
      <c r="Q314" s="685"/>
      <c r="R314" s="685"/>
      <c r="S314" s="685"/>
      <c r="T314" s="685"/>
      <c r="U314" s="685"/>
      <c r="V314" s="685"/>
      <c r="W314" s="685"/>
      <c r="X314" s="687"/>
      <c r="Y314" s="687"/>
      <c r="Z314" s="685" t="s">
        <v>1367</v>
      </c>
      <c r="AA314" s="688" t="s">
        <v>304</v>
      </c>
    </row>
    <row r="315" spans="1:27" s="258" customFormat="1" x14ac:dyDescent="0.25">
      <c r="A315" s="683" t="s">
        <v>1591</v>
      </c>
      <c r="B315" s="684"/>
      <c r="C315" s="684" t="s">
        <v>1605</v>
      </c>
      <c r="D315" s="684" t="s">
        <v>1391</v>
      </c>
      <c r="E315" s="684" t="s">
        <v>1614</v>
      </c>
      <c r="F315" s="684" t="s">
        <v>357</v>
      </c>
      <c r="G315" s="685" t="s">
        <v>47</v>
      </c>
      <c r="H315" s="684" t="s">
        <v>1366</v>
      </c>
      <c r="I315" s="686">
        <v>2960</v>
      </c>
      <c r="J315" s="686">
        <v>3700</v>
      </c>
      <c r="K315" s="686">
        <v>3700</v>
      </c>
      <c r="L315" s="686">
        <v>4685</v>
      </c>
      <c r="M315" s="685"/>
      <c r="N315" s="685"/>
      <c r="O315" s="685"/>
      <c r="P315" s="685"/>
      <c r="Q315" s="685"/>
      <c r="R315" s="685"/>
      <c r="S315" s="685"/>
      <c r="T315" s="685"/>
      <c r="U315" s="685"/>
      <c r="V315" s="685"/>
      <c r="W315" s="685"/>
      <c r="X315" s="687"/>
      <c r="Y315" s="687"/>
      <c r="Z315" s="685" t="s">
        <v>1367</v>
      </c>
      <c r="AA315" s="688" t="s">
        <v>304</v>
      </c>
    </row>
    <row r="316" spans="1:27" s="258" customFormat="1" x14ac:dyDescent="0.25">
      <c r="A316" s="683" t="s">
        <v>1591</v>
      </c>
      <c r="B316" s="684"/>
      <c r="C316" s="684" t="s">
        <v>1605</v>
      </c>
      <c r="D316" s="684" t="s">
        <v>1391</v>
      </c>
      <c r="E316" s="684" t="s">
        <v>1386</v>
      </c>
      <c r="F316" s="684" t="s">
        <v>53</v>
      </c>
      <c r="G316" s="685" t="s">
        <v>47</v>
      </c>
      <c r="H316" s="684" t="s">
        <v>1366</v>
      </c>
      <c r="I316" s="686">
        <v>2960</v>
      </c>
      <c r="J316" s="686">
        <v>3700</v>
      </c>
      <c r="K316" s="686">
        <v>3700</v>
      </c>
      <c r="L316" s="686">
        <v>4685</v>
      </c>
      <c r="M316" s="685"/>
      <c r="N316" s="685"/>
      <c r="O316" s="685"/>
      <c r="P316" s="685"/>
      <c r="Q316" s="685"/>
      <c r="R316" s="685"/>
      <c r="S316" s="685"/>
      <c r="T316" s="685"/>
      <c r="U316" s="685"/>
      <c r="V316" s="685"/>
      <c r="W316" s="685"/>
      <c r="X316" s="687"/>
      <c r="Y316" s="687"/>
      <c r="Z316" s="685" t="s">
        <v>1367</v>
      </c>
      <c r="AA316" s="688" t="s">
        <v>304</v>
      </c>
    </row>
    <row r="317" spans="1:27" s="258" customFormat="1" x14ac:dyDescent="0.25">
      <c r="A317" s="683" t="s">
        <v>1591</v>
      </c>
      <c r="B317" s="684"/>
      <c r="C317" s="684" t="s">
        <v>1398</v>
      </c>
      <c r="D317" s="684" t="s">
        <v>1390</v>
      </c>
      <c r="E317" s="684"/>
      <c r="F317" s="684" t="s">
        <v>51</v>
      </c>
      <c r="G317" s="685" t="s">
        <v>47</v>
      </c>
      <c r="H317" s="684" t="s">
        <v>1366</v>
      </c>
      <c r="I317" s="686">
        <v>1920</v>
      </c>
      <c r="J317" s="686">
        <v>2400</v>
      </c>
      <c r="K317" s="686">
        <v>2400</v>
      </c>
      <c r="L317" s="686">
        <v>3040</v>
      </c>
      <c r="M317" s="685"/>
      <c r="N317" s="685"/>
      <c r="O317" s="685"/>
      <c r="P317" s="685"/>
      <c r="Q317" s="685"/>
      <c r="R317" s="685"/>
      <c r="S317" s="685"/>
      <c r="T317" s="685"/>
      <c r="U317" s="685"/>
      <c r="V317" s="685"/>
      <c r="W317" s="685"/>
      <c r="X317" s="687"/>
      <c r="Y317" s="687"/>
      <c r="Z317" s="685" t="s">
        <v>1367</v>
      </c>
      <c r="AA317" s="688" t="s">
        <v>389</v>
      </c>
    </row>
    <row r="318" spans="1:27" s="258" customFormat="1" x14ac:dyDescent="0.25">
      <c r="A318" s="683" t="s">
        <v>1591</v>
      </c>
      <c r="B318" s="684"/>
      <c r="C318" s="684" t="s">
        <v>1398</v>
      </c>
      <c r="D318" s="684" t="s">
        <v>1391</v>
      </c>
      <c r="E318" s="684"/>
      <c r="F318" s="684" t="s">
        <v>51</v>
      </c>
      <c r="G318" s="685" t="s">
        <v>47</v>
      </c>
      <c r="H318" s="684" t="s">
        <v>1366</v>
      </c>
      <c r="I318" s="686">
        <v>1920</v>
      </c>
      <c r="J318" s="686">
        <v>2400</v>
      </c>
      <c r="K318" s="686">
        <v>2400</v>
      </c>
      <c r="L318" s="686">
        <v>3040</v>
      </c>
      <c r="M318" s="685"/>
      <c r="N318" s="685"/>
      <c r="O318" s="685"/>
      <c r="P318" s="685"/>
      <c r="Q318" s="685"/>
      <c r="R318" s="685"/>
      <c r="S318" s="685"/>
      <c r="T318" s="685"/>
      <c r="U318" s="685"/>
      <c r="V318" s="685"/>
      <c r="W318" s="685"/>
      <c r="X318" s="687"/>
      <c r="Y318" s="687"/>
      <c r="Z318" s="685" t="s">
        <v>1367</v>
      </c>
      <c r="AA318" s="688" t="s">
        <v>304</v>
      </c>
    </row>
    <row r="319" spans="1:27" s="258" customFormat="1" x14ac:dyDescent="0.25">
      <c r="A319" s="683" t="s">
        <v>1591</v>
      </c>
      <c r="B319" s="684"/>
      <c r="C319" s="684" t="s">
        <v>1398</v>
      </c>
      <c r="D319" s="684" t="s">
        <v>1608</v>
      </c>
      <c r="E319" s="684"/>
      <c r="F319" s="684" t="s">
        <v>51</v>
      </c>
      <c r="G319" s="685" t="s">
        <v>47</v>
      </c>
      <c r="H319" s="684" t="s">
        <v>1366</v>
      </c>
      <c r="I319" s="686">
        <v>1920</v>
      </c>
      <c r="J319" s="686">
        <v>2400</v>
      </c>
      <c r="K319" s="686">
        <v>2400</v>
      </c>
      <c r="L319" s="686">
        <v>3040</v>
      </c>
      <c r="M319" s="685"/>
      <c r="N319" s="685"/>
      <c r="O319" s="685"/>
      <c r="P319" s="685"/>
      <c r="Q319" s="685"/>
      <c r="R319" s="685"/>
      <c r="S319" s="685"/>
      <c r="T319" s="685"/>
      <c r="U319" s="685"/>
      <c r="V319" s="685"/>
      <c r="W319" s="685"/>
      <c r="X319" s="687"/>
      <c r="Y319" s="687"/>
      <c r="Z319" s="685" t="s">
        <v>1367</v>
      </c>
      <c r="AA319" s="688" t="s">
        <v>389</v>
      </c>
    </row>
    <row r="320" spans="1:27" s="258" customFormat="1" x14ac:dyDescent="0.25">
      <c r="A320" s="683" t="s">
        <v>1591</v>
      </c>
      <c r="B320" s="684"/>
      <c r="C320" s="684" t="s">
        <v>1398</v>
      </c>
      <c r="D320" s="684" t="s">
        <v>1609</v>
      </c>
      <c r="E320" s="684"/>
      <c r="F320" s="684" t="s">
        <v>51</v>
      </c>
      <c r="G320" s="685" t="s">
        <v>47</v>
      </c>
      <c r="H320" s="684" t="s">
        <v>1366</v>
      </c>
      <c r="I320" s="686">
        <v>1920</v>
      </c>
      <c r="J320" s="686">
        <v>2400</v>
      </c>
      <c r="K320" s="686">
        <v>2400</v>
      </c>
      <c r="L320" s="686">
        <v>3040</v>
      </c>
      <c r="M320" s="685"/>
      <c r="N320" s="685"/>
      <c r="O320" s="685"/>
      <c r="P320" s="685"/>
      <c r="Q320" s="685"/>
      <c r="R320" s="685"/>
      <c r="S320" s="685"/>
      <c r="T320" s="685"/>
      <c r="U320" s="685"/>
      <c r="V320" s="685"/>
      <c r="W320" s="685"/>
      <c r="X320" s="687"/>
      <c r="Y320" s="687"/>
      <c r="Z320" s="685" t="s">
        <v>1367</v>
      </c>
      <c r="AA320" s="688" t="s">
        <v>304</v>
      </c>
    </row>
    <row r="321" spans="1:27" s="258" customFormat="1" x14ac:dyDescent="0.25">
      <c r="A321" s="683" t="s">
        <v>1591</v>
      </c>
      <c r="B321" s="684"/>
      <c r="C321" s="684" t="s">
        <v>1398</v>
      </c>
      <c r="D321" s="684" t="s">
        <v>1608</v>
      </c>
      <c r="E321" s="684" t="s">
        <v>1387</v>
      </c>
      <c r="F321" s="684" t="s">
        <v>53</v>
      </c>
      <c r="G321" s="685" t="s">
        <v>47</v>
      </c>
      <c r="H321" s="684" t="s">
        <v>1366</v>
      </c>
      <c r="I321" s="686">
        <v>2520</v>
      </c>
      <c r="J321" s="686">
        <v>3150</v>
      </c>
      <c r="K321" s="686">
        <v>3150</v>
      </c>
      <c r="L321" s="686">
        <v>3990</v>
      </c>
      <c r="M321" s="685"/>
      <c r="N321" s="685"/>
      <c r="O321" s="685"/>
      <c r="P321" s="685"/>
      <c r="Q321" s="685"/>
      <c r="R321" s="685"/>
      <c r="S321" s="685"/>
      <c r="T321" s="685"/>
      <c r="U321" s="685"/>
      <c r="V321" s="685"/>
      <c r="W321" s="685"/>
      <c r="X321" s="687"/>
      <c r="Y321" s="687"/>
      <c r="Z321" s="685" t="s">
        <v>1367</v>
      </c>
      <c r="AA321" s="688" t="s">
        <v>304</v>
      </c>
    </row>
    <row r="322" spans="1:27" s="258" customFormat="1" x14ac:dyDescent="0.25">
      <c r="A322" s="683" t="s">
        <v>1591</v>
      </c>
      <c r="B322" s="684"/>
      <c r="C322" s="684" t="s">
        <v>1398</v>
      </c>
      <c r="D322" s="684" t="s">
        <v>1390</v>
      </c>
      <c r="E322" s="684" t="s">
        <v>1610</v>
      </c>
      <c r="F322" s="684" t="s">
        <v>53</v>
      </c>
      <c r="G322" s="685" t="s">
        <v>47</v>
      </c>
      <c r="H322" s="684" t="s">
        <v>1366</v>
      </c>
      <c r="I322" s="686">
        <v>2960</v>
      </c>
      <c r="J322" s="686">
        <v>3700</v>
      </c>
      <c r="K322" s="686">
        <v>3700</v>
      </c>
      <c r="L322" s="686">
        <v>4685</v>
      </c>
      <c r="M322" s="685"/>
      <c r="N322" s="685"/>
      <c r="O322" s="685"/>
      <c r="P322" s="685"/>
      <c r="Q322" s="685"/>
      <c r="R322" s="685"/>
      <c r="S322" s="685"/>
      <c r="T322" s="685"/>
      <c r="U322" s="685"/>
      <c r="V322" s="685"/>
      <c r="W322" s="685"/>
      <c r="X322" s="687"/>
      <c r="Y322" s="687"/>
      <c r="Z322" s="685" t="s">
        <v>1367</v>
      </c>
      <c r="AA322" s="688" t="s">
        <v>304</v>
      </c>
    </row>
    <row r="323" spans="1:27" s="258" customFormat="1" x14ac:dyDescent="0.25">
      <c r="A323" s="683" t="s">
        <v>1591</v>
      </c>
      <c r="B323" s="684"/>
      <c r="C323" s="684" t="s">
        <v>1398</v>
      </c>
      <c r="D323" s="684" t="s">
        <v>1608</v>
      </c>
      <c r="E323" s="684" t="s">
        <v>1389</v>
      </c>
      <c r="F323" s="684" t="s">
        <v>53</v>
      </c>
      <c r="G323" s="685" t="s">
        <v>47</v>
      </c>
      <c r="H323" s="684" t="s">
        <v>1366</v>
      </c>
      <c r="I323" s="686">
        <v>2520</v>
      </c>
      <c r="J323" s="686">
        <v>3150</v>
      </c>
      <c r="K323" s="686">
        <v>3150</v>
      </c>
      <c r="L323" s="686">
        <v>3990</v>
      </c>
      <c r="M323" s="685"/>
      <c r="N323" s="685"/>
      <c r="O323" s="685"/>
      <c r="P323" s="685"/>
      <c r="Q323" s="685"/>
      <c r="R323" s="685"/>
      <c r="S323" s="685"/>
      <c r="T323" s="685"/>
      <c r="U323" s="685"/>
      <c r="V323" s="685"/>
      <c r="W323" s="685"/>
      <c r="X323" s="687"/>
      <c r="Y323" s="687"/>
      <c r="Z323" s="685" t="s">
        <v>1367</v>
      </c>
      <c r="AA323" s="688" t="s">
        <v>304</v>
      </c>
    </row>
    <row r="324" spans="1:27" s="258" customFormat="1" x14ac:dyDescent="0.25">
      <c r="A324" s="683" t="s">
        <v>1591</v>
      </c>
      <c r="B324" s="684"/>
      <c r="C324" s="684" t="s">
        <v>1398</v>
      </c>
      <c r="D324" s="684" t="s">
        <v>1608</v>
      </c>
      <c r="E324" s="684" t="s">
        <v>1611</v>
      </c>
      <c r="F324" s="684" t="s">
        <v>53</v>
      </c>
      <c r="G324" s="685" t="s">
        <v>47</v>
      </c>
      <c r="H324" s="684" t="s">
        <v>1366</v>
      </c>
      <c r="I324" s="686">
        <v>2720</v>
      </c>
      <c r="J324" s="686">
        <v>3400</v>
      </c>
      <c r="K324" s="686">
        <v>3400</v>
      </c>
      <c r="L324" s="686">
        <v>4305</v>
      </c>
      <c r="M324" s="685"/>
      <c r="N324" s="685"/>
      <c r="O324" s="685"/>
      <c r="P324" s="685"/>
      <c r="Q324" s="685"/>
      <c r="R324" s="685"/>
      <c r="S324" s="685"/>
      <c r="T324" s="685"/>
      <c r="U324" s="685"/>
      <c r="V324" s="685"/>
      <c r="W324" s="685"/>
      <c r="X324" s="687"/>
      <c r="Y324" s="687"/>
      <c r="Z324" s="685" t="s">
        <v>1367</v>
      </c>
      <c r="AA324" s="688" t="s">
        <v>304</v>
      </c>
    </row>
    <row r="325" spans="1:27" s="258" customFormat="1" x14ac:dyDescent="0.25">
      <c r="A325" s="683" t="s">
        <v>1591</v>
      </c>
      <c r="B325" s="684"/>
      <c r="C325" s="684" t="s">
        <v>1398</v>
      </c>
      <c r="D325" s="684" t="s">
        <v>1390</v>
      </c>
      <c r="E325" s="684" t="s">
        <v>1369</v>
      </c>
      <c r="F325" s="684" t="s">
        <v>53</v>
      </c>
      <c r="G325" s="685" t="s">
        <v>47</v>
      </c>
      <c r="H325" s="684" t="s">
        <v>1366</v>
      </c>
      <c r="I325" s="686">
        <v>2960</v>
      </c>
      <c r="J325" s="686">
        <v>3700</v>
      </c>
      <c r="K325" s="686">
        <v>3700</v>
      </c>
      <c r="L325" s="686">
        <v>4685</v>
      </c>
      <c r="M325" s="685"/>
      <c r="N325" s="685"/>
      <c r="O325" s="685"/>
      <c r="P325" s="685"/>
      <c r="Q325" s="685"/>
      <c r="R325" s="685"/>
      <c r="S325" s="685"/>
      <c r="T325" s="685"/>
      <c r="U325" s="685"/>
      <c r="V325" s="685"/>
      <c r="W325" s="685"/>
      <c r="X325" s="687"/>
      <c r="Y325" s="687"/>
      <c r="Z325" s="685" t="s">
        <v>1367</v>
      </c>
      <c r="AA325" s="688" t="s">
        <v>304</v>
      </c>
    </row>
    <row r="326" spans="1:27" s="258" customFormat="1" x14ac:dyDescent="0.25">
      <c r="A326" s="683" t="s">
        <v>1591</v>
      </c>
      <c r="B326" s="684"/>
      <c r="C326" s="684" t="s">
        <v>1398</v>
      </c>
      <c r="D326" s="684" t="s">
        <v>1391</v>
      </c>
      <c r="E326" s="684" t="s">
        <v>1369</v>
      </c>
      <c r="F326" s="684" t="s">
        <v>53</v>
      </c>
      <c r="G326" s="685" t="s">
        <v>47</v>
      </c>
      <c r="H326" s="684" t="s">
        <v>1366</v>
      </c>
      <c r="I326" s="686">
        <v>2960</v>
      </c>
      <c r="J326" s="686">
        <v>3700</v>
      </c>
      <c r="K326" s="686">
        <v>3700</v>
      </c>
      <c r="L326" s="686">
        <v>4685</v>
      </c>
      <c r="M326" s="685"/>
      <c r="N326" s="685"/>
      <c r="O326" s="685"/>
      <c r="P326" s="685"/>
      <c r="Q326" s="685"/>
      <c r="R326" s="685"/>
      <c r="S326" s="685"/>
      <c r="T326" s="685"/>
      <c r="U326" s="685"/>
      <c r="V326" s="685"/>
      <c r="W326" s="685"/>
      <c r="X326" s="687"/>
      <c r="Y326" s="687"/>
      <c r="Z326" s="685" t="s">
        <v>1367</v>
      </c>
      <c r="AA326" s="688" t="s">
        <v>304</v>
      </c>
    </row>
    <row r="327" spans="1:27" s="258" customFormat="1" x14ac:dyDescent="0.25">
      <c r="A327" s="683" t="s">
        <v>1591</v>
      </c>
      <c r="B327" s="684"/>
      <c r="C327" s="684" t="s">
        <v>1398</v>
      </c>
      <c r="D327" s="684" t="s">
        <v>1390</v>
      </c>
      <c r="E327" s="684" t="s">
        <v>1370</v>
      </c>
      <c r="F327" s="684" t="s">
        <v>53</v>
      </c>
      <c r="G327" s="685" t="s">
        <v>47</v>
      </c>
      <c r="H327" s="684" t="s">
        <v>1366</v>
      </c>
      <c r="I327" s="686">
        <v>2960</v>
      </c>
      <c r="J327" s="686">
        <v>3700</v>
      </c>
      <c r="K327" s="686">
        <v>3700</v>
      </c>
      <c r="L327" s="686">
        <v>4685</v>
      </c>
      <c r="M327" s="685"/>
      <c r="N327" s="685"/>
      <c r="O327" s="685"/>
      <c r="P327" s="685"/>
      <c r="Q327" s="685"/>
      <c r="R327" s="685"/>
      <c r="S327" s="685"/>
      <c r="T327" s="685"/>
      <c r="U327" s="685"/>
      <c r="V327" s="685"/>
      <c r="W327" s="685"/>
      <c r="X327" s="687"/>
      <c r="Y327" s="687"/>
      <c r="Z327" s="685" t="s">
        <v>1367</v>
      </c>
      <c r="AA327" s="688" t="s">
        <v>304</v>
      </c>
    </row>
    <row r="328" spans="1:27" s="258" customFormat="1" x14ac:dyDescent="0.25">
      <c r="A328" s="683" t="s">
        <v>1591</v>
      </c>
      <c r="B328" s="684"/>
      <c r="C328" s="684" t="s">
        <v>1398</v>
      </c>
      <c r="D328" s="684" t="s">
        <v>1391</v>
      </c>
      <c r="E328" s="684" t="s">
        <v>1370</v>
      </c>
      <c r="F328" s="684" t="s">
        <v>53</v>
      </c>
      <c r="G328" s="685" t="s">
        <v>47</v>
      </c>
      <c r="H328" s="684" t="s">
        <v>1366</v>
      </c>
      <c r="I328" s="686">
        <v>2960</v>
      </c>
      <c r="J328" s="686">
        <v>3700</v>
      </c>
      <c r="K328" s="686">
        <v>3700</v>
      </c>
      <c r="L328" s="686">
        <v>4685</v>
      </c>
      <c r="M328" s="685"/>
      <c r="N328" s="685"/>
      <c r="O328" s="685"/>
      <c r="P328" s="685"/>
      <c r="Q328" s="685"/>
      <c r="R328" s="685"/>
      <c r="S328" s="685"/>
      <c r="T328" s="685"/>
      <c r="U328" s="685"/>
      <c r="V328" s="685"/>
      <c r="W328" s="685"/>
      <c r="X328" s="687"/>
      <c r="Y328" s="687"/>
      <c r="Z328" s="685" t="s">
        <v>1367</v>
      </c>
      <c r="AA328" s="688" t="s">
        <v>304</v>
      </c>
    </row>
    <row r="329" spans="1:27" s="258" customFormat="1" x14ac:dyDescent="0.25">
      <c r="A329" s="683" t="s">
        <v>1591</v>
      </c>
      <c r="B329" s="684"/>
      <c r="C329" s="684" t="s">
        <v>1398</v>
      </c>
      <c r="D329" s="684" t="s">
        <v>1390</v>
      </c>
      <c r="E329" s="684" t="s">
        <v>1371</v>
      </c>
      <c r="F329" s="684" t="s">
        <v>53</v>
      </c>
      <c r="G329" s="685" t="s">
        <v>47</v>
      </c>
      <c r="H329" s="684" t="s">
        <v>1366</v>
      </c>
      <c r="I329" s="686">
        <v>2840</v>
      </c>
      <c r="J329" s="686">
        <v>3550</v>
      </c>
      <c r="K329" s="686">
        <v>3550</v>
      </c>
      <c r="L329" s="686">
        <v>4495</v>
      </c>
      <c r="M329" s="685"/>
      <c r="N329" s="685"/>
      <c r="O329" s="685"/>
      <c r="P329" s="685"/>
      <c r="Q329" s="685"/>
      <c r="R329" s="685"/>
      <c r="S329" s="685"/>
      <c r="T329" s="685"/>
      <c r="U329" s="685"/>
      <c r="V329" s="685"/>
      <c r="W329" s="685"/>
      <c r="X329" s="687"/>
      <c r="Y329" s="687"/>
      <c r="Z329" s="685" t="s">
        <v>1367</v>
      </c>
      <c r="AA329" s="688" t="s">
        <v>304</v>
      </c>
    </row>
    <row r="330" spans="1:27" s="258" customFormat="1" x14ac:dyDescent="0.25">
      <c r="A330" s="683" t="s">
        <v>1591</v>
      </c>
      <c r="B330" s="684"/>
      <c r="C330" s="684" t="s">
        <v>1398</v>
      </c>
      <c r="D330" s="684" t="s">
        <v>1391</v>
      </c>
      <c r="E330" s="684" t="s">
        <v>1371</v>
      </c>
      <c r="F330" s="684" t="s">
        <v>53</v>
      </c>
      <c r="G330" s="685" t="s">
        <v>47</v>
      </c>
      <c r="H330" s="684" t="s">
        <v>1366</v>
      </c>
      <c r="I330" s="686">
        <v>2840</v>
      </c>
      <c r="J330" s="686">
        <v>3550</v>
      </c>
      <c r="K330" s="686">
        <v>3550</v>
      </c>
      <c r="L330" s="686">
        <v>4495</v>
      </c>
      <c r="M330" s="685"/>
      <c r="N330" s="685"/>
      <c r="O330" s="685"/>
      <c r="P330" s="685"/>
      <c r="Q330" s="685"/>
      <c r="R330" s="685"/>
      <c r="S330" s="685"/>
      <c r="T330" s="685"/>
      <c r="U330" s="685"/>
      <c r="V330" s="685"/>
      <c r="W330" s="685"/>
      <c r="X330" s="687"/>
      <c r="Y330" s="687"/>
      <c r="Z330" s="685" t="s">
        <v>1367</v>
      </c>
      <c r="AA330" s="688" t="s">
        <v>304</v>
      </c>
    </row>
    <row r="331" spans="1:27" s="258" customFormat="1" x14ac:dyDescent="0.25">
      <c r="A331" s="683" t="s">
        <v>1591</v>
      </c>
      <c r="B331" s="684"/>
      <c r="C331" s="684" t="s">
        <v>1398</v>
      </c>
      <c r="D331" s="684" t="s">
        <v>1390</v>
      </c>
      <c r="E331" s="684" t="s">
        <v>1372</v>
      </c>
      <c r="F331" s="684" t="s">
        <v>53</v>
      </c>
      <c r="G331" s="685" t="s">
        <v>47</v>
      </c>
      <c r="H331" s="684" t="s">
        <v>1366</v>
      </c>
      <c r="I331" s="686">
        <v>3000</v>
      </c>
      <c r="J331" s="686">
        <v>3750</v>
      </c>
      <c r="K331" s="686">
        <v>3750</v>
      </c>
      <c r="L331" s="686">
        <v>4750</v>
      </c>
      <c r="M331" s="685"/>
      <c r="N331" s="685"/>
      <c r="O331" s="685"/>
      <c r="P331" s="685"/>
      <c r="Q331" s="685"/>
      <c r="R331" s="685"/>
      <c r="S331" s="685"/>
      <c r="T331" s="685"/>
      <c r="U331" s="685"/>
      <c r="V331" s="685"/>
      <c r="W331" s="685"/>
      <c r="X331" s="687"/>
      <c r="Y331" s="687"/>
      <c r="Z331" s="685" t="s">
        <v>1367</v>
      </c>
      <c r="AA331" s="688" t="s">
        <v>304</v>
      </c>
    </row>
    <row r="332" spans="1:27" s="258" customFormat="1" x14ac:dyDescent="0.25">
      <c r="A332" s="683" t="s">
        <v>1591</v>
      </c>
      <c r="B332" s="684"/>
      <c r="C332" s="684" t="s">
        <v>1398</v>
      </c>
      <c r="D332" s="684" t="s">
        <v>1391</v>
      </c>
      <c r="E332" s="684" t="s">
        <v>1372</v>
      </c>
      <c r="F332" s="684" t="s">
        <v>53</v>
      </c>
      <c r="G332" s="685" t="s">
        <v>47</v>
      </c>
      <c r="H332" s="684" t="s">
        <v>1366</v>
      </c>
      <c r="I332" s="686">
        <v>3000</v>
      </c>
      <c r="J332" s="686">
        <v>3750</v>
      </c>
      <c r="K332" s="686">
        <v>3750</v>
      </c>
      <c r="L332" s="686">
        <v>4750</v>
      </c>
      <c r="M332" s="685"/>
      <c r="N332" s="685"/>
      <c r="O332" s="685"/>
      <c r="P332" s="685"/>
      <c r="Q332" s="685"/>
      <c r="R332" s="685"/>
      <c r="S332" s="685"/>
      <c r="T332" s="685"/>
      <c r="U332" s="685"/>
      <c r="V332" s="685"/>
      <c r="W332" s="685"/>
      <c r="X332" s="687"/>
      <c r="Y332" s="687"/>
      <c r="Z332" s="685" t="s">
        <v>1367</v>
      </c>
      <c r="AA332" s="688" t="s">
        <v>304</v>
      </c>
    </row>
    <row r="333" spans="1:27" s="258" customFormat="1" x14ac:dyDescent="0.25">
      <c r="A333" s="683" t="s">
        <v>1591</v>
      </c>
      <c r="B333" s="684"/>
      <c r="C333" s="684" t="s">
        <v>1398</v>
      </c>
      <c r="D333" s="684" t="s">
        <v>1391</v>
      </c>
      <c r="E333" s="684" t="s">
        <v>1375</v>
      </c>
      <c r="F333" s="684" t="s">
        <v>53</v>
      </c>
      <c r="G333" s="685" t="s">
        <v>47</v>
      </c>
      <c r="H333" s="684" t="s">
        <v>1366</v>
      </c>
      <c r="I333" s="686">
        <v>2920</v>
      </c>
      <c r="J333" s="686">
        <v>3650</v>
      </c>
      <c r="K333" s="686">
        <v>3650</v>
      </c>
      <c r="L333" s="686">
        <v>4620</v>
      </c>
      <c r="M333" s="685"/>
      <c r="N333" s="685"/>
      <c r="O333" s="685"/>
      <c r="P333" s="685"/>
      <c r="Q333" s="685"/>
      <c r="R333" s="685"/>
      <c r="S333" s="685"/>
      <c r="T333" s="685"/>
      <c r="U333" s="685"/>
      <c r="V333" s="685"/>
      <c r="W333" s="685"/>
      <c r="X333" s="687"/>
      <c r="Y333" s="687"/>
      <c r="Z333" s="685" t="s">
        <v>1367</v>
      </c>
      <c r="AA333" s="688" t="s">
        <v>304</v>
      </c>
    </row>
    <row r="334" spans="1:27" s="258" customFormat="1" x14ac:dyDescent="0.25">
      <c r="A334" s="683" t="s">
        <v>1591</v>
      </c>
      <c r="B334" s="684"/>
      <c r="C334" s="684" t="s">
        <v>1398</v>
      </c>
      <c r="D334" s="684" t="s">
        <v>1609</v>
      </c>
      <c r="E334" s="684" t="s">
        <v>1612</v>
      </c>
      <c r="F334" s="684" t="s">
        <v>53</v>
      </c>
      <c r="G334" s="685" t="s">
        <v>47</v>
      </c>
      <c r="H334" s="684" t="s">
        <v>1366</v>
      </c>
      <c r="I334" s="686">
        <v>2560</v>
      </c>
      <c r="J334" s="686">
        <v>3200</v>
      </c>
      <c r="K334" s="686">
        <v>3200</v>
      </c>
      <c r="L334" s="686">
        <v>4050</v>
      </c>
      <c r="M334" s="685"/>
      <c r="N334" s="685"/>
      <c r="O334" s="685"/>
      <c r="P334" s="685"/>
      <c r="Q334" s="685"/>
      <c r="R334" s="685"/>
      <c r="S334" s="685"/>
      <c r="T334" s="685"/>
      <c r="U334" s="685"/>
      <c r="V334" s="685"/>
      <c r="W334" s="685"/>
      <c r="X334" s="687"/>
      <c r="Y334" s="687"/>
      <c r="Z334" s="685" t="s">
        <v>1367</v>
      </c>
      <c r="AA334" s="688" t="s">
        <v>304</v>
      </c>
    </row>
    <row r="335" spans="1:27" s="258" customFormat="1" x14ac:dyDescent="0.25">
      <c r="A335" s="683" t="s">
        <v>1591</v>
      </c>
      <c r="B335" s="684"/>
      <c r="C335" s="684" t="s">
        <v>1398</v>
      </c>
      <c r="D335" s="684" t="s">
        <v>1609</v>
      </c>
      <c r="E335" s="684" t="s">
        <v>1613</v>
      </c>
      <c r="F335" s="684" t="s">
        <v>53</v>
      </c>
      <c r="G335" s="685" t="s">
        <v>47</v>
      </c>
      <c r="H335" s="684" t="s">
        <v>1366</v>
      </c>
      <c r="I335" s="686">
        <v>2840</v>
      </c>
      <c r="J335" s="686">
        <v>3550</v>
      </c>
      <c r="K335" s="686">
        <v>3550</v>
      </c>
      <c r="L335" s="686">
        <v>4495</v>
      </c>
      <c r="M335" s="685"/>
      <c r="N335" s="685"/>
      <c r="O335" s="685"/>
      <c r="P335" s="685"/>
      <c r="Q335" s="685"/>
      <c r="R335" s="685"/>
      <c r="S335" s="685"/>
      <c r="T335" s="685"/>
      <c r="U335" s="685"/>
      <c r="V335" s="685"/>
      <c r="W335" s="685"/>
      <c r="X335" s="687"/>
      <c r="Y335" s="687"/>
      <c r="Z335" s="685" t="s">
        <v>1367</v>
      </c>
      <c r="AA335" s="688" t="s">
        <v>304</v>
      </c>
    </row>
    <row r="336" spans="1:27" s="258" customFormat="1" x14ac:dyDescent="0.25">
      <c r="A336" s="683" t="s">
        <v>1591</v>
      </c>
      <c r="B336" s="684"/>
      <c r="C336" s="684" t="s">
        <v>1398</v>
      </c>
      <c r="D336" s="684" t="s">
        <v>1608</v>
      </c>
      <c r="E336" s="684" t="s">
        <v>1656</v>
      </c>
      <c r="F336" s="684" t="s">
        <v>53</v>
      </c>
      <c r="G336" s="685" t="s">
        <v>47</v>
      </c>
      <c r="H336" s="684" t="s">
        <v>1366</v>
      </c>
      <c r="I336" s="686">
        <v>2720</v>
      </c>
      <c r="J336" s="686">
        <v>3400</v>
      </c>
      <c r="K336" s="686">
        <v>3400</v>
      </c>
      <c r="L336" s="686">
        <v>4305</v>
      </c>
      <c r="M336" s="685"/>
      <c r="N336" s="685"/>
      <c r="O336" s="685"/>
      <c r="P336" s="685"/>
      <c r="Q336" s="685"/>
      <c r="R336" s="685"/>
      <c r="S336" s="685"/>
      <c r="T336" s="685"/>
      <c r="U336" s="685"/>
      <c r="V336" s="685"/>
      <c r="W336" s="685"/>
      <c r="X336" s="687"/>
      <c r="Y336" s="687"/>
      <c r="Z336" s="685" t="s">
        <v>1367</v>
      </c>
      <c r="AA336" s="688" t="s">
        <v>304</v>
      </c>
    </row>
    <row r="337" spans="1:27" s="258" customFormat="1" x14ac:dyDescent="0.25">
      <c r="A337" s="683" t="s">
        <v>1591</v>
      </c>
      <c r="B337" s="684"/>
      <c r="C337" s="684" t="s">
        <v>1398</v>
      </c>
      <c r="D337" s="684" t="s">
        <v>1391</v>
      </c>
      <c r="E337" s="684" t="s">
        <v>1379</v>
      </c>
      <c r="F337" s="684" t="s">
        <v>53</v>
      </c>
      <c r="G337" s="685" t="s">
        <v>47</v>
      </c>
      <c r="H337" s="684" t="s">
        <v>1366</v>
      </c>
      <c r="I337" s="686">
        <v>2960</v>
      </c>
      <c r="J337" s="686">
        <v>3700</v>
      </c>
      <c r="K337" s="686">
        <v>3700</v>
      </c>
      <c r="L337" s="686">
        <v>4685</v>
      </c>
      <c r="M337" s="685"/>
      <c r="N337" s="685"/>
      <c r="O337" s="685"/>
      <c r="P337" s="685"/>
      <c r="Q337" s="685"/>
      <c r="R337" s="685"/>
      <c r="S337" s="685"/>
      <c r="T337" s="685"/>
      <c r="U337" s="685"/>
      <c r="V337" s="685"/>
      <c r="W337" s="685"/>
      <c r="X337" s="687"/>
      <c r="Y337" s="687"/>
      <c r="Z337" s="685" t="s">
        <v>1367</v>
      </c>
      <c r="AA337" s="688" t="s">
        <v>304</v>
      </c>
    </row>
    <row r="338" spans="1:27" s="258" customFormat="1" x14ac:dyDescent="0.25">
      <c r="A338" s="683" t="s">
        <v>1591</v>
      </c>
      <c r="B338" s="684"/>
      <c r="C338" s="684" t="s">
        <v>1398</v>
      </c>
      <c r="D338" s="684" t="s">
        <v>1391</v>
      </c>
      <c r="E338" s="684" t="s">
        <v>1380</v>
      </c>
      <c r="F338" s="684" t="s">
        <v>53</v>
      </c>
      <c r="G338" s="685" t="s">
        <v>47</v>
      </c>
      <c r="H338" s="684" t="s">
        <v>1366</v>
      </c>
      <c r="I338" s="686">
        <v>2960</v>
      </c>
      <c r="J338" s="686">
        <v>3700</v>
      </c>
      <c r="K338" s="686">
        <v>3700</v>
      </c>
      <c r="L338" s="686">
        <v>4685</v>
      </c>
      <c r="M338" s="685"/>
      <c r="N338" s="685"/>
      <c r="O338" s="685"/>
      <c r="P338" s="685"/>
      <c r="Q338" s="685"/>
      <c r="R338" s="685"/>
      <c r="S338" s="685"/>
      <c r="T338" s="685"/>
      <c r="U338" s="685"/>
      <c r="V338" s="685"/>
      <c r="W338" s="685"/>
      <c r="X338" s="687"/>
      <c r="Y338" s="687"/>
      <c r="Z338" s="685" t="s">
        <v>1367</v>
      </c>
      <c r="AA338" s="688" t="s">
        <v>304</v>
      </c>
    </row>
    <row r="339" spans="1:27" s="258" customFormat="1" x14ac:dyDescent="0.25">
      <c r="A339" s="683" t="s">
        <v>1591</v>
      </c>
      <c r="B339" s="684"/>
      <c r="C339" s="684" t="s">
        <v>1398</v>
      </c>
      <c r="D339" s="684" t="s">
        <v>1608</v>
      </c>
      <c r="E339" s="684" t="s">
        <v>1382</v>
      </c>
      <c r="F339" s="684" t="s">
        <v>53</v>
      </c>
      <c r="G339" s="685" t="s">
        <v>47</v>
      </c>
      <c r="H339" s="684" t="s">
        <v>1366</v>
      </c>
      <c r="I339" s="686">
        <v>2760</v>
      </c>
      <c r="J339" s="686">
        <v>3450</v>
      </c>
      <c r="K339" s="686">
        <v>3450</v>
      </c>
      <c r="L339" s="686">
        <v>4370</v>
      </c>
      <c r="M339" s="685"/>
      <c r="N339" s="685"/>
      <c r="O339" s="685"/>
      <c r="P339" s="685"/>
      <c r="Q339" s="685"/>
      <c r="R339" s="685"/>
      <c r="S339" s="685"/>
      <c r="T339" s="685"/>
      <c r="U339" s="685"/>
      <c r="V339" s="685"/>
      <c r="W339" s="685"/>
      <c r="X339" s="687"/>
      <c r="Y339" s="687"/>
      <c r="Z339" s="685" t="s">
        <v>1367</v>
      </c>
      <c r="AA339" s="688" t="s">
        <v>304</v>
      </c>
    </row>
    <row r="340" spans="1:27" s="258" customFormat="1" x14ac:dyDescent="0.25">
      <c r="A340" s="683" t="s">
        <v>1591</v>
      </c>
      <c r="B340" s="684"/>
      <c r="C340" s="684" t="s">
        <v>1398</v>
      </c>
      <c r="D340" s="684" t="s">
        <v>1608</v>
      </c>
      <c r="E340" s="684" t="s">
        <v>1381</v>
      </c>
      <c r="F340" s="684" t="s">
        <v>53</v>
      </c>
      <c r="G340" s="685" t="s">
        <v>47</v>
      </c>
      <c r="H340" s="684" t="s">
        <v>1366</v>
      </c>
      <c r="I340" s="686">
        <v>2880</v>
      </c>
      <c r="J340" s="686">
        <v>3600</v>
      </c>
      <c r="K340" s="686">
        <v>3600</v>
      </c>
      <c r="L340" s="686">
        <v>4560</v>
      </c>
      <c r="M340" s="685"/>
      <c r="N340" s="685"/>
      <c r="O340" s="685"/>
      <c r="P340" s="685"/>
      <c r="Q340" s="685"/>
      <c r="R340" s="685"/>
      <c r="S340" s="685"/>
      <c r="T340" s="685"/>
      <c r="U340" s="685"/>
      <c r="V340" s="685"/>
      <c r="W340" s="685"/>
      <c r="X340" s="687"/>
      <c r="Y340" s="687"/>
      <c r="Z340" s="685" t="s">
        <v>1367</v>
      </c>
      <c r="AA340" s="688" t="s">
        <v>304</v>
      </c>
    </row>
    <row r="341" spans="1:27" s="258" customFormat="1" x14ac:dyDescent="0.25">
      <c r="A341" s="683" t="s">
        <v>1591</v>
      </c>
      <c r="B341" s="684"/>
      <c r="C341" s="684" t="s">
        <v>1398</v>
      </c>
      <c r="D341" s="684" t="s">
        <v>1391</v>
      </c>
      <c r="E341" s="684" t="s">
        <v>1614</v>
      </c>
      <c r="F341" s="684" t="s">
        <v>357</v>
      </c>
      <c r="G341" s="685" t="s">
        <v>47</v>
      </c>
      <c r="H341" s="684" t="s">
        <v>1366</v>
      </c>
      <c r="I341" s="686">
        <v>2880</v>
      </c>
      <c r="J341" s="686">
        <v>3600</v>
      </c>
      <c r="K341" s="686">
        <v>3600</v>
      </c>
      <c r="L341" s="686">
        <v>4560</v>
      </c>
      <c r="M341" s="685"/>
      <c r="N341" s="685"/>
      <c r="O341" s="685"/>
      <c r="P341" s="685"/>
      <c r="Q341" s="685"/>
      <c r="R341" s="685"/>
      <c r="S341" s="685"/>
      <c r="T341" s="685"/>
      <c r="U341" s="685"/>
      <c r="V341" s="685"/>
      <c r="W341" s="685"/>
      <c r="X341" s="687"/>
      <c r="Y341" s="687"/>
      <c r="Z341" s="685" t="s">
        <v>1367</v>
      </c>
      <c r="AA341" s="688" t="s">
        <v>304</v>
      </c>
    </row>
    <row r="342" spans="1:27" s="258" customFormat="1" x14ac:dyDescent="0.25">
      <c r="A342" s="683" t="s">
        <v>1591</v>
      </c>
      <c r="B342" s="684"/>
      <c r="C342" s="684" t="s">
        <v>1398</v>
      </c>
      <c r="D342" s="684" t="s">
        <v>1391</v>
      </c>
      <c r="E342" s="684" t="s">
        <v>1386</v>
      </c>
      <c r="F342" s="684" t="s">
        <v>53</v>
      </c>
      <c r="G342" s="685" t="s">
        <v>47</v>
      </c>
      <c r="H342" s="684" t="s">
        <v>1366</v>
      </c>
      <c r="I342" s="686">
        <v>2880</v>
      </c>
      <c r="J342" s="686">
        <v>3600</v>
      </c>
      <c r="K342" s="686">
        <v>3600</v>
      </c>
      <c r="L342" s="686">
        <v>4560</v>
      </c>
      <c r="M342" s="685"/>
      <c r="N342" s="685"/>
      <c r="O342" s="685"/>
      <c r="P342" s="685"/>
      <c r="Q342" s="685"/>
      <c r="R342" s="685"/>
      <c r="S342" s="685"/>
      <c r="T342" s="685"/>
      <c r="U342" s="685"/>
      <c r="V342" s="685"/>
      <c r="W342" s="685"/>
      <c r="X342" s="687"/>
      <c r="Y342" s="687"/>
      <c r="Z342" s="685" t="s">
        <v>1367</v>
      </c>
      <c r="AA342" s="688" t="s">
        <v>304</v>
      </c>
    </row>
    <row r="343" spans="1:27" s="258" customFormat="1" x14ac:dyDescent="0.25">
      <c r="A343" s="683" t="s">
        <v>1591</v>
      </c>
      <c r="B343" s="684"/>
      <c r="C343" s="684" t="s">
        <v>1392</v>
      </c>
      <c r="D343" s="684" t="s">
        <v>1390</v>
      </c>
      <c r="E343" s="684"/>
      <c r="F343" s="684" t="s">
        <v>51</v>
      </c>
      <c r="G343" s="685" t="s">
        <v>47</v>
      </c>
      <c r="H343" s="684" t="s">
        <v>1366</v>
      </c>
      <c r="I343" s="686">
        <v>2000</v>
      </c>
      <c r="J343" s="686">
        <v>2500</v>
      </c>
      <c r="K343" s="686">
        <v>2500</v>
      </c>
      <c r="L343" s="686">
        <v>3165</v>
      </c>
      <c r="M343" s="685"/>
      <c r="N343" s="685"/>
      <c r="O343" s="685"/>
      <c r="P343" s="685"/>
      <c r="Q343" s="685"/>
      <c r="R343" s="685"/>
      <c r="S343" s="685"/>
      <c r="T343" s="685"/>
      <c r="U343" s="685"/>
      <c r="V343" s="685"/>
      <c r="W343" s="685"/>
      <c r="X343" s="687"/>
      <c r="Y343" s="687"/>
      <c r="Z343" s="685" t="s">
        <v>1367</v>
      </c>
      <c r="AA343" s="688" t="s">
        <v>389</v>
      </c>
    </row>
    <row r="344" spans="1:27" s="258" customFormat="1" x14ac:dyDescent="0.25">
      <c r="A344" s="683" t="s">
        <v>1591</v>
      </c>
      <c r="B344" s="684"/>
      <c r="C344" s="684" t="s">
        <v>1392</v>
      </c>
      <c r="D344" s="684" t="s">
        <v>1391</v>
      </c>
      <c r="E344" s="684"/>
      <c r="F344" s="684" t="s">
        <v>51</v>
      </c>
      <c r="G344" s="685" t="s">
        <v>47</v>
      </c>
      <c r="H344" s="684" t="s">
        <v>1366</v>
      </c>
      <c r="I344" s="686">
        <v>2000</v>
      </c>
      <c r="J344" s="686">
        <v>2500</v>
      </c>
      <c r="K344" s="686">
        <v>2500</v>
      </c>
      <c r="L344" s="686">
        <v>3165</v>
      </c>
      <c r="M344" s="685"/>
      <c r="N344" s="685"/>
      <c r="O344" s="685"/>
      <c r="P344" s="685"/>
      <c r="Q344" s="685"/>
      <c r="R344" s="685"/>
      <c r="S344" s="685"/>
      <c r="T344" s="685"/>
      <c r="U344" s="685"/>
      <c r="V344" s="685"/>
      <c r="W344" s="685"/>
      <c r="X344" s="687"/>
      <c r="Y344" s="687"/>
      <c r="Z344" s="685" t="s">
        <v>1367</v>
      </c>
      <c r="AA344" s="688" t="s">
        <v>304</v>
      </c>
    </row>
    <row r="345" spans="1:27" s="258" customFormat="1" x14ac:dyDescent="0.25">
      <c r="A345" s="683" t="s">
        <v>1591</v>
      </c>
      <c r="B345" s="684"/>
      <c r="C345" s="684" t="s">
        <v>1392</v>
      </c>
      <c r="D345" s="684" t="s">
        <v>1608</v>
      </c>
      <c r="E345" s="684"/>
      <c r="F345" s="684" t="s">
        <v>51</v>
      </c>
      <c r="G345" s="685" t="s">
        <v>47</v>
      </c>
      <c r="H345" s="684" t="s">
        <v>1366</v>
      </c>
      <c r="I345" s="686">
        <v>2000</v>
      </c>
      <c r="J345" s="686">
        <v>2500</v>
      </c>
      <c r="K345" s="686">
        <v>2500</v>
      </c>
      <c r="L345" s="686">
        <v>3165</v>
      </c>
      <c r="M345" s="685"/>
      <c r="N345" s="685"/>
      <c r="O345" s="685"/>
      <c r="P345" s="685"/>
      <c r="Q345" s="685"/>
      <c r="R345" s="685"/>
      <c r="S345" s="685"/>
      <c r="T345" s="685"/>
      <c r="U345" s="685"/>
      <c r="V345" s="685"/>
      <c r="W345" s="685"/>
      <c r="X345" s="687"/>
      <c r="Y345" s="687"/>
      <c r="Z345" s="685" t="s">
        <v>1367</v>
      </c>
      <c r="AA345" s="688" t="s">
        <v>389</v>
      </c>
    </row>
    <row r="346" spans="1:27" s="258" customFormat="1" x14ac:dyDescent="0.25">
      <c r="A346" s="683" t="s">
        <v>1591</v>
      </c>
      <c r="B346" s="684"/>
      <c r="C346" s="684" t="s">
        <v>1392</v>
      </c>
      <c r="D346" s="684" t="s">
        <v>1609</v>
      </c>
      <c r="E346" s="684"/>
      <c r="F346" s="684" t="s">
        <v>51</v>
      </c>
      <c r="G346" s="685" t="s">
        <v>47</v>
      </c>
      <c r="H346" s="684" t="s">
        <v>1366</v>
      </c>
      <c r="I346" s="686">
        <v>2000</v>
      </c>
      <c r="J346" s="686">
        <v>2500</v>
      </c>
      <c r="K346" s="686">
        <v>2500</v>
      </c>
      <c r="L346" s="686">
        <v>3165</v>
      </c>
      <c r="M346" s="685"/>
      <c r="N346" s="685"/>
      <c r="O346" s="685"/>
      <c r="P346" s="685"/>
      <c r="Q346" s="685"/>
      <c r="R346" s="685"/>
      <c r="S346" s="685"/>
      <c r="T346" s="685"/>
      <c r="U346" s="685"/>
      <c r="V346" s="685"/>
      <c r="W346" s="685"/>
      <c r="X346" s="687"/>
      <c r="Y346" s="687"/>
      <c r="Z346" s="685" t="s">
        <v>1367</v>
      </c>
      <c r="AA346" s="688" t="s">
        <v>304</v>
      </c>
    </row>
    <row r="347" spans="1:27" s="258" customFormat="1" x14ac:dyDescent="0.25">
      <c r="A347" s="683" t="s">
        <v>1591</v>
      </c>
      <c r="B347" s="684"/>
      <c r="C347" s="684" t="s">
        <v>1392</v>
      </c>
      <c r="D347" s="684" t="s">
        <v>1608</v>
      </c>
      <c r="E347" s="684" t="s">
        <v>1387</v>
      </c>
      <c r="F347" s="684" t="s">
        <v>53</v>
      </c>
      <c r="G347" s="685" t="s">
        <v>47</v>
      </c>
      <c r="H347" s="684" t="s">
        <v>1366</v>
      </c>
      <c r="I347" s="686">
        <v>2600</v>
      </c>
      <c r="J347" s="686">
        <v>3250</v>
      </c>
      <c r="K347" s="686">
        <v>3250</v>
      </c>
      <c r="L347" s="686">
        <v>4115</v>
      </c>
      <c r="M347" s="685"/>
      <c r="N347" s="685"/>
      <c r="O347" s="685"/>
      <c r="P347" s="685"/>
      <c r="Q347" s="685"/>
      <c r="R347" s="685"/>
      <c r="S347" s="685"/>
      <c r="T347" s="685"/>
      <c r="U347" s="685"/>
      <c r="V347" s="685"/>
      <c r="W347" s="685"/>
      <c r="X347" s="687"/>
      <c r="Y347" s="687"/>
      <c r="Z347" s="685" t="s">
        <v>1367</v>
      </c>
      <c r="AA347" s="688" t="s">
        <v>304</v>
      </c>
    </row>
    <row r="348" spans="1:27" s="258" customFormat="1" x14ac:dyDescent="0.25">
      <c r="A348" s="683" t="s">
        <v>1591</v>
      </c>
      <c r="B348" s="684"/>
      <c r="C348" s="684" t="s">
        <v>1392</v>
      </c>
      <c r="D348" s="684" t="s">
        <v>1390</v>
      </c>
      <c r="E348" s="684" t="s">
        <v>1610</v>
      </c>
      <c r="F348" s="684" t="s">
        <v>53</v>
      </c>
      <c r="G348" s="685" t="s">
        <v>47</v>
      </c>
      <c r="H348" s="684" t="s">
        <v>1366</v>
      </c>
      <c r="I348" s="686">
        <v>3040</v>
      </c>
      <c r="J348" s="686">
        <v>3800</v>
      </c>
      <c r="K348" s="686">
        <v>3800</v>
      </c>
      <c r="L348" s="686">
        <v>4810</v>
      </c>
      <c r="M348" s="685"/>
      <c r="N348" s="685"/>
      <c r="O348" s="685"/>
      <c r="P348" s="685"/>
      <c r="Q348" s="685"/>
      <c r="R348" s="685"/>
      <c r="S348" s="685"/>
      <c r="T348" s="685"/>
      <c r="U348" s="685"/>
      <c r="V348" s="685"/>
      <c r="W348" s="685"/>
      <c r="X348" s="687"/>
      <c r="Y348" s="687"/>
      <c r="Z348" s="685" t="s">
        <v>1367</v>
      </c>
      <c r="AA348" s="688" t="s">
        <v>304</v>
      </c>
    </row>
    <row r="349" spans="1:27" s="258" customFormat="1" x14ac:dyDescent="0.25">
      <c r="A349" s="683" t="s">
        <v>1591</v>
      </c>
      <c r="B349" s="684"/>
      <c r="C349" s="684" t="s">
        <v>1392</v>
      </c>
      <c r="D349" s="684" t="s">
        <v>1608</v>
      </c>
      <c r="E349" s="684" t="s">
        <v>1389</v>
      </c>
      <c r="F349" s="684" t="s">
        <v>53</v>
      </c>
      <c r="G349" s="685" t="s">
        <v>47</v>
      </c>
      <c r="H349" s="684" t="s">
        <v>1366</v>
      </c>
      <c r="I349" s="686">
        <v>2600</v>
      </c>
      <c r="J349" s="686">
        <v>3250</v>
      </c>
      <c r="K349" s="686">
        <v>3250</v>
      </c>
      <c r="L349" s="686">
        <v>4115</v>
      </c>
      <c r="M349" s="685"/>
      <c r="N349" s="685"/>
      <c r="O349" s="685"/>
      <c r="P349" s="685"/>
      <c r="Q349" s="685"/>
      <c r="R349" s="685"/>
      <c r="S349" s="685"/>
      <c r="T349" s="685"/>
      <c r="U349" s="685"/>
      <c r="V349" s="685"/>
      <c r="W349" s="685"/>
      <c r="X349" s="687"/>
      <c r="Y349" s="687"/>
      <c r="Z349" s="685" t="s">
        <v>1367</v>
      </c>
      <c r="AA349" s="688" t="s">
        <v>304</v>
      </c>
    </row>
    <row r="350" spans="1:27" s="258" customFormat="1" x14ac:dyDescent="0.25">
      <c r="A350" s="683" t="s">
        <v>1591</v>
      </c>
      <c r="B350" s="684"/>
      <c r="C350" s="684" t="s">
        <v>1392</v>
      </c>
      <c r="D350" s="684" t="s">
        <v>1608</v>
      </c>
      <c r="E350" s="684" t="s">
        <v>1611</v>
      </c>
      <c r="F350" s="684" t="s">
        <v>53</v>
      </c>
      <c r="G350" s="685" t="s">
        <v>47</v>
      </c>
      <c r="H350" s="684" t="s">
        <v>1366</v>
      </c>
      <c r="I350" s="686">
        <v>2800</v>
      </c>
      <c r="J350" s="686">
        <v>3500</v>
      </c>
      <c r="K350" s="686">
        <v>3500</v>
      </c>
      <c r="L350" s="686">
        <v>4430</v>
      </c>
      <c r="M350" s="685"/>
      <c r="N350" s="685"/>
      <c r="O350" s="685"/>
      <c r="P350" s="685"/>
      <c r="Q350" s="685"/>
      <c r="R350" s="685"/>
      <c r="S350" s="685"/>
      <c r="T350" s="685"/>
      <c r="U350" s="685"/>
      <c r="V350" s="685"/>
      <c r="W350" s="685"/>
      <c r="X350" s="687"/>
      <c r="Y350" s="687"/>
      <c r="Z350" s="685" t="s">
        <v>1367</v>
      </c>
      <c r="AA350" s="688" t="s">
        <v>304</v>
      </c>
    </row>
    <row r="351" spans="1:27" s="258" customFormat="1" x14ac:dyDescent="0.25">
      <c r="A351" s="683" t="s">
        <v>1591</v>
      </c>
      <c r="B351" s="684"/>
      <c r="C351" s="684" t="s">
        <v>1392</v>
      </c>
      <c r="D351" s="684" t="s">
        <v>1390</v>
      </c>
      <c r="E351" s="684" t="s">
        <v>1369</v>
      </c>
      <c r="F351" s="684" t="s">
        <v>53</v>
      </c>
      <c r="G351" s="685" t="s">
        <v>47</v>
      </c>
      <c r="H351" s="684" t="s">
        <v>1366</v>
      </c>
      <c r="I351" s="686">
        <v>3040</v>
      </c>
      <c r="J351" s="686">
        <v>3800</v>
      </c>
      <c r="K351" s="686">
        <v>3800</v>
      </c>
      <c r="L351" s="686">
        <v>4810</v>
      </c>
      <c r="M351" s="685"/>
      <c r="N351" s="685"/>
      <c r="O351" s="685"/>
      <c r="P351" s="685"/>
      <c r="Q351" s="685"/>
      <c r="R351" s="685"/>
      <c r="S351" s="685"/>
      <c r="T351" s="685"/>
      <c r="U351" s="685"/>
      <c r="V351" s="685"/>
      <c r="W351" s="685"/>
      <c r="X351" s="687"/>
      <c r="Y351" s="687"/>
      <c r="Z351" s="685" t="s">
        <v>1367</v>
      </c>
      <c r="AA351" s="688" t="s">
        <v>304</v>
      </c>
    </row>
    <row r="352" spans="1:27" s="258" customFormat="1" x14ac:dyDescent="0.25">
      <c r="A352" s="683" t="s">
        <v>1591</v>
      </c>
      <c r="B352" s="684"/>
      <c r="C352" s="684" t="s">
        <v>1392</v>
      </c>
      <c r="D352" s="684" t="s">
        <v>1391</v>
      </c>
      <c r="E352" s="684" t="s">
        <v>1369</v>
      </c>
      <c r="F352" s="684" t="s">
        <v>53</v>
      </c>
      <c r="G352" s="685" t="s">
        <v>47</v>
      </c>
      <c r="H352" s="684" t="s">
        <v>1366</v>
      </c>
      <c r="I352" s="686">
        <v>3040</v>
      </c>
      <c r="J352" s="686">
        <v>3800</v>
      </c>
      <c r="K352" s="686">
        <v>3800</v>
      </c>
      <c r="L352" s="686">
        <v>4810</v>
      </c>
      <c r="M352" s="685"/>
      <c r="N352" s="685"/>
      <c r="O352" s="685"/>
      <c r="P352" s="685"/>
      <c r="Q352" s="685"/>
      <c r="R352" s="685"/>
      <c r="S352" s="685"/>
      <c r="T352" s="685"/>
      <c r="U352" s="685"/>
      <c r="V352" s="685"/>
      <c r="W352" s="685"/>
      <c r="X352" s="687"/>
      <c r="Y352" s="687"/>
      <c r="Z352" s="685" t="s">
        <v>1367</v>
      </c>
      <c r="AA352" s="688" t="s">
        <v>304</v>
      </c>
    </row>
    <row r="353" spans="1:27" s="258" customFormat="1" x14ac:dyDescent="0.25">
      <c r="A353" s="683" t="s">
        <v>1591</v>
      </c>
      <c r="B353" s="684"/>
      <c r="C353" s="684" t="s">
        <v>1392</v>
      </c>
      <c r="D353" s="684" t="s">
        <v>1390</v>
      </c>
      <c r="E353" s="684" t="s">
        <v>1370</v>
      </c>
      <c r="F353" s="684" t="s">
        <v>53</v>
      </c>
      <c r="G353" s="685" t="s">
        <v>47</v>
      </c>
      <c r="H353" s="684" t="s">
        <v>1366</v>
      </c>
      <c r="I353" s="686">
        <v>3040</v>
      </c>
      <c r="J353" s="686">
        <v>3800</v>
      </c>
      <c r="K353" s="686">
        <v>3800</v>
      </c>
      <c r="L353" s="686">
        <v>4810</v>
      </c>
      <c r="M353" s="685"/>
      <c r="N353" s="685"/>
      <c r="O353" s="685"/>
      <c r="P353" s="685"/>
      <c r="Q353" s="685"/>
      <c r="R353" s="685"/>
      <c r="S353" s="685"/>
      <c r="T353" s="685"/>
      <c r="U353" s="685"/>
      <c r="V353" s="685"/>
      <c r="W353" s="685"/>
      <c r="X353" s="687"/>
      <c r="Y353" s="687"/>
      <c r="Z353" s="685" t="s">
        <v>1367</v>
      </c>
      <c r="AA353" s="688" t="s">
        <v>304</v>
      </c>
    </row>
    <row r="354" spans="1:27" s="258" customFormat="1" x14ac:dyDescent="0.25">
      <c r="A354" s="683" t="s">
        <v>1591</v>
      </c>
      <c r="B354" s="684"/>
      <c r="C354" s="684" t="s">
        <v>1392</v>
      </c>
      <c r="D354" s="684" t="s">
        <v>1391</v>
      </c>
      <c r="E354" s="684" t="s">
        <v>1370</v>
      </c>
      <c r="F354" s="684" t="s">
        <v>53</v>
      </c>
      <c r="G354" s="685" t="s">
        <v>47</v>
      </c>
      <c r="H354" s="684" t="s">
        <v>1366</v>
      </c>
      <c r="I354" s="686">
        <v>3040</v>
      </c>
      <c r="J354" s="686">
        <v>3800</v>
      </c>
      <c r="K354" s="686">
        <v>3800</v>
      </c>
      <c r="L354" s="686">
        <v>4810</v>
      </c>
      <c r="M354" s="685"/>
      <c r="N354" s="685"/>
      <c r="O354" s="685"/>
      <c r="P354" s="685"/>
      <c r="Q354" s="685"/>
      <c r="R354" s="685"/>
      <c r="S354" s="685"/>
      <c r="T354" s="685"/>
      <c r="U354" s="685"/>
      <c r="V354" s="685"/>
      <c r="W354" s="685"/>
      <c r="X354" s="687"/>
      <c r="Y354" s="687"/>
      <c r="Z354" s="685" t="s">
        <v>1367</v>
      </c>
      <c r="AA354" s="688" t="s">
        <v>304</v>
      </c>
    </row>
    <row r="355" spans="1:27" s="258" customFormat="1" x14ac:dyDescent="0.25">
      <c r="A355" s="683" t="s">
        <v>1591</v>
      </c>
      <c r="B355" s="684"/>
      <c r="C355" s="684" t="s">
        <v>1392</v>
      </c>
      <c r="D355" s="684" t="s">
        <v>1390</v>
      </c>
      <c r="E355" s="684" t="s">
        <v>1371</v>
      </c>
      <c r="F355" s="684" t="s">
        <v>53</v>
      </c>
      <c r="G355" s="685" t="s">
        <v>47</v>
      </c>
      <c r="H355" s="684" t="s">
        <v>1366</v>
      </c>
      <c r="I355" s="686">
        <v>2920</v>
      </c>
      <c r="J355" s="686">
        <v>3650</v>
      </c>
      <c r="K355" s="686">
        <v>3650</v>
      </c>
      <c r="L355" s="686">
        <v>4620</v>
      </c>
      <c r="M355" s="685"/>
      <c r="N355" s="685"/>
      <c r="O355" s="685"/>
      <c r="P355" s="685"/>
      <c r="Q355" s="685"/>
      <c r="R355" s="685"/>
      <c r="S355" s="685"/>
      <c r="T355" s="685"/>
      <c r="U355" s="685"/>
      <c r="V355" s="685"/>
      <c r="W355" s="685"/>
      <c r="X355" s="687"/>
      <c r="Y355" s="687"/>
      <c r="Z355" s="685" t="s">
        <v>1367</v>
      </c>
      <c r="AA355" s="688" t="s">
        <v>304</v>
      </c>
    </row>
    <row r="356" spans="1:27" s="258" customFormat="1" x14ac:dyDescent="0.25">
      <c r="A356" s="683" t="s">
        <v>1591</v>
      </c>
      <c r="B356" s="684"/>
      <c r="C356" s="684" t="s">
        <v>1392</v>
      </c>
      <c r="D356" s="684" t="s">
        <v>1391</v>
      </c>
      <c r="E356" s="684" t="s">
        <v>1371</v>
      </c>
      <c r="F356" s="684" t="s">
        <v>53</v>
      </c>
      <c r="G356" s="685" t="s">
        <v>47</v>
      </c>
      <c r="H356" s="684" t="s">
        <v>1366</v>
      </c>
      <c r="I356" s="686">
        <v>2920</v>
      </c>
      <c r="J356" s="686">
        <v>3650</v>
      </c>
      <c r="K356" s="686">
        <v>3650</v>
      </c>
      <c r="L356" s="686">
        <v>4620</v>
      </c>
      <c r="M356" s="685"/>
      <c r="N356" s="685"/>
      <c r="O356" s="685"/>
      <c r="P356" s="685"/>
      <c r="Q356" s="685"/>
      <c r="R356" s="685"/>
      <c r="S356" s="685"/>
      <c r="T356" s="685"/>
      <c r="U356" s="685"/>
      <c r="V356" s="685"/>
      <c r="W356" s="685"/>
      <c r="X356" s="687"/>
      <c r="Y356" s="687"/>
      <c r="Z356" s="685" t="s">
        <v>1367</v>
      </c>
      <c r="AA356" s="688" t="s">
        <v>304</v>
      </c>
    </row>
    <row r="357" spans="1:27" s="258" customFormat="1" x14ac:dyDescent="0.25">
      <c r="A357" s="683" t="s">
        <v>1591</v>
      </c>
      <c r="B357" s="684"/>
      <c r="C357" s="684" t="s">
        <v>1392</v>
      </c>
      <c r="D357" s="684" t="s">
        <v>1390</v>
      </c>
      <c r="E357" s="684" t="s">
        <v>1372</v>
      </c>
      <c r="F357" s="684" t="s">
        <v>53</v>
      </c>
      <c r="G357" s="685" t="s">
        <v>47</v>
      </c>
      <c r="H357" s="684" t="s">
        <v>1366</v>
      </c>
      <c r="I357" s="686">
        <v>3080</v>
      </c>
      <c r="J357" s="686">
        <v>3850</v>
      </c>
      <c r="K357" s="686">
        <v>3850</v>
      </c>
      <c r="L357" s="686">
        <v>4875</v>
      </c>
      <c r="M357" s="685"/>
      <c r="N357" s="685"/>
      <c r="O357" s="685"/>
      <c r="P357" s="685"/>
      <c r="Q357" s="685"/>
      <c r="R357" s="685"/>
      <c r="S357" s="685"/>
      <c r="T357" s="685"/>
      <c r="U357" s="685"/>
      <c r="V357" s="685"/>
      <c r="W357" s="685"/>
      <c r="X357" s="687"/>
      <c r="Y357" s="687"/>
      <c r="Z357" s="685" t="s">
        <v>1367</v>
      </c>
      <c r="AA357" s="688" t="s">
        <v>304</v>
      </c>
    </row>
    <row r="358" spans="1:27" s="258" customFormat="1" x14ac:dyDescent="0.25">
      <c r="A358" s="683" t="s">
        <v>1591</v>
      </c>
      <c r="B358" s="684"/>
      <c r="C358" s="684" t="s">
        <v>1392</v>
      </c>
      <c r="D358" s="684" t="s">
        <v>1391</v>
      </c>
      <c r="E358" s="684" t="s">
        <v>1372</v>
      </c>
      <c r="F358" s="684" t="s">
        <v>53</v>
      </c>
      <c r="G358" s="685" t="s">
        <v>47</v>
      </c>
      <c r="H358" s="684" t="s">
        <v>1366</v>
      </c>
      <c r="I358" s="686">
        <v>3080</v>
      </c>
      <c r="J358" s="686">
        <v>3850</v>
      </c>
      <c r="K358" s="686">
        <v>3850</v>
      </c>
      <c r="L358" s="686">
        <v>4875</v>
      </c>
      <c r="M358" s="685"/>
      <c r="N358" s="685"/>
      <c r="O358" s="685"/>
      <c r="P358" s="685"/>
      <c r="Q358" s="685"/>
      <c r="R358" s="685"/>
      <c r="S358" s="685"/>
      <c r="T358" s="685"/>
      <c r="U358" s="685"/>
      <c r="V358" s="685"/>
      <c r="W358" s="685"/>
      <c r="X358" s="687"/>
      <c r="Y358" s="687"/>
      <c r="Z358" s="685" t="s">
        <v>1367</v>
      </c>
      <c r="AA358" s="688" t="s">
        <v>304</v>
      </c>
    </row>
    <row r="359" spans="1:27" s="258" customFormat="1" x14ac:dyDescent="0.25">
      <c r="A359" s="683" t="s">
        <v>1591</v>
      </c>
      <c r="B359" s="684"/>
      <c r="C359" s="684" t="s">
        <v>1392</v>
      </c>
      <c r="D359" s="684" t="s">
        <v>1391</v>
      </c>
      <c r="E359" s="684" t="s">
        <v>1375</v>
      </c>
      <c r="F359" s="684" t="s">
        <v>53</v>
      </c>
      <c r="G359" s="685" t="s">
        <v>47</v>
      </c>
      <c r="H359" s="684" t="s">
        <v>1366</v>
      </c>
      <c r="I359" s="686">
        <v>3000</v>
      </c>
      <c r="J359" s="686">
        <v>3750</v>
      </c>
      <c r="K359" s="686">
        <v>3750</v>
      </c>
      <c r="L359" s="686">
        <v>4750</v>
      </c>
      <c r="M359" s="685"/>
      <c r="N359" s="685"/>
      <c r="O359" s="685"/>
      <c r="P359" s="685"/>
      <c r="Q359" s="685"/>
      <c r="R359" s="685"/>
      <c r="S359" s="685"/>
      <c r="T359" s="685"/>
      <c r="U359" s="685"/>
      <c r="V359" s="685"/>
      <c r="W359" s="685"/>
      <c r="X359" s="687"/>
      <c r="Y359" s="687"/>
      <c r="Z359" s="685" t="s">
        <v>1367</v>
      </c>
      <c r="AA359" s="688" t="s">
        <v>304</v>
      </c>
    </row>
    <row r="360" spans="1:27" s="258" customFormat="1" x14ac:dyDescent="0.25">
      <c r="A360" s="683" t="s">
        <v>1591</v>
      </c>
      <c r="B360" s="684"/>
      <c r="C360" s="684" t="s">
        <v>1392</v>
      </c>
      <c r="D360" s="684" t="s">
        <v>1609</v>
      </c>
      <c r="E360" s="684" t="s">
        <v>1612</v>
      </c>
      <c r="F360" s="684" t="s">
        <v>53</v>
      </c>
      <c r="G360" s="685" t="s">
        <v>47</v>
      </c>
      <c r="H360" s="684" t="s">
        <v>1366</v>
      </c>
      <c r="I360" s="686">
        <v>2640</v>
      </c>
      <c r="J360" s="686">
        <v>3300</v>
      </c>
      <c r="K360" s="686">
        <v>3300</v>
      </c>
      <c r="L360" s="686">
        <v>4180</v>
      </c>
      <c r="M360" s="685"/>
      <c r="N360" s="685"/>
      <c r="O360" s="685"/>
      <c r="P360" s="685"/>
      <c r="Q360" s="685"/>
      <c r="R360" s="685"/>
      <c r="S360" s="685"/>
      <c r="T360" s="685"/>
      <c r="U360" s="685"/>
      <c r="V360" s="685"/>
      <c r="W360" s="685"/>
      <c r="X360" s="687"/>
      <c r="Y360" s="687"/>
      <c r="Z360" s="685" t="s">
        <v>1367</v>
      </c>
      <c r="AA360" s="688" t="s">
        <v>304</v>
      </c>
    </row>
    <row r="361" spans="1:27" s="258" customFormat="1" x14ac:dyDescent="0.25">
      <c r="A361" s="683" t="s">
        <v>1591</v>
      </c>
      <c r="B361" s="684"/>
      <c r="C361" s="684" t="s">
        <v>1392</v>
      </c>
      <c r="D361" s="684" t="s">
        <v>1609</v>
      </c>
      <c r="E361" s="684" t="s">
        <v>1613</v>
      </c>
      <c r="F361" s="684" t="s">
        <v>53</v>
      </c>
      <c r="G361" s="685" t="s">
        <v>47</v>
      </c>
      <c r="H361" s="684" t="s">
        <v>1366</v>
      </c>
      <c r="I361" s="686">
        <v>2920</v>
      </c>
      <c r="J361" s="686">
        <v>3650</v>
      </c>
      <c r="K361" s="686">
        <v>3650</v>
      </c>
      <c r="L361" s="686">
        <v>4620</v>
      </c>
      <c r="M361" s="685"/>
      <c r="N361" s="685"/>
      <c r="O361" s="685"/>
      <c r="P361" s="685"/>
      <c r="Q361" s="685"/>
      <c r="R361" s="685"/>
      <c r="S361" s="685"/>
      <c r="T361" s="685"/>
      <c r="U361" s="685"/>
      <c r="V361" s="685"/>
      <c r="W361" s="685"/>
      <c r="X361" s="687"/>
      <c r="Y361" s="687"/>
      <c r="Z361" s="685" t="s">
        <v>1367</v>
      </c>
      <c r="AA361" s="688" t="s">
        <v>304</v>
      </c>
    </row>
    <row r="362" spans="1:27" s="258" customFormat="1" x14ac:dyDescent="0.25">
      <c r="A362" s="683" t="s">
        <v>1591</v>
      </c>
      <c r="B362" s="684"/>
      <c r="C362" s="684" t="s">
        <v>1392</v>
      </c>
      <c r="D362" s="684" t="s">
        <v>1608</v>
      </c>
      <c r="E362" s="684" t="s">
        <v>1656</v>
      </c>
      <c r="F362" s="684" t="s">
        <v>53</v>
      </c>
      <c r="G362" s="685" t="s">
        <v>47</v>
      </c>
      <c r="H362" s="684" t="s">
        <v>1366</v>
      </c>
      <c r="I362" s="686">
        <v>2800</v>
      </c>
      <c r="J362" s="686">
        <v>3500</v>
      </c>
      <c r="K362" s="686">
        <v>3500</v>
      </c>
      <c r="L362" s="686">
        <v>4430</v>
      </c>
      <c r="M362" s="685"/>
      <c r="N362" s="685"/>
      <c r="O362" s="685"/>
      <c r="P362" s="685"/>
      <c r="Q362" s="685"/>
      <c r="R362" s="685"/>
      <c r="S362" s="685"/>
      <c r="T362" s="685"/>
      <c r="U362" s="685"/>
      <c r="V362" s="685"/>
      <c r="W362" s="685"/>
      <c r="X362" s="687"/>
      <c r="Y362" s="687"/>
      <c r="Z362" s="685" t="s">
        <v>1367</v>
      </c>
      <c r="AA362" s="688" t="s">
        <v>304</v>
      </c>
    </row>
    <row r="363" spans="1:27" s="258" customFormat="1" x14ac:dyDescent="0.25">
      <c r="A363" s="683" t="s">
        <v>1591</v>
      </c>
      <c r="B363" s="684"/>
      <c r="C363" s="684" t="s">
        <v>1392</v>
      </c>
      <c r="D363" s="684" t="s">
        <v>1391</v>
      </c>
      <c r="E363" s="684" t="s">
        <v>1379</v>
      </c>
      <c r="F363" s="684" t="s">
        <v>53</v>
      </c>
      <c r="G363" s="685" t="s">
        <v>47</v>
      </c>
      <c r="H363" s="684" t="s">
        <v>1366</v>
      </c>
      <c r="I363" s="686">
        <v>3040</v>
      </c>
      <c r="J363" s="686">
        <v>3800</v>
      </c>
      <c r="K363" s="686">
        <v>3800</v>
      </c>
      <c r="L363" s="686">
        <v>4810</v>
      </c>
      <c r="M363" s="685"/>
      <c r="N363" s="685"/>
      <c r="O363" s="685"/>
      <c r="P363" s="685"/>
      <c r="Q363" s="685"/>
      <c r="R363" s="685"/>
      <c r="S363" s="685"/>
      <c r="T363" s="685"/>
      <c r="U363" s="685"/>
      <c r="V363" s="685"/>
      <c r="W363" s="685"/>
      <c r="X363" s="687"/>
      <c r="Y363" s="687"/>
      <c r="Z363" s="685" t="s">
        <v>1367</v>
      </c>
      <c r="AA363" s="688" t="s">
        <v>304</v>
      </c>
    </row>
    <row r="364" spans="1:27" s="258" customFormat="1" x14ac:dyDescent="0.25">
      <c r="A364" s="683" t="s">
        <v>1591</v>
      </c>
      <c r="B364" s="684"/>
      <c r="C364" s="684" t="s">
        <v>1392</v>
      </c>
      <c r="D364" s="684" t="s">
        <v>1391</v>
      </c>
      <c r="E364" s="684" t="s">
        <v>1380</v>
      </c>
      <c r="F364" s="684" t="s">
        <v>53</v>
      </c>
      <c r="G364" s="685" t="s">
        <v>47</v>
      </c>
      <c r="H364" s="684" t="s">
        <v>1366</v>
      </c>
      <c r="I364" s="686">
        <v>3040</v>
      </c>
      <c r="J364" s="686">
        <v>3800</v>
      </c>
      <c r="K364" s="686">
        <v>3800</v>
      </c>
      <c r="L364" s="686">
        <v>4810</v>
      </c>
      <c r="M364" s="685"/>
      <c r="N364" s="685"/>
      <c r="O364" s="685"/>
      <c r="P364" s="685"/>
      <c r="Q364" s="685"/>
      <c r="R364" s="685"/>
      <c r="S364" s="685"/>
      <c r="T364" s="685"/>
      <c r="U364" s="685"/>
      <c r="V364" s="685"/>
      <c r="W364" s="685"/>
      <c r="X364" s="687"/>
      <c r="Y364" s="687"/>
      <c r="Z364" s="685" t="s">
        <v>1367</v>
      </c>
      <c r="AA364" s="688" t="s">
        <v>304</v>
      </c>
    </row>
    <row r="365" spans="1:27" s="258" customFormat="1" x14ac:dyDescent="0.25">
      <c r="A365" s="683" t="s">
        <v>1591</v>
      </c>
      <c r="B365" s="684"/>
      <c r="C365" s="684" t="s">
        <v>1392</v>
      </c>
      <c r="D365" s="684" t="s">
        <v>1608</v>
      </c>
      <c r="E365" s="684" t="s">
        <v>1382</v>
      </c>
      <c r="F365" s="684" t="s">
        <v>53</v>
      </c>
      <c r="G365" s="685" t="s">
        <v>47</v>
      </c>
      <c r="H365" s="684" t="s">
        <v>1366</v>
      </c>
      <c r="I365" s="686">
        <v>2840</v>
      </c>
      <c r="J365" s="686">
        <v>3550</v>
      </c>
      <c r="K365" s="686">
        <v>3550</v>
      </c>
      <c r="L365" s="686">
        <v>4495</v>
      </c>
      <c r="M365" s="685"/>
      <c r="N365" s="685"/>
      <c r="O365" s="685"/>
      <c r="P365" s="685"/>
      <c r="Q365" s="685"/>
      <c r="R365" s="685"/>
      <c r="S365" s="685"/>
      <c r="T365" s="685"/>
      <c r="U365" s="685"/>
      <c r="V365" s="685"/>
      <c r="W365" s="685"/>
      <c r="X365" s="687"/>
      <c r="Y365" s="687"/>
      <c r="Z365" s="685" t="s">
        <v>1367</v>
      </c>
      <c r="AA365" s="688" t="s">
        <v>304</v>
      </c>
    </row>
    <row r="366" spans="1:27" s="258" customFormat="1" x14ac:dyDescent="0.25">
      <c r="A366" s="683" t="s">
        <v>1591</v>
      </c>
      <c r="B366" s="684"/>
      <c r="C366" s="684" t="s">
        <v>1392</v>
      </c>
      <c r="D366" s="684" t="s">
        <v>1608</v>
      </c>
      <c r="E366" s="684" t="s">
        <v>1381</v>
      </c>
      <c r="F366" s="684" t="s">
        <v>53</v>
      </c>
      <c r="G366" s="685" t="s">
        <v>47</v>
      </c>
      <c r="H366" s="684" t="s">
        <v>1366</v>
      </c>
      <c r="I366" s="686">
        <v>2960</v>
      </c>
      <c r="J366" s="686">
        <v>3700</v>
      </c>
      <c r="K366" s="686">
        <v>3700</v>
      </c>
      <c r="L366" s="686">
        <v>4685</v>
      </c>
      <c r="M366" s="685"/>
      <c r="N366" s="685"/>
      <c r="O366" s="685"/>
      <c r="P366" s="685"/>
      <c r="Q366" s="685"/>
      <c r="R366" s="685"/>
      <c r="S366" s="685"/>
      <c r="T366" s="685"/>
      <c r="U366" s="685"/>
      <c r="V366" s="685"/>
      <c r="W366" s="685"/>
      <c r="X366" s="687"/>
      <c r="Y366" s="687"/>
      <c r="Z366" s="685" t="s">
        <v>1367</v>
      </c>
      <c r="AA366" s="688" t="s">
        <v>304</v>
      </c>
    </row>
    <row r="367" spans="1:27" s="258" customFormat="1" x14ac:dyDescent="0.25">
      <c r="A367" s="683" t="s">
        <v>1591</v>
      </c>
      <c r="B367" s="684"/>
      <c r="C367" s="684" t="s">
        <v>1392</v>
      </c>
      <c r="D367" s="684" t="s">
        <v>1391</v>
      </c>
      <c r="E367" s="684" t="s">
        <v>1614</v>
      </c>
      <c r="F367" s="684" t="s">
        <v>357</v>
      </c>
      <c r="G367" s="685" t="s">
        <v>47</v>
      </c>
      <c r="H367" s="684" t="s">
        <v>1366</v>
      </c>
      <c r="I367" s="686">
        <v>2960</v>
      </c>
      <c r="J367" s="686">
        <v>3700</v>
      </c>
      <c r="K367" s="686">
        <v>3700</v>
      </c>
      <c r="L367" s="686">
        <v>4685</v>
      </c>
      <c r="M367" s="685"/>
      <c r="N367" s="685"/>
      <c r="O367" s="685"/>
      <c r="P367" s="685"/>
      <c r="Q367" s="685"/>
      <c r="R367" s="685"/>
      <c r="S367" s="685"/>
      <c r="T367" s="685"/>
      <c r="U367" s="685"/>
      <c r="V367" s="685"/>
      <c r="W367" s="685"/>
      <c r="X367" s="687"/>
      <c r="Y367" s="687"/>
      <c r="Z367" s="685" t="s">
        <v>1367</v>
      </c>
      <c r="AA367" s="688" t="s">
        <v>304</v>
      </c>
    </row>
    <row r="368" spans="1:27" s="258" customFormat="1" x14ac:dyDescent="0.25">
      <c r="A368" s="683" t="s">
        <v>1591</v>
      </c>
      <c r="B368" s="684"/>
      <c r="C368" s="684" t="s">
        <v>1392</v>
      </c>
      <c r="D368" s="684" t="s">
        <v>1391</v>
      </c>
      <c r="E368" s="684" t="s">
        <v>1386</v>
      </c>
      <c r="F368" s="684" t="s">
        <v>53</v>
      </c>
      <c r="G368" s="685" t="s">
        <v>47</v>
      </c>
      <c r="H368" s="684" t="s">
        <v>1366</v>
      </c>
      <c r="I368" s="686">
        <v>2960</v>
      </c>
      <c r="J368" s="686">
        <v>3700</v>
      </c>
      <c r="K368" s="686">
        <v>3700</v>
      </c>
      <c r="L368" s="686">
        <v>4685</v>
      </c>
      <c r="M368" s="685"/>
      <c r="N368" s="685"/>
      <c r="O368" s="685"/>
      <c r="P368" s="685"/>
      <c r="Q368" s="685"/>
      <c r="R368" s="685"/>
      <c r="S368" s="685"/>
      <c r="T368" s="685"/>
      <c r="U368" s="685"/>
      <c r="V368" s="685"/>
      <c r="W368" s="685"/>
      <c r="X368" s="687"/>
      <c r="Y368" s="687"/>
      <c r="Z368" s="685" t="s">
        <v>1367</v>
      </c>
      <c r="AA368" s="688" t="s">
        <v>304</v>
      </c>
    </row>
    <row r="369" spans="1:27" s="258" customFormat="1" x14ac:dyDescent="0.25">
      <c r="A369" s="683" t="s">
        <v>1591</v>
      </c>
      <c r="B369" s="684"/>
      <c r="C369" s="684" t="s">
        <v>1603</v>
      </c>
      <c r="D369" s="684" t="s">
        <v>1390</v>
      </c>
      <c r="E369" s="684"/>
      <c r="F369" s="684" t="s">
        <v>51</v>
      </c>
      <c r="G369" s="685" t="s">
        <v>47</v>
      </c>
      <c r="H369" s="684" t="s">
        <v>1366</v>
      </c>
      <c r="I369" s="686">
        <v>2000</v>
      </c>
      <c r="J369" s="686">
        <v>2500</v>
      </c>
      <c r="K369" s="686">
        <v>2500</v>
      </c>
      <c r="L369" s="686">
        <v>3165</v>
      </c>
      <c r="M369" s="685"/>
      <c r="N369" s="685"/>
      <c r="O369" s="685"/>
      <c r="P369" s="685"/>
      <c r="Q369" s="685"/>
      <c r="R369" s="685"/>
      <c r="S369" s="685"/>
      <c r="T369" s="685"/>
      <c r="U369" s="685"/>
      <c r="V369" s="685"/>
      <c r="W369" s="685"/>
      <c r="X369" s="687"/>
      <c r="Y369" s="687"/>
      <c r="Z369" s="685" t="s">
        <v>1367</v>
      </c>
      <c r="AA369" s="688" t="s">
        <v>389</v>
      </c>
    </row>
    <row r="370" spans="1:27" s="258" customFormat="1" x14ac:dyDescent="0.25">
      <c r="A370" s="683" t="s">
        <v>1591</v>
      </c>
      <c r="B370" s="684"/>
      <c r="C370" s="684" t="s">
        <v>1603</v>
      </c>
      <c r="D370" s="684" t="s">
        <v>1391</v>
      </c>
      <c r="E370" s="684"/>
      <c r="F370" s="684" t="s">
        <v>51</v>
      </c>
      <c r="G370" s="685" t="s">
        <v>47</v>
      </c>
      <c r="H370" s="684" t="s">
        <v>1366</v>
      </c>
      <c r="I370" s="686">
        <v>2000</v>
      </c>
      <c r="J370" s="686">
        <v>2500</v>
      </c>
      <c r="K370" s="686">
        <v>2500</v>
      </c>
      <c r="L370" s="686">
        <v>3165</v>
      </c>
      <c r="M370" s="685"/>
      <c r="N370" s="685"/>
      <c r="O370" s="685"/>
      <c r="P370" s="685"/>
      <c r="Q370" s="685"/>
      <c r="R370" s="685"/>
      <c r="S370" s="685"/>
      <c r="T370" s="685"/>
      <c r="U370" s="685"/>
      <c r="V370" s="685"/>
      <c r="W370" s="685"/>
      <c r="X370" s="687"/>
      <c r="Y370" s="687"/>
      <c r="Z370" s="685" t="s">
        <v>1367</v>
      </c>
      <c r="AA370" s="688" t="s">
        <v>304</v>
      </c>
    </row>
    <row r="371" spans="1:27" s="258" customFormat="1" x14ac:dyDescent="0.25">
      <c r="A371" s="683" t="s">
        <v>1591</v>
      </c>
      <c r="B371" s="684"/>
      <c r="C371" s="684" t="s">
        <v>1603</v>
      </c>
      <c r="D371" s="684" t="s">
        <v>1608</v>
      </c>
      <c r="E371" s="684"/>
      <c r="F371" s="684" t="s">
        <v>51</v>
      </c>
      <c r="G371" s="685" t="s">
        <v>47</v>
      </c>
      <c r="H371" s="684" t="s">
        <v>1366</v>
      </c>
      <c r="I371" s="686">
        <v>2000</v>
      </c>
      <c r="J371" s="686">
        <v>2500</v>
      </c>
      <c r="K371" s="686">
        <v>2500</v>
      </c>
      <c r="L371" s="686">
        <v>3165</v>
      </c>
      <c r="M371" s="685"/>
      <c r="N371" s="685"/>
      <c r="O371" s="685"/>
      <c r="P371" s="685"/>
      <c r="Q371" s="685"/>
      <c r="R371" s="685"/>
      <c r="S371" s="685"/>
      <c r="T371" s="685"/>
      <c r="U371" s="685"/>
      <c r="V371" s="685"/>
      <c r="W371" s="685"/>
      <c r="X371" s="687"/>
      <c r="Y371" s="687"/>
      <c r="Z371" s="685" t="s">
        <v>1367</v>
      </c>
      <c r="AA371" s="688" t="s">
        <v>389</v>
      </c>
    </row>
    <row r="372" spans="1:27" s="258" customFormat="1" x14ac:dyDescent="0.25">
      <c r="A372" s="683" t="s">
        <v>1591</v>
      </c>
      <c r="B372" s="684"/>
      <c r="C372" s="684" t="s">
        <v>1603</v>
      </c>
      <c r="D372" s="684" t="s">
        <v>1609</v>
      </c>
      <c r="E372" s="684"/>
      <c r="F372" s="684" t="s">
        <v>51</v>
      </c>
      <c r="G372" s="685" t="s">
        <v>47</v>
      </c>
      <c r="H372" s="684" t="s">
        <v>1366</v>
      </c>
      <c r="I372" s="686">
        <v>2000</v>
      </c>
      <c r="J372" s="686">
        <v>2500</v>
      </c>
      <c r="K372" s="686">
        <v>2500</v>
      </c>
      <c r="L372" s="686">
        <v>3165</v>
      </c>
      <c r="M372" s="685"/>
      <c r="N372" s="685"/>
      <c r="O372" s="685"/>
      <c r="P372" s="685"/>
      <c r="Q372" s="685"/>
      <c r="R372" s="685"/>
      <c r="S372" s="685"/>
      <c r="T372" s="685"/>
      <c r="U372" s="685"/>
      <c r="V372" s="685"/>
      <c r="W372" s="685"/>
      <c r="X372" s="687"/>
      <c r="Y372" s="687"/>
      <c r="Z372" s="685" t="s">
        <v>1367</v>
      </c>
      <c r="AA372" s="688" t="s">
        <v>304</v>
      </c>
    </row>
    <row r="373" spans="1:27" s="258" customFormat="1" x14ac:dyDescent="0.25">
      <c r="A373" s="683" t="s">
        <v>1591</v>
      </c>
      <c r="B373" s="684"/>
      <c r="C373" s="684" t="s">
        <v>1603</v>
      </c>
      <c r="D373" s="684" t="s">
        <v>1608</v>
      </c>
      <c r="E373" s="684" t="s">
        <v>1387</v>
      </c>
      <c r="F373" s="684" t="s">
        <v>53</v>
      </c>
      <c r="G373" s="685" t="s">
        <v>47</v>
      </c>
      <c r="H373" s="684" t="s">
        <v>1366</v>
      </c>
      <c r="I373" s="686">
        <v>2600</v>
      </c>
      <c r="J373" s="686">
        <v>3250</v>
      </c>
      <c r="K373" s="686">
        <v>3250</v>
      </c>
      <c r="L373" s="686">
        <v>4115</v>
      </c>
      <c r="M373" s="685"/>
      <c r="N373" s="685"/>
      <c r="O373" s="685"/>
      <c r="P373" s="685"/>
      <c r="Q373" s="685"/>
      <c r="R373" s="685"/>
      <c r="S373" s="685"/>
      <c r="T373" s="685"/>
      <c r="U373" s="685"/>
      <c r="V373" s="685"/>
      <c r="W373" s="685"/>
      <c r="X373" s="687"/>
      <c r="Y373" s="687"/>
      <c r="Z373" s="685" t="s">
        <v>1367</v>
      </c>
      <c r="AA373" s="688" t="s">
        <v>304</v>
      </c>
    </row>
    <row r="374" spans="1:27" s="258" customFormat="1" x14ac:dyDescent="0.25">
      <c r="A374" s="683" t="s">
        <v>1591</v>
      </c>
      <c r="B374" s="684"/>
      <c r="C374" s="684" t="s">
        <v>1603</v>
      </c>
      <c r="D374" s="684" t="s">
        <v>1390</v>
      </c>
      <c r="E374" s="684" t="s">
        <v>1610</v>
      </c>
      <c r="F374" s="684" t="s">
        <v>53</v>
      </c>
      <c r="G374" s="685" t="s">
        <v>47</v>
      </c>
      <c r="H374" s="684" t="s">
        <v>1366</v>
      </c>
      <c r="I374" s="686">
        <v>3040</v>
      </c>
      <c r="J374" s="686">
        <v>3800</v>
      </c>
      <c r="K374" s="686">
        <v>3800</v>
      </c>
      <c r="L374" s="686">
        <v>4810</v>
      </c>
      <c r="M374" s="685"/>
      <c r="N374" s="685"/>
      <c r="O374" s="685"/>
      <c r="P374" s="685"/>
      <c r="Q374" s="685"/>
      <c r="R374" s="685"/>
      <c r="S374" s="685"/>
      <c r="T374" s="685"/>
      <c r="U374" s="685"/>
      <c r="V374" s="685"/>
      <c r="W374" s="685"/>
      <c r="X374" s="687"/>
      <c r="Y374" s="687"/>
      <c r="Z374" s="685" t="s">
        <v>1367</v>
      </c>
      <c r="AA374" s="688" t="s">
        <v>304</v>
      </c>
    </row>
    <row r="375" spans="1:27" s="258" customFormat="1" x14ac:dyDescent="0.25">
      <c r="A375" s="683" t="s">
        <v>1591</v>
      </c>
      <c r="B375" s="684"/>
      <c r="C375" s="684" t="s">
        <v>1603</v>
      </c>
      <c r="D375" s="684" t="s">
        <v>1608</v>
      </c>
      <c r="E375" s="684" t="s">
        <v>1389</v>
      </c>
      <c r="F375" s="684" t="s">
        <v>53</v>
      </c>
      <c r="G375" s="685" t="s">
        <v>47</v>
      </c>
      <c r="H375" s="684" t="s">
        <v>1366</v>
      </c>
      <c r="I375" s="686">
        <v>2600</v>
      </c>
      <c r="J375" s="686">
        <v>3250</v>
      </c>
      <c r="K375" s="686">
        <v>3250</v>
      </c>
      <c r="L375" s="686">
        <v>4115</v>
      </c>
      <c r="M375" s="685"/>
      <c r="N375" s="685"/>
      <c r="O375" s="685"/>
      <c r="P375" s="685"/>
      <c r="Q375" s="685"/>
      <c r="R375" s="685"/>
      <c r="S375" s="685"/>
      <c r="T375" s="685"/>
      <c r="U375" s="685"/>
      <c r="V375" s="685"/>
      <c r="W375" s="685"/>
      <c r="X375" s="687"/>
      <c r="Y375" s="687"/>
      <c r="Z375" s="685" t="s">
        <v>1367</v>
      </c>
      <c r="AA375" s="688" t="s">
        <v>304</v>
      </c>
    </row>
    <row r="376" spans="1:27" s="258" customFormat="1" x14ac:dyDescent="0.25">
      <c r="A376" s="683" t="s">
        <v>1591</v>
      </c>
      <c r="B376" s="684"/>
      <c r="C376" s="684" t="s">
        <v>1603</v>
      </c>
      <c r="D376" s="684" t="s">
        <v>1608</v>
      </c>
      <c r="E376" s="684" t="s">
        <v>1611</v>
      </c>
      <c r="F376" s="684" t="s">
        <v>53</v>
      </c>
      <c r="G376" s="685" t="s">
        <v>47</v>
      </c>
      <c r="H376" s="684" t="s">
        <v>1366</v>
      </c>
      <c r="I376" s="686">
        <v>2800</v>
      </c>
      <c r="J376" s="686">
        <v>3500</v>
      </c>
      <c r="K376" s="686">
        <v>3500</v>
      </c>
      <c r="L376" s="686">
        <v>4430</v>
      </c>
      <c r="M376" s="685"/>
      <c r="N376" s="685"/>
      <c r="O376" s="685"/>
      <c r="P376" s="685"/>
      <c r="Q376" s="685"/>
      <c r="R376" s="685"/>
      <c r="S376" s="685"/>
      <c r="T376" s="685"/>
      <c r="U376" s="685"/>
      <c r="V376" s="685"/>
      <c r="W376" s="685"/>
      <c r="X376" s="687"/>
      <c r="Y376" s="687"/>
      <c r="Z376" s="685" t="s">
        <v>1367</v>
      </c>
      <c r="AA376" s="688" t="s">
        <v>304</v>
      </c>
    </row>
    <row r="377" spans="1:27" s="258" customFormat="1" x14ac:dyDescent="0.25">
      <c r="A377" s="683" t="s">
        <v>1591</v>
      </c>
      <c r="B377" s="684"/>
      <c r="C377" s="684" t="s">
        <v>1603</v>
      </c>
      <c r="D377" s="684" t="s">
        <v>1390</v>
      </c>
      <c r="E377" s="684" t="s">
        <v>1369</v>
      </c>
      <c r="F377" s="684" t="s">
        <v>53</v>
      </c>
      <c r="G377" s="685" t="s">
        <v>47</v>
      </c>
      <c r="H377" s="684" t="s">
        <v>1366</v>
      </c>
      <c r="I377" s="686">
        <v>3040</v>
      </c>
      <c r="J377" s="686">
        <v>3800</v>
      </c>
      <c r="K377" s="686">
        <v>3800</v>
      </c>
      <c r="L377" s="686">
        <v>4810</v>
      </c>
      <c r="M377" s="685"/>
      <c r="N377" s="685"/>
      <c r="O377" s="685"/>
      <c r="P377" s="685"/>
      <c r="Q377" s="685"/>
      <c r="R377" s="685"/>
      <c r="S377" s="685"/>
      <c r="T377" s="685"/>
      <c r="U377" s="685"/>
      <c r="V377" s="685"/>
      <c r="W377" s="685"/>
      <c r="X377" s="687"/>
      <c r="Y377" s="687"/>
      <c r="Z377" s="685" t="s">
        <v>1367</v>
      </c>
      <c r="AA377" s="688" t="s">
        <v>304</v>
      </c>
    </row>
    <row r="378" spans="1:27" s="258" customFormat="1" x14ac:dyDescent="0.25">
      <c r="A378" s="683" t="s">
        <v>1591</v>
      </c>
      <c r="B378" s="684"/>
      <c r="C378" s="684" t="s">
        <v>1603</v>
      </c>
      <c r="D378" s="684" t="s">
        <v>1391</v>
      </c>
      <c r="E378" s="684" t="s">
        <v>1369</v>
      </c>
      <c r="F378" s="684" t="s">
        <v>53</v>
      </c>
      <c r="G378" s="685" t="s">
        <v>47</v>
      </c>
      <c r="H378" s="684" t="s">
        <v>1366</v>
      </c>
      <c r="I378" s="686">
        <v>3040</v>
      </c>
      <c r="J378" s="686">
        <v>3800</v>
      </c>
      <c r="K378" s="686">
        <v>3800</v>
      </c>
      <c r="L378" s="686">
        <v>4810</v>
      </c>
      <c r="M378" s="685"/>
      <c r="N378" s="685"/>
      <c r="O378" s="685"/>
      <c r="P378" s="685"/>
      <c r="Q378" s="685"/>
      <c r="R378" s="685"/>
      <c r="S378" s="685"/>
      <c r="T378" s="685"/>
      <c r="U378" s="685"/>
      <c r="V378" s="685"/>
      <c r="W378" s="685"/>
      <c r="X378" s="687"/>
      <c r="Y378" s="687"/>
      <c r="Z378" s="685" t="s">
        <v>1367</v>
      </c>
      <c r="AA378" s="688" t="s">
        <v>304</v>
      </c>
    </row>
    <row r="379" spans="1:27" s="258" customFormat="1" x14ac:dyDescent="0.25">
      <c r="A379" s="683" t="s">
        <v>1591</v>
      </c>
      <c r="B379" s="684"/>
      <c r="C379" s="684" t="s">
        <v>1603</v>
      </c>
      <c r="D379" s="684" t="s">
        <v>1390</v>
      </c>
      <c r="E379" s="684" t="s">
        <v>1370</v>
      </c>
      <c r="F379" s="684" t="s">
        <v>53</v>
      </c>
      <c r="G379" s="685" t="s">
        <v>47</v>
      </c>
      <c r="H379" s="684" t="s">
        <v>1366</v>
      </c>
      <c r="I379" s="686">
        <v>3040</v>
      </c>
      <c r="J379" s="686">
        <v>3800</v>
      </c>
      <c r="K379" s="686">
        <v>3800</v>
      </c>
      <c r="L379" s="686">
        <v>4810</v>
      </c>
      <c r="M379" s="685"/>
      <c r="N379" s="685"/>
      <c r="O379" s="685"/>
      <c r="P379" s="685"/>
      <c r="Q379" s="685"/>
      <c r="R379" s="685"/>
      <c r="S379" s="685"/>
      <c r="T379" s="685"/>
      <c r="U379" s="685"/>
      <c r="V379" s="685"/>
      <c r="W379" s="685"/>
      <c r="X379" s="687"/>
      <c r="Y379" s="687"/>
      <c r="Z379" s="685" t="s">
        <v>1367</v>
      </c>
      <c r="AA379" s="688" t="s">
        <v>304</v>
      </c>
    </row>
    <row r="380" spans="1:27" s="258" customFormat="1" x14ac:dyDescent="0.25">
      <c r="A380" s="683" t="s">
        <v>1591</v>
      </c>
      <c r="B380" s="684"/>
      <c r="C380" s="684" t="s">
        <v>1603</v>
      </c>
      <c r="D380" s="684" t="s">
        <v>1391</v>
      </c>
      <c r="E380" s="684" t="s">
        <v>1370</v>
      </c>
      <c r="F380" s="684" t="s">
        <v>53</v>
      </c>
      <c r="G380" s="685" t="s">
        <v>47</v>
      </c>
      <c r="H380" s="684" t="s">
        <v>1366</v>
      </c>
      <c r="I380" s="686">
        <v>3040</v>
      </c>
      <c r="J380" s="686">
        <v>3800</v>
      </c>
      <c r="K380" s="686">
        <v>3800</v>
      </c>
      <c r="L380" s="686">
        <v>4810</v>
      </c>
      <c r="M380" s="685"/>
      <c r="N380" s="685"/>
      <c r="O380" s="685"/>
      <c r="P380" s="685"/>
      <c r="Q380" s="685"/>
      <c r="R380" s="685"/>
      <c r="S380" s="685"/>
      <c r="T380" s="685"/>
      <c r="U380" s="685"/>
      <c r="V380" s="685"/>
      <c r="W380" s="685"/>
      <c r="X380" s="687"/>
      <c r="Y380" s="687"/>
      <c r="Z380" s="685" t="s">
        <v>1367</v>
      </c>
      <c r="AA380" s="688" t="s">
        <v>304</v>
      </c>
    </row>
    <row r="381" spans="1:27" s="258" customFormat="1" x14ac:dyDescent="0.25">
      <c r="A381" s="683" t="s">
        <v>1591</v>
      </c>
      <c r="B381" s="684"/>
      <c r="C381" s="684" t="s">
        <v>1603</v>
      </c>
      <c r="D381" s="684" t="s">
        <v>1390</v>
      </c>
      <c r="E381" s="684" t="s">
        <v>1371</v>
      </c>
      <c r="F381" s="684" t="s">
        <v>53</v>
      </c>
      <c r="G381" s="685" t="s">
        <v>47</v>
      </c>
      <c r="H381" s="684" t="s">
        <v>1366</v>
      </c>
      <c r="I381" s="686">
        <v>2920</v>
      </c>
      <c r="J381" s="686">
        <v>3650</v>
      </c>
      <c r="K381" s="686">
        <v>3650</v>
      </c>
      <c r="L381" s="686">
        <v>4620</v>
      </c>
      <c r="M381" s="685"/>
      <c r="N381" s="685"/>
      <c r="O381" s="685"/>
      <c r="P381" s="685"/>
      <c r="Q381" s="685"/>
      <c r="R381" s="685"/>
      <c r="S381" s="685"/>
      <c r="T381" s="685"/>
      <c r="U381" s="685"/>
      <c r="V381" s="685"/>
      <c r="W381" s="685"/>
      <c r="X381" s="687"/>
      <c r="Y381" s="687"/>
      <c r="Z381" s="685" t="s">
        <v>1367</v>
      </c>
      <c r="AA381" s="688" t="s">
        <v>304</v>
      </c>
    </row>
    <row r="382" spans="1:27" s="258" customFormat="1" x14ac:dyDescent="0.25">
      <c r="A382" s="683" t="s">
        <v>1591</v>
      </c>
      <c r="B382" s="684"/>
      <c r="C382" s="684" t="s">
        <v>1603</v>
      </c>
      <c r="D382" s="684" t="s">
        <v>1391</v>
      </c>
      <c r="E382" s="684" t="s">
        <v>1371</v>
      </c>
      <c r="F382" s="684" t="s">
        <v>53</v>
      </c>
      <c r="G382" s="685" t="s">
        <v>47</v>
      </c>
      <c r="H382" s="684" t="s">
        <v>1366</v>
      </c>
      <c r="I382" s="686">
        <v>2920</v>
      </c>
      <c r="J382" s="686">
        <v>3650</v>
      </c>
      <c r="K382" s="686">
        <v>3650</v>
      </c>
      <c r="L382" s="686">
        <v>4620</v>
      </c>
      <c r="M382" s="685"/>
      <c r="N382" s="685"/>
      <c r="O382" s="685"/>
      <c r="P382" s="685"/>
      <c r="Q382" s="685"/>
      <c r="R382" s="685"/>
      <c r="S382" s="685"/>
      <c r="T382" s="685"/>
      <c r="U382" s="685"/>
      <c r="V382" s="685"/>
      <c r="W382" s="685"/>
      <c r="X382" s="687"/>
      <c r="Y382" s="687"/>
      <c r="Z382" s="685" t="s">
        <v>1367</v>
      </c>
      <c r="AA382" s="688" t="s">
        <v>304</v>
      </c>
    </row>
    <row r="383" spans="1:27" s="258" customFormat="1" x14ac:dyDescent="0.25">
      <c r="A383" s="683" t="s">
        <v>1591</v>
      </c>
      <c r="B383" s="684"/>
      <c r="C383" s="684" t="s">
        <v>1603</v>
      </c>
      <c r="D383" s="684" t="s">
        <v>1390</v>
      </c>
      <c r="E383" s="684" t="s">
        <v>1372</v>
      </c>
      <c r="F383" s="684" t="s">
        <v>53</v>
      </c>
      <c r="G383" s="685" t="s">
        <v>47</v>
      </c>
      <c r="H383" s="684" t="s">
        <v>1366</v>
      </c>
      <c r="I383" s="686">
        <v>3080</v>
      </c>
      <c r="J383" s="686">
        <v>3850</v>
      </c>
      <c r="K383" s="686">
        <v>3850</v>
      </c>
      <c r="L383" s="686">
        <v>4875</v>
      </c>
      <c r="M383" s="685"/>
      <c r="N383" s="685"/>
      <c r="O383" s="685"/>
      <c r="P383" s="685"/>
      <c r="Q383" s="685"/>
      <c r="R383" s="685"/>
      <c r="S383" s="685"/>
      <c r="T383" s="685"/>
      <c r="U383" s="685"/>
      <c r="V383" s="685"/>
      <c r="W383" s="685"/>
      <c r="X383" s="687"/>
      <c r="Y383" s="687"/>
      <c r="Z383" s="685" t="s">
        <v>1367</v>
      </c>
      <c r="AA383" s="688" t="s">
        <v>304</v>
      </c>
    </row>
    <row r="384" spans="1:27" s="258" customFormat="1" x14ac:dyDescent="0.25">
      <c r="A384" s="683" t="s">
        <v>1591</v>
      </c>
      <c r="B384" s="684"/>
      <c r="C384" s="684" t="s">
        <v>1603</v>
      </c>
      <c r="D384" s="684" t="s">
        <v>1391</v>
      </c>
      <c r="E384" s="684" t="s">
        <v>1372</v>
      </c>
      <c r="F384" s="684" t="s">
        <v>53</v>
      </c>
      <c r="G384" s="685" t="s">
        <v>47</v>
      </c>
      <c r="H384" s="684" t="s">
        <v>1366</v>
      </c>
      <c r="I384" s="686">
        <v>3080</v>
      </c>
      <c r="J384" s="686">
        <v>3850</v>
      </c>
      <c r="K384" s="686">
        <v>3850</v>
      </c>
      <c r="L384" s="686">
        <v>4875</v>
      </c>
      <c r="M384" s="685"/>
      <c r="N384" s="685"/>
      <c r="O384" s="685"/>
      <c r="P384" s="685"/>
      <c r="Q384" s="685"/>
      <c r="R384" s="685"/>
      <c r="S384" s="685"/>
      <c r="T384" s="685"/>
      <c r="U384" s="685"/>
      <c r="V384" s="685"/>
      <c r="W384" s="685"/>
      <c r="X384" s="687"/>
      <c r="Y384" s="687"/>
      <c r="Z384" s="685" t="s">
        <v>1367</v>
      </c>
      <c r="AA384" s="688" t="s">
        <v>304</v>
      </c>
    </row>
    <row r="385" spans="1:27" s="258" customFormat="1" x14ac:dyDescent="0.25">
      <c r="A385" s="683" t="s">
        <v>1591</v>
      </c>
      <c r="B385" s="684"/>
      <c r="C385" s="684" t="s">
        <v>1603</v>
      </c>
      <c r="D385" s="684" t="s">
        <v>1391</v>
      </c>
      <c r="E385" s="684" t="s">
        <v>1375</v>
      </c>
      <c r="F385" s="684" t="s">
        <v>53</v>
      </c>
      <c r="G385" s="685" t="s">
        <v>47</v>
      </c>
      <c r="H385" s="684" t="s">
        <v>1366</v>
      </c>
      <c r="I385" s="686">
        <v>3000</v>
      </c>
      <c r="J385" s="686">
        <v>3750</v>
      </c>
      <c r="K385" s="686">
        <v>3750</v>
      </c>
      <c r="L385" s="686">
        <v>4750</v>
      </c>
      <c r="M385" s="685"/>
      <c r="N385" s="685"/>
      <c r="O385" s="685"/>
      <c r="P385" s="685"/>
      <c r="Q385" s="685"/>
      <c r="R385" s="685"/>
      <c r="S385" s="685"/>
      <c r="T385" s="685"/>
      <c r="U385" s="685"/>
      <c r="V385" s="685"/>
      <c r="W385" s="685"/>
      <c r="X385" s="687"/>
      <c r="Y385" s="687"/>
      <c r="Z385" s="685" t="s">
        <v>1367</v>
      </c>
      <c r="AA385" s="688" t="s">
        <v>304</v>
      </c>
    </row>
    <row r="386" spans="1:27" s="258" customFormat="1" x14ac:dyDescent="0.25">
      <c r="A386" s="683" t="s">
        <v>1591</v>
      </c>
      <c r="B386" s="684"/>
      <c r="C386" s="684" t="s">
        <v>1603</v>
      </c>
      <c r="D386" s="684" t="s">
        <v>1609</v>
      </c>
      <c r="E386" s="684" t="s">
        <v>1612</v>
      </c>
      <c r="F386" s="684" t="s">
        <v>53</v>
      </c>
      <c r="G386" s="685" t="s">
        <v>47</v>
      </c>
      <c r="H386" s="684" t="s">
        <v>1366</v>
      </c>
      <c r="I386" s="686">
        <v>2640</v>
      </c>
      <c r="J386" s="686">
        <v>3300</v>
      </c>
      <c r="K386" s="686">
        <v>3300</v>
      </c>
      <c r="L386" s="686">
        <v>4180</v>
      </c>
      <c r="M386" s="685"/>
      <c r="N386" s="685"/>
      <c r="O386" s="685"/>
      <c r="P386" s="685"/>
      <c r="Q386" s="685"/>
      <c r="R386" s="685"/>
      <c r="S386" s="685"/>
      <c r="T386" s="685"/>
      <c r="U386" s="685"/>
      <c r="V386" s="685"/>
      <c r="W386" s="685"/>
      <c r="X386" s="687"/>
      <c r="Y386" s="687"/>
      <c r="Z386" s="685" t="s">
        <v>1367</v>
      </c>
      <c r="AA386" s="688" t="s">
        <v>304</v>
      </c>
    </row>
    <row r="387" spans="1:27" s="258" customFormat="1" x14ac:dyDescent="0.25">
      <c r="A387" s="683" t="s">
        <v>1591</v>
      </c>
      <c r="B387" s="684"/>
      <c r="C387" s="684" t="s">
        <v>1603</v>
      </c>
      <c r="D387" s="684" t="s">
        <v>1609</v>
      </c>
      <c r="E387" s="684" t="s">
        <v>1613</v>
      </c>
      <c r="F387" s="684" t="s">
        <v>53</v>
      </c>
      <c r="G387" s="685" t="s">
        <v>47</v>
      </c>
      <c r="H387" s="684" t="s">
        <v>1366</v>
      </c>
      <c r="I387" s="686">
        <v>2920</v>
      </c>
      <c r="J387" s="686">
        <v>3650</v>
      </c>
      <c r="K387" s="686">
        <v>3650</v>
      </c>
      <c r="L387" s="686">
        <v>4620</v>
      </c>
      <c r="M387" s="685"/>
      <c r="N387" s="685"/>
      <c r="O387" s="685"/>
      <c r="P387" s="685"/>
      <c r="Q387" s="685"/>
      <c r="R387" s="685"/>
      <c r="S387" s="685"/>
      <c r="T387" s="685"/>
      <c r="U387" s="685"/>
      <c r="V387" s="685"/>
      <c r="W387" s="685"/>
      <c r="X387" s="687"/>
      <c r="Y387" s="687"/>
      <c r="Z387" s="685" t="s">
        <v>1367</v>
      </c>
      <c r="AA387" s="688" t="s">
        <v>304</v>
      </c>
    </row>
    <row r="388" spans="1:27" s="258" customFormat="1" x14ac:dyDescent="0.25">
      <c r="A388" s="683" t="s">
        <v>1591</v>
      </c>
      <c r="B388" s="684"/>
      <c r="C388" s="684" t="s">
        <v>1603</v>
      </c>
      <c r="D388" s="684" t="s">
        <v>1608</v>
      </c>
      <c r="E388" s="684" t="s">
        <v>1656</v>
      </c>
      <c r="F388" s="684" t="s">
        <v>53</v>
      </c>
      <c r="G388" s="685" t="s">
        <v>47</v>
      </c>
      <c r="H388" s="684" t="s">
        <v>1366</v>
      </c>
      <c r="I388" s="686">
        <v>2800</v>
      </c>
      <c r="J388" s="686">
        <v>3500</v>
      </c>
      <c r="K388" s="686">
        <v>3500</v>
      </c>
      <c r="L388" s="686">
        <v>4430</v>
      </c>
      <c r="M388" s="685"/>
      <c r="N388" s="685"/>
      <c r="O388" s="685"/>
      <c r="P388" s="685"/>
      <c r="Q388" s="685"/>
      <c r="R388" s="685"/>
      <c r="S388" s="685"/>
      <c r="T388" s="685"/>
      <c r="U388" s="685"/>
      <c r="V388" s="685"/>
      <c r="W388" s="685"/>
      <c r="X388" s="687"/>
      <c r="Y388" s="687"/>
      <c r="Z388" s="685" t="s">
        <v>1367</v>
      </c>
      <c r="AA388" s="688" t="s">
        <v>304</v>
      </c>
    </row>
    <row r="389" spans="1:27" s="258" customFormat="1" x14ac:dyDescent="0.25">
      <c r="A389" s="683" t="s">
        <v>1591</v>
      </c>
      <c r="B389" s="684"/>
      <c r="C389" s="684" t="s">
        <v>1603</v>
      </c>
      <c r="D389" s="684" t="s">
        <v>1391</v>
      </c>
      <c r="E389" s="684" t="s">
        <v>1379</v>
      </c>
      <c r="F389" s="684" t="s">
        <v>53</v>
      </c>
      <c r="G389" s="685" t="s">
        <v>47</v>
      </c>
      <c r="H389" s="684" t="s">
        <v>1366</v>
      </c>
      <c r="I389" s="686">
        <v>3040</v>
      </c>
      <c r="J389" s="686">
        <v>3800</v>
      </c>
      <c r="K389" s="686">
        <v>3800</v>
      </c>
      <c r="L389" s="686">
        <v>4810</v>
      </c>
      <c r="M389" s="685"/>
      <c r="N389" s="685"/>
      <c r="O389" s="685"/>
      <c r="P389" s="685"/>
      <c r="Q389" s="685"/>
      <c r="R389" s="685"/>
      <c r="S389" s="685"/>
      <c r="T389" s="685"/>
      <c r="U389" s="685"/>
      <c r="V389" s="685"/>
      <c r="W389" s="685"/>
      <c r="X389" s="687"/>
      <c r="Y389" s="687"/>
      <c r="Z389" s="685" t="s">
        <v>1367</v>
      </c>
      <c r="AA389" s="688" t="s">
        <v>304</v>
      </c>
    </row>
    <row r="390" spans="1:27" s="258" customFormat="1" x14ac:dyDescent="0.25">
      <c r="A390" s="683" t="s">
        <v>1591</v>
      </c>
      <c r="B390" s="684"/>
      <c r="C390" s="684" t="s">
        <v>1603</v>
      </c>
      <c r="D390" s="684" t="s">
        <v>1391</v>
      </c>
      <c r="E390" s="684" t="s">
        <v>1380</v>
      </c>
      <c r="F390" s="684" t="s">
        <v>53</v>
      </c>
      <c r="G390" s="685" t="s">
        <v>47</v>
      </c>
      <c r="H390" s="684" t="s">
        <v>1366</v>
      </c>
      <c r="I390" s="686">
        <v>3040</v>
      </c>
      <c r="J390" s="686">
        <v>3800</v>
      </c>
      <c r="K390" s="686">
        <v>3800</v>
      </c>
      <c r="L390" s="686">
        <v>4810</v>
      </c>
      <c r="M390" s="685"/>
      <c r="N390" s="685"/>
      <c r="O390" s="685"/>
      <c r="P390" s="685"/>
      <c r="Q390" s="685"/>
      <c r="R390" s="685"/>
      <c r="S390" s="685"/>
      <c r="T390" s="685"/>
      <c r="U390" s="685"/>
      <c r="V390" s="685"/>
      <c r="W390" s="685"/>
      <c r="X390" s="687"/>
      <c r="Y390" s="687"/>
      <c r="Z390" s="685" t="s">
        <v>1367</v>
      </c>
      <c r="AA390" s="688" t="s">
        <v>304</v>
      </c>
    </row>
    <row r="391" spans="1:27" s="258" customFormat="1" x14ac:dyDescent="0.25">
      <c r="A391" s="683" t="s">
        <v>1591</v>
      </c>
      <c r="B391" s="684"/>
      <c r="C391" s="684" t="s">
        <v>1603</v>
      </c>
      <c r="D391" s="684" t="s">
        <v>1608</v>
      </c>
      <c r="E391" s="684" t="s">
        <v>1382</v>
      </c>
      <c r="F391" s="684" t="s">
        <v>53</v>
      </c>
      <c r="G391" s="685" t="s">
        <v>47</v>
      </c>
      <c r="H391" s="684" t="s">
        <v>1366</v>
      </c>
      <c r="I391" s="686">
        <v>2840</v>
      </c>
      <c r="J391" s="686">
        <v>3550</v>
      </c>
      <c r="K391" s="686">
        <v>3550</v>
      </c>
      <c r="L391" s="686">
        <v>4495</v>
      </c>
      <c r="M391" s="685"/>
      <c r="N391" s="685"/>
      <c r="O391" s="685"/>
      <c r="P391" s="685"/>
      <c r="Q391" s="685"/>
      <c r="R391" s="685"/>
      <c r="S391" s="685"/>
      <c r="T391" s="685"/>
      <c r="U391" s="685"/>
      <c r="V391" s="685"/>
      <c r="W391" s="685"/>
      <c r="X391" s="687"/>
      <c r="Y391" s="687"/>
      <c r="Z391" s="685" t="s">
        <v>1367</v>
      </c>
      <c r="AA391" s="688" t="s">
        <v>304</v>
      </c>
    </row>
    <row r="392" spans="1:27" s="258" customFormat="1" x14ac:dyDescent="0.25">
      <c r="A392" s="683" t="s">
        <v>1591</v>
      </c>
      <c r="B392" s="684"/>
      <c r="C392" s="684" t="s">
        <v>1603</v>
      </c>
      <c r="D392" s="684" t="s">
        <v>1608</v>
      </c>
      <c r="E392" s="684" t="s">
        <v>1381</v>
      </c>
      <c r="F392" s="684" t="s">
        <v>53</v>
      </c>
      <c r="G392" s="685" t="s">
        <v>47</v>
      </c>
      <c r="H392" s="684" t="s">
        <v>1366</v>
      </c>
      <c r="I392" s="686">
        <v>2960</v>
      </c>
      <c r="J392" s="686">
        <v>3700</v>
      </c>
      <c r="K392" s="686">
        <v>3700</v>
      </c>
      <c r="L392" s="686">
        <v>4685</v>
      </c>
      <c r="M392" s="685"/>
      <c r="N392" s="685"/>
      <c r="O392" s="685"/>
      <c r="P392" s="685"/>
      <c r="Q392" s="685"/>
      <c r="R392" s="685"/>
      <c r="S392" s="685"/>
      <c r="T392" s="685"/>
      <c r="U392" s="685"/>
      <c r="V392" s="685"/>
      <c r="W392" s="685"/>
      <c r="X392" s="687"/>
      <c r="Y392" s="687"/>
      <c r="Z392" s="685" t="s">
        <v>1367</v>
      </c>
      <c r="AA392" s="688" t="s">
        <v>304</v>
      </c>
    </row>
    <row r="393" spans="1:27" s="258" customFormat="1" x14ac:dyDescent="0.25">
      <c r="A393" s="683" t="s">
        <v>1591</v>
      </c>
      <c r="B393" s="684"/>
      <c r="C393" s="684" t="s">
        <v>1603</v>
      </c>
      <c r="D393" s="684" t="s">
        <v>1391</v>
      </c>
      <c r="E393" s="684" t="s">
        <v>1614</v>
      </c>
      <c r="F393" s="684" t="s">
        <v>357</v>
      </c>
      <c r="G393" s="685" t="s">
        <v>47</v>
      </c>
      <c r="H393" s="684" t="s">
        <v>1366</v>
      </c>
      <c r="I393" s="686">
        <v>2960</v>
      </c>
      <c r="J393" s="686">
        <v>3700</v>
      </c>
      <c r="K393" s="686">
        <v>3700</v>
      </c>
      <c r="L393" s="686">
        <v>4685</v>
      </c>
      <c r="M393" s="685"/>
      <c r="N393" s="685"/>
      <c r="O393" s="685"/>
      <c r="P393" s="685"/>
      <c r="Q393" s="685"/>
      <c r="R393" s="685"/>
      <c r="S393" s="685"/>
      <c r="T393" s="685"/>
      <c r="U393" s="685"/>
      <c r="V393" s="685"/>
      <c r="W393" s="685"/>
      <c r="X393" s="687"/>
      <c r="Y393" s="687"/>
      <c r="Z393" s="685" t="s">
        <v>1367</v>
      </c>
      <c r="AA393" s="688" t="s">
        <v>304</v>
      </c>
    </row>
    <row r="394" spans="1:27" s="258" customFormat="1" x14ac:dyDescent="0.25">
      <c r="A394" s="683" t="s">
        <v>1591</v>
      </c>
      <c r="B394" s="684"/>
      <c r="C394" s="684" t="s">
        <v>1603</v>
      </c>
      <c r="D394" s="684" t="s">
        <v>1391</v>
      </c>
      <c r="E394" s="684" t="s">
        <v>1386</v>
      </c>
      <c r="F394" s="684" t="s">
        <v>53</v>
      </c>
      <c r="G394" s="685" t="s">
        <v>47</v>
      </c>
      <c r="H394" s="684" t="s">
        <v>1366</v>
      </c>
      <c r="I394" s="686">
        <v>2960</v>
      </c>
      <c r="J394" s="686">
        <v>3700</v>
      </c>
      <c r="K394" s="686">
        <v>3700</v>
      </c>
      <c r="L394" s="686">
        <v>4685</v>
      </c>
      <c r="M394" s="685"/>
      <c r="N394" s="685"/>
      <c r="O394" s="685"/>
      <c r="P394" s="685"/>
      <c r="Q394" s="685"/>
      <c r="R394" s="685"/>
      <c r="S394" s="685"/>
      <c r="T394" s="685"/>
      <c r="U394" s="685"/>
      <c r="V394" s="685"/>
      <c r="W394" s="685"/>
      <c r="X394" s="687"/>
      <c r="Y394" s="687"/>
      <c r="Z394" s="685" t="s">
        <v>1367</v>
      </c>
      <c r="AA394" s="688" t="s">
        <v>304</v>
      </c>
    </row>
    <row r="395" spans="1:27" s="258" customFormat="1" x14ac:dyDescent="0.25">
      <c r="A395" s="683" t="s">
        <v>1591</v>
      </c>
      <c r="B395" s="684"/>
      <c r="C395" s="684" t="s">
        <v>1603</v>
      </c>
      <c r="D395" s="684" t="s">
        <v>1615</v>
      </c>
      <c r="E395" s="684" t="s">
        <v>1369</v>
      </c>
      <c r="F395" s="684" t="s">
        <v>53</v>
      </c>
      <c r="G395" s="685" t="s">
        <v>47</v>
      </c>
      <c r="H395" s="684" t="s">
        <v>1366</v>
      </c>
      <c r="I395" s="686">
        <v>3120</v>
      </c>
      <c r="J395" s="686">
        <v>3900</v>
      </c>
      <c r="K395" s="686">
        <v>3900</v>
      </c>
      <c r="L395" s="686">
        <v>4935</v>
      </c>
      <c r="M395" s="685"/>
      <c r="N395" s="685"/>
      <c r="O395" s="685"/>
      <c r="P395" s="685"/>
      <c r="Q395" s="685"/>
      <c r="R395" s="685"/>
      <c r="S395" s="685"/>
      <c r="T395" s="685"/>
      <c r="U395" s="685"/>
      <c r="V395" s="685"/>
      <c r="W395" s="685"/>
      <c r="X395" s="687"/>
      <c r="Y395" s="687"/>
      <c r="Z395" s="685" t="s">
        <v>1367</v>
      </c>
      <c r="AA395" s="688" t="s">
        <v>304</v>
      </c>
    </row>
    <row r="396" spans="1:27" s="258" customFormat="1" x14ac:dyDescent="0.25">
      <c r="A396" s="683" t="s">
        <v>1591</v>
      </c>
      <c r="B396" s="684"/>
      <c r="C396" s="684" t="s">
        <v>1603</v>
      </c>
      <c r="D396" s="684" t="s">
        <v>1615</v>
      </c>
      <c r="E396" s="684" t="s">
        <v>1375</v>
      </c>
      <c r="F396" s="684" t="s">
        <v>53</v>
      </c>
      <c r="G396" s="685" t="s">
        <v>47</v>
      </c>
      <c r="H396" s="684" t="s">
        <v>1366</v>
      </c>
      <c r="I396" s="686">
        <v>3120</v>
      </c>
      <c r="J396" s="686">
        <v>3900</v>
      </c>
      <c r="K396" s="686">
        <v>3900</v>
      </c>
      <c r="L396" s="686">
        <v>4935</v>
      </c>
      <c r="M396" s="685"/>
      <c r="N396" s="685"/>
      <c r="O396" s="685"/>
      <c r="P396" s="685"/>
      <c r="Q396" s="685"/>
      <c r="R396" s="685"/>
      <c r="S396" s="685"/>
      <c r="T396" s="685"/>
      <c r="U396" s="685"/>
      <c r="V396" s="685"/>
      <c r="W396" s="685"/>
      <c r="X396" s="687"/>
      <c r="Y396" s="687"/>
      <c r="Z396" s="685" t="s">
        <v>1367</v>
      </c>
      <c r="AA396" s="688" t="s">
        <v>304</v>
      </c>
    </row>
    <row r="397" spans="1:27" s="258" customFormat="1" x14ac:dyDescent="0.25">
      <c r="A397" s="683" t="s">
        <v>1591</v>
      </c>
      <c r="B397" s="684"/>
      <c r="C397" s="684" t="s">
        <v>1400</v>
      </c>
      <c r="D397" s="684" t="s">
        <v>1390</v>
      </c>
      <c r="E397" s="684"/>
      <c r="F397" s="684" t="s">
        <v>51</v>
      </c>
      <c r="G397" s="685" t="s">
        <v>47</v>
      </c>
      <c r="H397" s="684" t="s">
        <v>1366</v>
      </c>
      <c r="I397" s="686">
        <v>2000</v>
      </c>
      <c r="J397" s="686">
        <v>2500</v>
      </c>
      <c r="K397" s="686">
        <v>2500</v>
      </c>
      <c r="L397" s="686">
        <v>3165</v>
      </c>
      <c r="M397" s="685"/>
      <c r="N397" s="685"/>
      <c r="O397" s="685"/>
      <c r="P397" s="685"/>
      <c r="Q397" s="685"/>
      <c r="R397" s="685"/>
      <c r="S397" s="685"/>
      <c r="T397" s="685"/>
      <c r="U397" s="685"/>
      <c r="V397" s="685"/>
      <c r="W397" s="685"/>
      <c r="X397" s="687"/>
      <c r="Y397" s="687"/>
      <c r="Z397" s="685" t="s">
        <v>1367</v>
      </c>
      <c r="AA397" s="688" t="s">
        <v>389</v>
      </c>
    </row>
    <row r="398" spans="1:27" s="258" customFormat="1" x14ac:dyDescent="0.25">
      <c r="A398" s="683" t="s">
        <v>1591</v>
      </c>
      <c r="B398" s="684"/>
      <c r="C398" s="684" t="s">
        <v>1400</v>
      </c>
      <c r="D398" s="684" t="s">
        <v>1391</v>
      </c>
      <c r="E398" s="684"/>
      <c r="F398" s="684" t="s">
        <v>51</v>
      </c>
      <c r="G398" s="685" t="s">
        <v>47</v>
      </c>
      <c r="H398" s="684" t="s">
        <v>1366</v>
      </c>
      <c r="I398" s="686">
        <v>2000</v>
      </c>
      <c r="J398" s="686">
        <v>2500</v>
      </c>
      <c r="K398" s="686">
        <v>2500</v>
      </c>
      <c r="L398" s="686">
        <v>3165</v>
      </c>
      <c r="M398" s="685"/>
      <c r="N398" s="685"/>
      <c r="O398" s="685"/>
      <c r="P398" s="685"/>
      <c r="Q398" s="685"/>
      <c r="R398" s="685"/>
      <c r="S398" s="685"/>
      <c r="T398" s="685"/>
      <c r="U398" s="685"/>
      <c r="V398" s="685"/>
      <c r="W398" s="685"/>
      <c r="X398" s="687"/>
      <c r="Y398" s="687"/>
      <c r="Z398" s="685" t="s">
        <v>1367</v>
      </c>
      <c r="AA398" s="688" t="s">
        <v>304</v>
      </c>
    </row>
    <row r="399" spans="1:27" s="258" customFormat="1" x14ac:dyDescent="0.25">
      <c r="A399" s="683" t="s">
        <v>1591</v>
      </c>
      <c r="B399" s="684"/>
      <c r="C399" s="684" t="s">
        <v>1400</v>
      </c>
      <c r="D399" s="684" t="s">
        <v>1608</v>
      </c>
      <c r="E399" s="684"/>
      <c r="F399" s="684" t="s">
        <v>51</v>
      </c>
      <c r="G399" s="685" t="s">
        <v>47</v>
      </c>
      <c r="H399" s="684" t="s">
        <v>1366</v>
      </c>
      <c r="I399" s="686">
        <v>2000</v>
      </c>
      <c r="J399" s="686">
        <v>2500</v>
      </c>
      <c r="K399" s="686">
        <v>2500</v>
      </c>
      <c r="L399" s="686">
        <v>3165</v>
      </c>
      <c r="M399" s="685"/>
      <c r="N399" s="685"/>
      <c r="O399" s="685"/>
      <c r="P399" s="685"/>
      <c r="Q399" s="685"/>
      <c r="R399" s="685"/>
      <c r="S399" s="685"/>
      <c r="T399" s="685"/>
      <c r="U399" s="685"/>
      <c r="V399" s="685"/>
      <c r="W399" s="685"/>
      <c r="X399" s="687"/>
      <c r="Y399" s="687"/>
      <c r="Z399" s="685" t="s">
        <v>1367</v>
      </c>
      <c r="AA399" s="688" t="s">
        <v>389</v>
      </c>
    </row>
    <row r="400" spans="1:27" s="258" customFormat="1" x14ac:dyDescent="0.25">
      <c r="A400" s="683" t="s">
        <v>1591</v>
      </c>
      <c r="B400" s="684"/>
      <c r="C400" s="684" t="s">
        <v>1400</v>
      </c>
      <c r="D400" s="684" t="s">
        <v>1609</v>
      </c>
      <c r="E400" s="684"/>
      <c r="F400" s="684" t="s">
        <v>51</v>
      </c>
      <c r="G400" s="685" t="s">
        <v>47</v>
      </c>
      <c r="H400" s="684" t="s">
        <v>1366</v>
      </c>
      <c r="I400" s="686">
        <v>2000</v>
      </c>
      <c r="J400" s="686">
        <v>2500</v>
      </c>
      <c r="K400" s="686">
        <v>2500</v>
      </c>
      <c r="L400" s="686">
        <v>3165</v>
      </c>
      <c r="M400" s="685"/>
      <c r="N400" s="685"/>
      <c r="O400" s="685"/>
      <c r="P400" s="685"/>
      <c r="Q400" s="685"/>
      <c r="R400" s="685"/>
      <c r="S400" s="685"/>
      <c r="T400" s="685"/>
      <c r="U400" s="685"/>
      <c r="V400" s="685"/>
      <c r="W400" s="685"/>
      <c r="X400" s="687"/>
      <c r="Y400" s="687"/>
      <c r="Z400" s="685" t="s">
        <v>1367</v>
      </c>
      <c r="AA400" s="688" t="s">
        <v>304</v>
      </c>
    </row>
    <row r="401" spans="1:27" s="258" customFormat="1" x14ac:dyDescent="0.25">
      <c r="A401" s="683" t="s">
        <v>1591</v>
      </c>
      <c r="B401" s="684"/>
      <c r="C401" s="684" t="s">
        <v>1400</v>
      </c>
      <c r="D401" s="684" t="s">
        <v>1608</v>
      </c>
      <c r="E401" s="684" t="s">
        <v>1387</v>
      </c>
      <c r="F401" s="684" t="s">
        <v>53</v>
      </c>
      <c r="G401" s="685" t="s">
        <v>47</v>
      </c>
      <c r="H401" s="684" t="s">
        <v>1366</v>
      </c>
      <c r="I401" s="686">
        <v>2600</v>
      </c>
      <c r="J401" s="686">
        <v>3250</v>
      </c>
      <c r="K401" s="686">
        <v>3250</v>
      </c>
      <c r="L401" s="686">
        <v>4115</v>
      </c>
      <c r="M401" s="685"/>
      <c r="N401" s="685"/>
      <c r="O401" s="685"/>
      <c r="P401" s="685"/>
      <c r="Q401" s="685"/>
      <c r="R401" s="685"/>
      <c r="S401" s="685"/>
      <c r="T401" s="685"/>
      <c r="U401" s="685"/>
      <c r="V401" s="685"/>
      <c r="W401" s="685"/>
      <c r="X401" s="687"/>
      <c r="Y401" s="687"/>
      <c r="Z401" s="685" t="s">
        <v>1367</v>
      </c>
      <c r="AA401" s="688" t="s">
        <v>304</v>
      </c>
    </row>
    <row r="402" spans="1:27" s="258" customFormat="1" x14ac:dyDescent="0.25">
      <c r="A402" s="683" t="s">
        <v>1591</v>
      </c>
      <c r="B402" s="684"/>
      <c r="C402" s="684" t="s">
        <v>1400</v>
      </c>
      <c r="D402" s="684" t="s">
        <v>1390</v>
      </c>
      <c r="E402" s="684" t="s">
        <v>1610</v>
      </c>
      <c r="F402" s="684" t="s">
        <v>53</v>
      </c>
      <c r="G402" s="685" t="s">
        <v>47</v>
      </c>
      <c r="H402" s="684" t="s">
        <v>1366</v>
      </c>
      <c r="I402" s="686">
        <v>3040</v>
      </c>
      <c r="J402" s="686">
        <v>3800</v>
      </c>
      <c r="K402" s="686">
        <v>3800</v>
      </c>
      <c r="L402" s="686">
        <v>4810</v>
      </c>
      <c r="M402" s="685"/>
      <c r="N402" s="685"/>
      <c r="O402" s="685"/>
      <c r="P402" s="685"/>
      <c r="Q402" s="685"/>
      <c r="R402" s="685"/>
      <c r="S402" s="685"/>
      <c r="T402" s="685"/>
      <c r="U402" s="685"/>
      <c r="V402" s="685"/>
      <c r="W402" s="685"/>
      <c r="X402" s="687"/>
      <c r="Y402" s="687"/>
      <c r="Z402" s="685" t="s">
        <v>1367</v>
      </c>
      <c r="AA402" s="688" t="s">
        <v>304</v>
      </c>
    </row>
    <row r="403" spans="1:27" s="258" customFormat="1" x14ac:dyDescent="0.25">
      <c r="A403" s="683" t="s">
        <v>1591</v>
      </c>
      <c r="B403" s="684"/>
      <c r="C403" s="684" t="s">
        <v>1400</v>
      </c>
      <c r="D403" s="684" t="s">
        <v>1608</v>
      </c>
      <c r="E403" s="684" t="s">
        <v>1389</v>
      </c>
      <c r="F403" s="684" t="s">
        <v>53</v>
      </c>
      <c r="G403" s="685" t="s">
        <v>47</v>
      </c>
      <c r="H403" s="684" t="s">
        <v>1366</v>
      </c>
      <c r="I403" s="686">
        <v>2600</v>
      </c>
      <c r="J403" s="686">
        <v>3250</v>
      </c>
      <c r="K403" s="686">
        <v>3250</v>
      </c>
      <c r="L403" s="686">
        <v>4115</v>
      </c>
      <c r="M403" s="685"/>
      <c r="N403" s="685"/>
      <c r="O403" s="685"/>
      <c r="P403" s="685"/>
      <c r="Q403" s="685"/>
      <c r="R403" s="685"/>
      <c r="S403" s="685"/>
      <c r="T403" s="685"/>
      <c r="U403" s="685"/>
      <c r="V403" s="685"/>
      <c r="W403" s="685"/>
      <c r="X403" s="687"/>
      <c r="Y403" s="687"/>
      <c r="Z403" s="685" t="s">
        <v>1367</v>
      </c>
      <c r="AA403" s="688" t="s">
        <v>304</v>
      </c>
    </row>
    <row r="404" spans="1:27" s="258" customFormat="1" x14ac:dyDescent="0.25">
      <c r="A404" s="683" t="s">
        <v>1591</v>
      </c>
      <c r="B404" s="684"/>
      <c r="C404" s="684" t="s">
        <v>1400</v>
      </c>
      <c r="D404" s="684" t="s">
        <v>1608</v>
      </c>
      <c r="E404" s="684" t="s">
        <v>1611</v>
      </c>
      <c r="F404" s="684" t="s">
        <v>53</v>
      </c>
      <c r="G404" s="685" t="s">
        <v>47</v>
      </c>
      <c r="H404" s="684" t="s">
        <v>1366</v>
      </c>
      <c r="I404" s="686">
        <v>2800</v>
      </c>
      <c r="J404" s="686">
        <v>3500</v>
      </c>
      <c r="K404" s="686">
        <v>3500</v>
      </c>
      <c r="L404" s="686">
        <v>4430</v>
      </c>
      <c r="M404" s="685"/>
      <c r="N404" s="685"/>
      <c r="O404" s="685"/>
      <c r="P404" s="685"/>
      <c r="Q404" s="685"/>
      <c r="R404" s="685"/>
      <c r="S404" s="685"/>
      <c r="T404" s="685"/>
      <c r="U404" s="685"/>
      <c r="V404" s="685"/>
      <c r="W404" s="685"/>
      <c r="X404" s="687"/>
      <c r="Y404" s="687"/>
      <c r="Z404" s="685" t="s">
        <v>1367</v>
      </c>
      <c r="AA404" s="688" t="s">
        <v>304</v>
      </c>
    </row>
    <row r="405" spans="1:27" s="258" customFormat="1" x14ac:dyDescent="0.25">
      <c r="A405" s="683" t="s">
        <v>1591</v>
      </c>
      <c r="B405" s="684"/>
      <c r="C405" s="684" t="s">
        <v>1400</v>
      </c>
      <c r="D405" s="684" t="s">
        <v>1390</v>
      </c>
      <c r="E405" s="684" t="s">
        <v>1369</v>
      </c>
      <c r="F405" s="684" t="s">
        <v>53</v>
      </c>
      <c r="G405" s="685" t="s">
        <v>47</v>
      </c>
      <c r="H405" s="684" t="s">
        <v>1366</v>
      </c>
      <c r="I405" s="686">
        <v>3040</v>
      </c>
      <c r="J405" s="686">
        <v>3800</v>
      </c>
      <c r="K405" s="686">
        <v>3800</v>
      </c>
      <c r="L405" s="686">
        <v>4810</v>
      </c>
      <c r="M405" s="685"/>
      <c r="N405" s="685"/>
      <c r="O405" s="685"/>
      <c r="P405" s="685"/>
      <c r="Q405" s="685"/>
      <c r="R405" s="685"/>
      <c r="S405" s="685"/>
      <c r="T405" s="685"/>
      <c r="U405" s="685"/>
      <c r="V405" s="685"/>
      <c r="W405" s="685"/>
      <c r="X405" s="687"/>
      <c r="Y405" s="687"/>
      <c r="Z405" s="685" t="s">
        <v>1367</v>
      </c>
      <c r="AA405" s="688" t="s">
        <v>304</v>
      </c>
    </row>
    <row r="406" spans="1:27" s="258" customFormat="1" x14ac:dyDescent="0.25">
      <c r="A406" s="683" t="s">
        <v>1591</v>
      </c>
      <c r="B406" s="684"/>
      <c r="C406" s="684" t="s">
        <v>1400</v>
      </c>
      <c r="D406" s="684" t="s">
        <v>1391</v>
      </c>
      <c r="E406" s="684" t="s">
        <v>1369</v>
      </c>
      <c r="F406" s="684" t="s">
        <v>53</v>
      </c>
      <c r="G406" s="685" t="s">
        <v>47</v>
      </c>
      <c r="H406" s="684" t="s">
        <v>1366</v>
      </c>
      <c r="I406" s="686">
        <v>3040</v>
      </c>
      <c r="J406" s="686">
        <v>3800</v>
      </c>
      <c r="K406" s="686">
        <v>3800</v>
      </c>
      <c r="L406" s="686">
        <v>4810</v>
      </c>
      <c r="M406" s="685"/>
      <c r="N406" s="685"/>
      <c r="O406" s="685"/>
      <c r="P406" s="685"/>
      <c r="Q406" s="685"/>
      <c r="R406" s="685"/>
      <c r="S406" s="685"/>
      <c r="T406" s="685"/>
      <c r="U406" s="685"/>
      <c r="V406" s="685"/>
      <c r="W406" s="685"/>
      <c r="X406" s="687"/>
      <c r="Y406" s="687"/>
      <c r="Z406" s="685" t="s">
        <v>1367</v>
      </c>
      <c r="AA406" s="688" t="s">
        <v>304</v>
      </c>
    </row>
    <row r="407" spans="1:27" s="258" customFormat="1" x14ac:dyDescent="0.25">
      <c r="A407" s="683" t="s">
        <v>1591</v>
      </c>
      <c r="B407" s="684"/>
      <c r="C407" s="684" t="s">
        <v>1400</v>
      </c>
      <c r="D407" s="684" t="s">
        <v>1390</v>
      </c>
      <c r="E407" s="684" t="s">
        <v>1370</v>
      </c>
      <c r="F407" s="684" t="s">
        <v>53</v>
      </c>
      <c r="G407" s="685" t="s">
        <v>47</v>
      </c>
      <c r="H407" s="684" t="s">
        <v>1366</v>
      </c>
      <c r="I407" s="686">
        <v>3040</v>
      </c>
      <c r="J407" s="686">
        <v>3800</v>
      </c>
      <c r="K407" s="686">
        <v>3800</v>
      </c>
      <c r="L407" s="686">
        <v>4810</v>
      </c>
      <c r="M407" s="685"/>
      <c r="N407" s="685"/>
      <c r="O407" s="685"/>
      <c r="P407" s="685"/>
      <c r="Q407" s="685"/>
      <c r="R407" s="685"/>
      <c r="S407" s="685"/>
      <c r="T407" s="685"/>
      <c r="U407" s="685"/>
      <c r="V407" s="685"/>
      <c r="W407" s="685"/>
      <c r="X407" s="687"/>
      <c r="Y407" s="687"/>
      <c r="Z407" s="685" t="s">
        <v>1367</v>
      </c>
      <c r="AA407" s="688" t="s">
        <v>304</v>
      </c>
    </row>
    <row r="408" spans="1:27" s="258" customFormat="1" x14ac:dyDescent="0.25">
      <c r="A408" s="683" t="s">
        <v>1591</v>
      </c>
      <c r="B408" s="684"/>
      <c r="C408" s="684" t="s">
        <v>1400</v>
      </c>
      <c r="D408" s="684" t="s">
        <v>1391</v>
      </c>
      <c r="E408" s="684" t="s">
        <v>1370</v>
      </c>
      <c r="F408" s="684" t="s">
        <v>53</v>
      </c>
      <c r="G408" s="685" t="s">
        <v>47</v>
      </c>
      <c r="H408" s="684" t="s">
        <v>1366</v>
      </c>
      <c r="I408" s="686">
        <v>3040</v>
      </c>
      <c r="J408" s="686">
        <v>3800</v>
      </c>
      <c r="K408" s="686">
        <v>3800</v>
      </c>
      <c r="L408" s="686">
        <v>4810</v>
      </c>
      <c r="M408" s="685"/>
      <c r="N408" s="685"/>
      <c r="O408" s="685"/>
      <c r="P408" s="685"/>
      <c r="Q408" s="685"/>
      <c r="R408" s="685"/>
      <c r="S408" s="685"/>
      <c r="T408" s="685"/>
      <c r="U408" s="685"/>
      <c r="V408" s="685"/>
      <c r="W408" s="685"/>
      <c r="X408" s="687"/>
      <c r="Y408" s="687"/>
      <c r="Z408" s="685" t="s">
        <v>1367</v>
      </c>
      <c r="AA408" s="688" t="s">
        <v>304</v>
      </c>
    </row>
    <row r="409" spans="1:27" s="258" customFormat="1" x14ac:dyDescent="0.25">
      <c r="A409" s="683" t="s">
        <v>1591</v>
      </c>
      <c r="B409" s="684"/>
      <c r="C409" s="684" t="s">
        <v>1400</v>
      </c>
      <c r="D409" s="684" t="s">
        <v>1390</v>
      </c>
      <c r="E409" s="684" t="s">
        <v>1371</v>
      </c>
      <c r="F409" s="684" t="s">
        <v>53</v>
      </c>
      <c r="G409" s="685" t="s">
        <v>47</v>
      </c>
      <c r="H409" s="684" t="s">
        <v>1366</v>
      </c>
      <c r="I409" s="686">
        <v>2920</v>
      </c>
      <c r="J409" s="686">
        <v>3650</v>
      </c>
      <c r="K409" s="686">
        <v>3650</v>
      </c>
      <c r="L409" s="686">
        <v>4620</v>
      </c>
      <c r="M409" s="685"/>
      <c r="N409" s="685"/>
      <c r="O409" s="685"/>
      <c r="P409" s="685"/>
      <c r="Q409" s="685"/>
      <c r="R409" s="685"/>
      <c r="S409" s="685"/>
      <c r="T409" s="685"/>
      <c r="U409" s="685"/>
      <c r="V409" s="685"/>
      <c r="W409" s="685"/>
      <c r="X409" s="687"/>
      <c r="Y409" s="687"/>
      <c r="Z409" s="685" t="s">
        <v>1367</v>
      </c>
      <c r="AA409" s="688" t="s">
        <v>304</v>
      </c>
    </row>
    <row r="410" spans="1:27" s="258" customFormat="1" x14ac:dyDescent="0.25">
      <c r="A410" s="683" t="s">
        <v>1591</v>
      </c>
      <c r="B410" s="684"/>
      <c r="C410" s="684" t="s">
        <v>1400</v>
      </c>
      <c r="D410" s="684" t="s">
        <v>1391</v>
      </c>
      <c r="E410" s="684" t="s">
        <v>1371</v>
      </c>
      <c r="F410" s="684" t="s">
        <v>53</v>
      </c>
      <c r="G410" s="685" t="s">
        <v>47</v>
      </c>
      <c r="H410" s="684" t="s">
        <v>1366</v>
      </c>
      <c r="I410" s="686">
        <v>2920</v>
      </c>
      <c r="J410" s="686">
        <v>3650</v>
      </c>
      <c r="K410" s="686">
        <v>3650</v>
      </c>
      <c r="L410" s="686">
        <v>4620</v>
      </c>
      <c r="M410" s="685"/>
      <c r="N410" s="685"/>
      <c r="O410" s="685"/>
      <c r="P410" s="685"/>
      <c r="Q410" s="685"/>
      <c r="R410" s="685"/>
      <c r="S410" s="685"/>
      <c r="T410" s="685"/>
      <c r="U410" s="685"/>
      <c r="V410" s="685"/>
      <c r="W410" s="685"/>
      <c r="X410" s="687"/>
      <c r="Y410" s="687"/>
      <c r="Z410" s="685" t="s">
        <v>1367</v>
      </c>
      <c r="AA410" s="688" t="s">
        <v>304</v>
      </c>
    </row>
    <row r="411" spans="1:27" s="258" customFormat="1" x14ac:dyDescent="0.25">
      <c r="A411" s="683" t="s">
        <v>1591</v>
      </c>
      <c r="B411" s="684"/>
      <c r="C411" s="684" t="s">
        <v>1400</v>
      </c>
      <c r="D411" s="684" t="s">
        <v>1390</v>
      </c>
      <c r="E411" s="684" t="s">
        <v>1372</v>
      </c>
      <c r="F411" s="684" t="s">
        <v>53</v>
      </c>
      <c r="G411" s="685" t="s">
        <v>47</v>
      </c>
      <c r="H411" s="684" t="s">
        <v>1366</v>
      </c>
      <c r="I411" s="686">
        <v>3080</v>
      </c>
      <c r="J411" s="686">
        <v>3850</v>
      </c>
      <c r="K411" s="686">
        <v>3850</v>
      </c>
      <c r="L411" s="686">
        <v>4875</v>
      </c>
      <c r="M411" s="685"/>
      <c r="N411" s="685"/>
      <c r="O411" s="685"/>
      <c r="P411" s="685"/>
      <c r="Q411" s="685"/>
      <c r="R411" s="685"/>
      <c r="S411" s="685"/>
      <c r="T411" s="685"/>
      <c r="U411" s="685"/>
      <c r="V411" s="685"/>
      <c r="W411" s="685"/>
      <c r="X411" s="687"/>
      <c r="Y411" s="687"/>
      <c r="Z411" s="685" t="s">
        <v>1367</v>
      </c>
      <c r="AA411" s="688" t="s">
        <v>304</v>
      </c>
    </row>
    <row r="412" spans="1:27" s="258" customFormat="1" x14ac:dyDescent="0.25">
      <c r="A412" s="683" t="s">
        <v>1591</v>
      </c>
      <c r="B412" s="684"/>
      <c r="C412" s="684" t="s">
        <v>1400</v>
      </c>
      <c r="D412" s="684" t="s">
        <v>1391</v>
      </c>
      <c r="E412" s="684" t="s">
        <v>1372</v>
      </c>
      <c r="F412" s="684" t="s">
        <v>53</v>
      </c>
      <c r="G412" s="685" t="s">
        <v>47</v>
      </c>
      <c r="H412" s="684" t="s">
        <v>1366</v>
      </c>
      <c r="I412" s="686">
        <v>3080</v>
      </c>
      <c r="J412" s="686">
        <v>3850</v>
      </c>
      <c r="K412" s="686">
        <v>3850</v>
      </c>
      <c r="L412" s="686">
        <v>4875</v>
      </c>
      <c r="M412" s="685"/>
      <c r="N412" s="685"/>
      <c r="O412" s="685"/>
      <c r="P412" s="685"/>
      <c r="Q412" s="685"/>
      <c r="R412" s="685"/>
      <c r="S412" s="685"/>
      <c r="T412" s="685"/>
      <c r="U412" s="685"/>
      <c r="V412" s="685"/>
      <c r="W412" s="685"/>
      <c r="X412" s="687"/>
      <c r="Y412" s="687"/>
      <c r="Z412" s="685" t="s">
        <v>1367</v>
      </c>
      <c r="AA412" s="688" t="s">
        <v>304</v>
      </c>
    </row>
    <row r="413" spans="1:27" s="258" customFormat="1" x14ac:dyDescent="0.25">
      <c r="A413" s="683" t="s">
        <v>1591</v>
      </c>
      <c r="B413" s="684"/>
      <c r="C413" s="684" t="s">
        <v>1400</v>
      </c>
      <c r="D413" s="684" t="s">
        <v>1391</v>
      </c>
      <c r="E413" s="684" t="s">
        <v>1375</v>
      </c>
      <c r="F413" s="684" t="s">
        <v>53</v>
      </c>
      <c r="G413" s="685" t="s">
        <v>47</v>
      </c>
      <c r="H413" s="684" t="s">
        <v>1366</v>
      </c>
      <c r="I413" s="686">
        <v>3000</v>
      </c>
      <c r="J413" s="686">
        <v>3750</v>
      </c>
      <c r="K413" s="686">
        <v>3750</v>
      </c>
      <c r="L413" s="686">
        <v>4750</v>
      </c>
      <c r="M413" s="685"/>
      <c r="N413" s="685"/>
      <c r="O413" s="685"/>
      <c r="P413" s="685"/>
      <c r="Q413" s="685"/>
      <c r="R413" s="685"/>
      <c r="S413" s="685"/>
      <c r="T413" s="685"/>
      <c r="U413" s="685"/>
      <c r="V413" s="685"/>
      <c r="W413" s="685"/>
      <c r="X413" s="687"/>
      <c r="Y413" s="687"/>
      <c r="Z413" s="685" t="s">
        <v>1367</v>
      </c>
      <c r="AA413" s="688" t="s">
        <v>304</v>
      </c>
    </row>
    <row r="414" spans="1:27" s="258" customFormat="1" x14ac:dyDescent="0.25">
      <c r="A414" s="683" t="s">
        <v>1591</v>
      </c>
      <c r="B414" s="684"/>
      <c r="C414" s="684" t="s">
        <v>1400</v>
      </c>
      <c r="D414" s="684" t="s">
        <v>1609</v>
      </c>
      <c r="E414" s="684" t="s">
        <v>1612</v>
      </c>
      <c r="F414" s="684" t="s">
        <v>53</v>
      </c>
      <c r="G414" s="685" t="s">
        <v>47</v>
      </c>
      <c r="H414" s="684" t="s">
        <v>1366</v>
      </c>
      <c r="I414" s="686">
        <v>2640</v>
      </c>
      <c r="J414" s="686">
        <v>3300</v>
      </c>
      <c r="K414" s="686">
        <v>3300</v>
      </c>
      <c r="L414" s="686">
        <v>4180</v>
      </c>
      <c r="M414" s="685"/>
      <c r="N414" s="685"/>
      <c r="O414" s="685"/>
      <c r="P414" s="685"/>
      <c r="Q414" s="685"/>
      <c r="R414" s="685"/>
      <c r="S414" s="685"/>
      <c r="T414" s="685"/>
      <c r="U414" s="685"/>
      <c r="V414" s="685"/>
      <c r="W414" s="685"/>
      <c r="X414" s="687"/>
      <c r="Y414" s="687"/>
      <c r="Z414" s="685" t="s">
        <v>1367</v>
      </c>
      <c r="AA414" s="688" t="s">
        <v>304</v>
      </c>
    </row>
    <row r="415" spans="1:27" s="258" customFormat="1" x14ac:dyDescent="0.25">
      <c r="A415" s="683" t="s">
        <v>1591</v>
      </c>
      <c r="B415" s="684"/>
      <c r="C415" s="684" t="s">
        <v>1400</v>
      </c>
      <c r="D415" s="684" t="s">
        <v>1609</v>
      </c>
      <c r="E415" s="684" t="s">
        <v>1613</v>
      </c>
      <c r="F415" s="684" t="s">
        <v>53</v>
      </c>
      <c r="G415" s="685" t="s">
        <v>47</v>
      </c>
      <c r="H415" s="684" t="s">
        <v>1366</v>
      </c>
      <c r="I415" s="686">
        <v>2920</v>
      </c>
      <c r="J415" s="686">
        <v>3650</v>
      </c>
      <c r="K415" s="686">
        <v>3650</v>
      </c>
      <c r="L415" s="686">
        <v>4620</v>
      </c>
      <c r="M415" s="685"/>
      <c r="N415" s="685"/>
      <c r="O415" s="685"/>
      <c r="P415" s="685"/>
      <c r="Q415" s="685"/>
      <c r="R415" s="685"/>
      <c r="S415" s="685"/>
      <c r="T415" s="685"/>
      <c r="U415" s="685"/>
      <c r="V415" s="685"/>
      <c r="W415" s="685"/>
      <c r="X415" s="687"/>
      <c r="Y415" s="687"/>
      <c r="Z415" s="685" t="s">
        <v>1367</v>
      </c>
      <c r="AA415" s="688" t="s">
        <v>304</v>
      </c>
    </row>
    <row r="416" spans="1:27" s="258" customFormat="1" x14ac:dyDescent="0.25">
      <c r="A416" s="683" t="s">
        <v>1591</v>
      </c>
      <c r="B416" s="684"/>
      <c r="C416" s="684" t="s">
        <v>1400</v>
      </c>
      <c r="D416" s="684" t="s">
        <v>1608</v>
      </c>
      <c r="E416" s="684" t="s">
        <v>1656</v>
      </c>
      <c r="F416" s="684" t="s">
        <v>53</v>
      </c>
      <c r="G416" s="685" t="s">
        <v>47</v>
      </c>
      <c r="H416" s="684" t="s">
        <v>1366</v>
      </c>
      <c r="I416" s="686">
        <v>2800</v>
      </c>
      <c r="J416" s="686">
        <v>3500</v>
      </c>
      <c r="K416" s="686">
        <v>3500</v>
      </c>
      <c r="L416" s="686">
        <v>4430</v>
      </c>
      <c r="M416" s="685"/>
      <c r="N416" s="685"/>
      <c r="O416" s="685"/>
      <c r="P416" s="685"/>
      <c r="Q416" s="685"/>
      <c r="R416" s="685"/>
      <c r="S416" s="685"/>
      <c r="T416" s="685"/>
      <c r="U416" s="685"/>
      <c r="V416" s="685"/>
      <c r="W416" s="685"/>
      <c r="X416" s="687"/>
      <c r="Y416" s="687"/>
      <c r="Z416" s="685" t="s">
        <v>1367</v>
      </c>
      <c r="AA416" s="688" t="s">
        <v>304</v>
      </c>
    </row>
    <row r="417" spans="1:27" s="258" customFormat="1" x14ac:dyDescent="0.25">
      <c r="A417" s="683" t="s">
        <v>1591</v>
      </c>
      <c r="B417" s="684"/>
      <c r="C417" s="684" t="s">
        <v>1400</v>
      </c>
      <c r="D417" s="684" t="s">
        <v>1391</v>
      </c>
      <c r="E417" s="684" t="s">
        <v>1379</v>
      </c>
      <c r="F417" s="684" t="s">
        <v>53</v>
      </c>
      <c r="G417" s="685" t="s">
        <v>47</v>
      </c>
      <c r="H417" s="684" t="s">
        <v>1366</v>
      </c>
      <c r="I417" s="686">
        <v>3040</v>
      </c>
      <c r="J417" s="686">
        <v>3800</v>
      </c>
      <c r="K417" s="686">
        <v>3800</v>
      </c>
      <c r="L417" s="686">
        <v>4810</v>
      </c>
      <c r="M417" s="685"/>
      <c r="N417" s="685"/>
      <c r="O417" s="685"/>
      <c r="P417" s="685"/>
      <c r="Q417" s="685"/>
      <c r="R417" s="685"/>
      <c r="S417" s="685"/>
      <c r="T417" s="685"/>
      <c r="U417" s="685"/>
      <c r="V417" s="685"/>
      <c r="W417" s="685"/>
      <c r="X417" s="687"/>
      <c r="Y417" s="687"/>
      <c r="Z417" s="685" t="s">
        <v>1367</v>
      </c>
      <c r="AA417" s="688" t="s">
        <v>304</v>
      </c>
    </row>
    <row r="418" spans="1:27" s="258" customFormat="1" x14ac:dyDescent="0.25">
      <c r="A418" s="683" t="s">
        <v>1591</v>
      </c>
      <c r="B418" s="684"/>
      <c r="C418" s="684" t="s">
        <v>1400</v>
      </c>
      <c r="D418" s="684" t="s">
        <v>1391</v>
      </c>
      <c r="E418" s="684" t="s">
        <v>1380</v>
      </c>
      <c r="F418" s="684" t="s">
        <v>53</v>
      </c>
      <c r="G418" s="685" t="s">
        <v>47</v>
      </c>
      <c r="H418" s="684" t="s">
        <v>1366</v>
      </c>
      <c r="I418" s="686">
        <v>3040</v>
      </c>
      <c r="J418" s="686">
        <v>3800</v>
      </c>
      <c r="K418" s="686">
        <v>3800</v>
      </c>
      <c r="L418" s="686">
        <v>4810</v>
      </c>
      <c r="M418" s="685"/>
      <c r="N418" s="685"/>
      <c r="O418" s="685"/>
      <c r="P418" s="685"/>
      <c r="Q418" s="685"/>
      <c r="R418" s="685"/>
      <c r="S418" s="685"/>
      <c r="T418" s="685"/>
      <c r="U418" s="685"/>
      <c r="V418" s="685"/>
      <c r="W418" s="685"/>
      <c r="X418" s="687"/>
      <c r="Y418" s="687"/>
      <c r="Z418" s="685" t="s">
        <v>1367</v>
      </c>
      <c r="AA418" s="688" t="s">
        <v>304</v>
      </c>
    </row>
    <row r="419" spans="1:27" s="258" customFormat="1" x14ac:dyDescent="0.25">
      <c r="A419" s="683" t="s">
        <v>1591</v>
      </c>
      <c r="B419" s="684"/>
      <c r="C419" s="684" t="s">
        <v>1400</v>
      </c>
      <c r="D419" s="684" t="s">
        <v>1608</v>
      </c>
      <c r="E419" s="684" t="s">
        <v>1382</v>
      </c>
      <c r="F419" s="684" t="s">
        <v>53</v>
      </c>
      <c r="G419" s="685" t="s">
        <v>47</v>
      </c>
      <c r="H419" s="684" t="s">
        <v>1366</v>
      </c>
      <c r="I419" s="686">
        <v>2840</v>
      </c>
      <c r="J419" s="686">
        <v>3550</v>
      </c>
      <c r="K419" s="686">
        <v>3550</v>
      </c>
      <c r="L419" s="686">
        <v>4495</v>
      </c>
      <c r="M419" s="685"/>
      <c r="N419" s="685"/>
      <c r="O419" s="685"/>
      <c r="P419" s="685"/>
      <c r="Q419" s="685"/>
      <c r="R419" s="685"/>
      <c r="S419" s="685"/>
      <c r="T419" s="685"/>
      <c r="U419" s="685"/>
      <c r="V419" s="685"/>
      <c r="W419" s="685"/>
      <c r="X419" s="687"/>
      <c r="Y419" s="687"/>
      <c r="Z419" s="685" t="s">
        <v>1367</v>
      </c>
      <c r="AA419" s="688" t="s">
        <v>304</v>
      </c>
    </row>
    <row r="420" spans="1:27" s="258" customFormat="1" x14ac:dyDescent="0.25">
      <c r="A420" s="683" t="s">
        <v>1591</v>
      </c>
      <c r="B420" s="684"/>
      <c r="C420" s="684" t="s">
        <v>1400</v>
      </c>
      <c r="D420" s="684" t="s">
        <v>1608</v>
      </c>
      <c r="E420" s="684" t="s">
        <v>1381</v>
      </c>
      <c r="F420" s="684" t="s">
        <v>53</v>
      </c>
      <c r="G420" s="685" t="s">
        <v>47</v>
      </c>
      <c r="H420" s="684" t="s">
        <v>1366</v>
      </c>
      <c r="I420" s="686">
        <v>2960</v>
      </c>
      <c r="J420" s="686">
        <v>3700</v>
      </c>
      <c r="K420" s="686">
        <v>3700</v>
      </c>
      <c r="L420" s="686">
        <v>4685</v>
      </c>
      <c r="M420" s="685"/>
      <c r="N420" s="685"/>
      <c r="O420" s="685"/>
      <c r="P420" s="685"/>
      <c r="Q420" s="685"/>
      <c r="R420" s="685"/>
      <c r="S420" s="685"/>
      <c r="T420" s="685"/>
      <c r="U420" s="685"/>
      <c r="V420" s="685"/>
      <c r="W420" s="685"/>
      <c r="X420" s="687"/>
      <c r="Y420" s="687"/>
      <c r="Z420" s="685" t="s">
        <v>1367</v>
      </c>
      <c r="AA420" s="688" t="s">
        <v>304</v>
      </c>
    </row>
    <row r="421" spans="1:27" s="258" customFormat="1" x14ac:dyDescent="0.25">
      <c r="A421" s="683" t="s">
        <v>1591</v>
      </c>
      <c r="B421" s="684"/>
      <c r="C421" s="684" t="s">
        <v>1400</v>
      </c>
      <c r="D421" s="684" t="s">
        <v>1391</v>
      </c>
      <c r="E421" s="684" t="s">
        <v>1614</v>
      </c>
      <c r="F421" s="684" t="s">
        <v>357</v>
      </c>
      <c r="G421" s="685" t="s">
        <v>47</v>
      </c>
      <c r="H421" s="684" t="s">
        <v>1366</v>
      </c>
      <c r="I421" s="686">
        <v>2960</v>
      </c>
      <c r="J421" s="686">
        <v>3700</v>
      </c>
      <c r="K421" s="686">
        <v>3700</v>
      </c>
      <c r="L421" s="686">
        <v>4685</v>
      </c>
      <c r="M421" s="685"/>
      <c r="N421" s="685"/>
      <c r="O421" s="685"/>
      <c r="P421" s="685"/>
      <c r="Q421" s="685"/>
      <c r="R421" s="685"/>
      <c r="S421" s="685"/>
      <c r="T421" s="685"/>
      <c r="U421" s="685"/>
      <c r="V421" s="685"/>
      <c r="W421" s="685"/>
      <c r="X421" s="687"/>
      <c r="Y421" s="687"/>
      <c r="Z421" s="685" t="s">
        <v>1367</v>
      </c>
      <c r="AA421" s="688" t="s">
        <v>304</v>
      </c>
    </row>
    <row r="422" spans="1:27" s="258" customFormat="1" x14ac:dyDescent="0.25">
      <c r="A422" s="683" t="s">
        <v>1591</v>
      </c>
      <c r="B422" s="684"/>
      <c r="C422" s="684" t="s">
        <v>1400</v>
      </c>
      <c r="D422" s="684" t="s">
        <v>1391</v>
      </c>
      <c r="E422" s="684" t="s">
        <v>1386</v>
      </c>
      <c r="F422" s="684" t="s">
        <v>53</v>
      </c>
      <c r="G422" s="685" t="s">
        <v>47</v>
      </c>
      <c r="H422" s="684" t="s">
        <v>1366</v>
      </c>
      <c r="I422" s="686">
        <v>2960</v>
      </c>
      <c r="J422" s="686">
        <v>3700</v>
      </c>
      <c r="K422" s="686">
        <v>3700</v>
      </c>
      <c r="L422" s="686">
        <v>4685</v>
      </c>
      <c r="M422" s="685"/>
      <c r="N422" s="685"/>
      <c r="O422" s="685"/>
      <c r="P422" s="685"/>
      <c r="Q422" s="685"/>
      <c r="R422" s="685"/>
      <c r="S422" s="685"/>
      <c r="T422" s="685"/>
      <c r="U422" s="685"/>
      <c r="V422" s="685"/>
      <c r="W422" s="685"/>
      <c r="X422" s="687"/>
      <c r="Y422" s="687"/>
      <c r="Z422" s="685" t="s">
        <v>1367</v>
      </c>
      <c r="AA422" s="688" t="s">
        <v>304</v>
      </c>
    </row>
    <row r="423" spans="1:27" s="258" customFormat="1" x14ac:dyDescent="0.25">
      <c r="A423" s="683" t="s">
        <v>1591</v>
      </c>
      <c r="B423" s="684"/>
      <c r="C423" s="684" t="s">
        <v>1400</v>
      </c>
      <c r="D423" s="684" t="s">
        <v>1615</v>
      </c>
      <c r="E423" s="684" t="s">
        <v>1369</v>
      </c>
      <c r="F423" s="684" t="s">
        <v>53</v>
      </c>
      <c r="G423" s="685" t="s">
        <v>47</v>
      </c>
      <c r="H423" s="684" t="s">
        <v>1366</v>
      </c>
      <c r="I423" s="686">
        <v>3120</v>
      </c>
      <c r="J423" s="686">
        <v>3900</v>
      </c>
      <c r="K423" s="686">
        <v>3900</v>
      </c>
      <c r="L423" s="686">
        <v>4935</v>
      </c>
      <c r="M423" s="685"/>
      <c r="N423" s="685"/>
      <c r="O423" s="685"/>
      <c r="P423" s="685"/>
      <c r="Q423" s="685"/>
      <c r="R423" s="685"/>
      <c r="S423" s="685"/>
      <c r="T423" s="685"/>
      <c r="U423" s="685"/>
      <c r="V423" s="685"/>
      <c r="W423" s="685"/>
      <c r="X423" s="687"/>
      <c r="Y423" s="687"/>
      <c r="Z423" s="685" t="s">
        <v>1367</v>
      </c>
      <c r="AA423" s="688" t="s">
        <v>304</v>
      </c>
    </row>
    <row r="424" spans="1:27" s="258" customFormat="1" x14ac:dyDescent="0.25">
      <c r="A424" s="683" t="s">
        <v>1591</v>
      </c>
      <c r="B424" s="684"/>
      <c r="C424" s="684" t="s">
        <v>1400</v>
      </c>
      <c r="D424" s="684" t="s">
        <v>1615</v>
      </c>
      <c r="E424" s="684" t="s">
        <v>1375</v>
      </c>
      <c r="F424" s="684" t="s">
        <v>53</v>
      </c>
      <c r="G424" s="685" t="s">
        <v>47</v>
      </c>
      <c r="H424" s="684" t="s">
        <v>1366</v>
      </c>
      <c r="I424" s="686">
        <v>3120</v>
      </c>
      <c r="J424" s="686">
        <v>3900</v>
      </c>
      <c r="K424" s="686">
        <v>3900</v>
      </c>
      <c r="L424" s="686">
        <v>4935</v>
      </c>
      <c r="M424" s="685"/>
      <c r="N424" s="685"/>
      <c r="O424" s="685"/>
      <c r="P424" s="685"/>
      <c r="Q424" s="685"/>
      <c r="R424" s="685"/>
      <c r="S424" s="685"/>
      <c r="T424" s="685"/>
      <c r="U424" s="685"/>
      <c r="V424" s="685"/>
      <c r="W424" s="685"/>
      <c r="X424" s="687"/>
      <c r="Y424" s="687"/>
      <c r="Z424" s="685" t="s">
        <v>1367</v>
      </c>
      <c r="AA424" s="688" t="s">
        <v>304</v>
      </c>
    </row>
    <row r="425" spans="1:27" s="258" customFormat="1" x14ac:dyDescent="0.25">
      <c r="A425" s="683" t="s">
        <v>1591</v>
      </c>
      <c r="B425" s="684"/>
      <c r="C425" s="684" t="s">
        <v>1616</v>
      </c>
      <c r="D425" s="684" t="s">
        <v>1391</v>
      </c>
      <c r="E425" s="684"/>
      <c r="F425" s="684" t="s">
        <v>51</v>
      </c>
      <c r="G425" s="685" t="s">
        <v>47</v>
      </c>
      <c r="H425" s="684" t="s">
        <v>1366</v>
      </c>
      <c r="I425" s="686">
        <v>2465</v>
      </c>
      <c r="J425" s="686">
        <v>2900</v>
      </c>
      <c r="K425" s="686">
        <v>2900</v>
      </c>
      <c r="L425" s="686">
        <v>3670</v>
      </c>
      <c r="M425" s="685"/>
      <c r="N425" s="685"/>
      <c r="O425" s="685"/>
      <c r="P425" s="685"/>
      <c r="Q425" s="685"/>
      <c r="R425" s="685"/>
      <c r="S425" s="685"/>
      <c r="T425" s="685"/>
      <c r="U425" s="685"/>
      <c r="V425" s="685"/>
      <c r="W425" s="685"/>
      <c r="X425" s="687"/>
      <c r="Y425" s="687"/>
      <c r="Z425" s="685" t="s">
        <v>1367</v>
      </c>
      <c r="AA425" s="688" t="s">
        <v>304</v>
      </c>
    </row>
    <row r="426" spans="1:27" s="258" customFormat="1" x14ac:dyDescent="0.25">
      <c r="A426" s="683" t="s">
        <v>1591</v>
      </c>
      <c r="B426" s="684"/>
      <c r="C426" s="684" t="s">
        <v>1616</v>
      </c>
      <c r="D426" s="684" t="s">
        <v>1608</v>
      </c>
      <c r="E426" s="684"/>
      <c r="F426" s="684" t="s">
        <v>51</v>
      </c>
      <c r="G426" s="685" t="s">
        <v>47</v>
      </c>
      <c r="H426" s="684" t="s">
        <v>1366</v>
      </c>
      <c r="I426" s="686">
        <v>2465</v>
      </c>
      <c r="J426" s="686">
        <v>2900</v>
      </c>
      <c r="K426" s="686">
        <v>2900</v>
      </c>
      <c r="L426" s="686">
        <v>3670</v>
      </c>
      <c r="M426" s="685"/>
      <c r="N426" s="685"/>
      <c r="O426" s="685"/>
      <c r="P426" s="685"/>
      <c r="Q426" s="685"/>
      <c r="R426" s="685"/>
      <c r="S426" s="685"/>
      <c r="T426" s="685"/>
      <c r="U426" s="685"/>
      <c r="V426" s="685"/>
      <c r="W426" s="685"/>
      <c r="X426" s="687"/>
      <c r="Y426" s="687"/>
      <c r="Z426" s="685" t="s">
        <v>1367</v>
      </c>
      <c r="AA426" s="688" t="s">
        <v>389</v>
      </c>
    </row>
    <row r="427" spans="1:27" s="258" customFormat="1" x14ac:dyDescent="0.25">
      <c r="A427" s="683" t="s">
        <v>1591</v>
      </c>
      <c r="B427" s="684"/>
      <c r="C427" s="684" t="s">
        <v>1616</v>
      </c>
      <c r="D427" s="684" t="s">
        <v>1609</v>
      </c>
      <c r="E427" s="684"/>
      <c r="F427" s="684" t="s">
        <v>51</v>
      </c>
      <c r="G427" s="685" t="s">
        <v>47</v>
      </c>
      <c r="H427" s="684" t="s">
        <v>1366</v>
      </c>
      <c r="I427" s="686">
        <v>2465</v>
      </c>
      <c r="J427" s="686">
        <v>2900</v>
      </c>
      <c r="K427" s="686">
        <v>2900</v>
      </c>
      <c r="L427" s="686">
        <v>3670</v>
      </c>
      <c r="M427" s="685"/>
      <c r="N427" s="685"/>
      <c r="O427" s="685"/>
      <c r="P427" s="685"/>
      <c r="Q427" s="685"/>
      <c r="R427" s="685"/>
      <c r="S427" s="685"/>
      <c r="T427" s="685"/>
      <c r="U427" s="685"/>
      <c r="V427" s="685"/>
      <c r="W427" s="685"/>
      <c r="X427" s="687"/>
      <c r="Y427" s="687"/>
      <c r="Z427" s="685" t="s">
        <v>1367</v>
      </c>
      <c r="AA427" s="688" t="s">
        <v>304</v>
      </c>
    </row>
    <row r="428" spans="1:27" s="258" customFormat="1" x14ac:dyDescent="0.25">
      <c r="A428" s="683" t="s">
        <v>1591</v>
      </c>
      <c r="B428" s="684"/>
      <c r="C428" s="684" t="s">
        <v>1616</v>
      </c>
      <c r="D428" s="684" t="s">
        <v>1608</v>
      </c>
      <c r="E428" s="684" t="s">
        <v>1387</v>
      </c>
      <c r="F428" s="684" t="s">
        <v>53</v>
      </c>
      <c r="G428" s="685" t="s">
        <v>47</v>
      </c>
      <c r="H428" s="684" t="s">
        <v>1366</v>
      </c>
      <c r="I428" s="686">
        <v>3230</v>
      </c>
      <c r="J428" s="686">
        <v>3800</v>
      </c>
      <c r="K428" s="686">
        <v>3800</v>
      </c>
      <c r="L428" s="686">
        <v>4810</v>
      </c>
      <c r="M428" s="685"/>
      <c r="N428" s="685"/>
      <c r="O428" s="685"/>
      <c r="P428" s="685"/>
      <c r="Q428" s="685"/>
      <c r="R428" s="685"/>
      <c r="S428" s="685"/>
      <c r="T428" s="685"/>
      <c r="U428" s="685"/>
      <c r="V428" s="685"/>
      <c r="W428" s="685"/>
      <c r="X428" s="687"/>
      <c r="Y428" s="687"/>
      <c r="Z428" s="685" t="s">
        <v>1367</v>
      </c>
      <c r="AA428" s="688" t="s">
        <v>304</v>
      </c>
    </row>
    <row r="429" spans="1:27" s="258" customFormat="1" x14ac:dyDescent="0.25">
      <c r="A429" s="683" t="s">
        <v>1591</v>
      </c>
      <c r="B429" s="684"/>
      <c r="C429" s="684" t="s">
        <v>1616</v>
      </c>
      <c r="D429" s="684" t="s">
        <v>1608</v>
      </c>
      <c r="E429" s="684" t="s">
        <v>1389</v>
      </c>
      <c r="F429" s="684" t="s">
        <v>53</v>
      </c>
      <c r="G429" s="685" t="s">
        <v>47</v>
      </c>
      <c r="H429" s="684" t="s">
        <v>1366</v>
      </c>
      <c r="I429" s="686">
        <v>3230</v>
      </c>
      <c r="J429" s="686">
        <v>3800</v>
      </c>
      <c r="K429" s="686">
        <v>3800</v>
      </c>
      <c r="L429" s="686">
        <v>4810</v>
      </c>
      <c r="M429" s="685"/>
      <c r="N429" s="685"/>
      <c r="O429" s="685"/>
      <c r="P429" s="685"/>
      <c r="Q429" s="685"/>
      <c r="R429" s="685"/>
      <c r="S429" s="685"/>
      <c r="T429" s="685"/>
      <c r="U429" s="685"/>
      <c r="V429" s="685"/>
      <c r="W429" s="685"/>
      <c r="X429" s="687"/>
      <c r="Y429" s="687"/>
      <c r="Z429" s="685" t="s">
        <v>1367</v>
      </c>
      <c r="AA429" s="688" t="s">
        <v>304</v>
      </c>
    </row>
    <row r="430" spans="1:27" s="258" customFormat="1" x14ac:dyDescent="0.25">
      <c r="A430" s="683" t="s">
        <v>1591</v>
      </c>
      <c r="B430" s="684"/>
      <c r="C430" s="684" t="s">
        <v>1616</v>
      </c>
      <c r="D430" s="684" t="s">
        <v>1608</v>
      </c>
      <c r="E430" s="684" t="s">
        <v>1611</v>
      </c>
      <c r="F430" s="684" t="s">
        <v>53</v>
      </c>
      <c r="G430" s="685" t="s">
        <v>47</v>
      </c>
      <c r="H430" s="684" t="s">
        <v>1366</v>
      </c>
      <c r="I430" s="686">
        <v>3825</v>
      </c>
      <c r="J430" s="686">
        <v>4500</v>
      </c>
      <c r="K430" s="686">
        <v>4500</v>
      </c>
      <c r="L430" s="686">
        <v>5695</v>
      </c>
      <c r="M430" s="685"/>
      <c r="N430" s="685"/>
      <c r="O430" s="685"/>
      <c r="P430" s="685"/>
      <c r="Q430" s="685"/>
      <c r="R430" s="685"/>
      <c r="S430" s="685"/>
      <c r="T430" s="685"/>
      <c r="U430" s="685"/>
      <c r="V430" s="685"/>
      <c r="W430" s="685"/>
      <c r="X430" s="687"/>
      <c r="Y430" s="687"/>
      <c r="Z430" s="685" t="s">
        <v>1367</v>
      </c>
      <c r="AA430" s="688" t="s">
        <v>304</v>
      </c>
    </row>
    <row r="431" spans="1:27" s="258" customFormat="1" x14ac:dyDescent="0.25">
      <c r="A431" s="683" t="s">
        <v>1591</v>
      </c>
      <c r="B431" s="684"/>
      <c r="C431" s="684" t="s">
        <v>1616</v>
      </c>
      <c r="D431" s="684" t="s">
        <v>1391</v>
      </c>
      <c r="E431" s="684" t="s">
        <v>1369</v>
      </c>
      <c r="F431" s="684" t="s">
        <v>53</v>
      </c>
      <c r="G431" s="685" t="s">
        <v>47</v>
      </c>
      <c r="H431" s="684" t="s">
        <v>1366</v>
      </c>
      <c r="I431" s="686">
        <v>3740</v>
      </c>
      <c r="J431" s="686">
        <v>4400</v>
      </c>
      <c r="K431" s="686">
        <v>4400</v>
      </c>
      <c r="L431" s="686">
        <v>5570</v>
      </c>
      <c r="M431" s="685"/>
      <c r="N431" s="685"/>
      <c r="O431" s="685"/>
      <c r="P431" s="685"/>
      <c r="Q431" s="685"/>
      <c r="R431" s="685"/>
      <c r="S431" s="685"/>
      <c r="T431" s="685"/>
      <c r="U431" s="685"/>
      <c r="V431" s="685"/>
      <c r="W431" s="685"/>
      <c r="X431" s="687"/>
      <c r="Y431" s="687"/>
      <c r="Z431" s="685" t="s">
        <v>1367</v>
      </c>
      <c r="AA431" s="688" t="s">
        <v>304</v>
      </c>
    </row>
    <row r="432" spans="1:27" s="258" customFormat="1" x14ac:dyDescent="0.25">
      <c r="A432" s="683" t="s">
        <v>1591</v>
      </c>
      <c r="B432" s="684"/>
      <c r="C432" s="684" t="s">
        <v>1616</v>
      </c>
      <c r="D432" s="684" t="s">
        <v>1391</v>
      </c>
      <c r="E432" s="684" t="s">
        <v>1370</v>
      </c>
      <c r="F432" s="684" t="s">
        <v>53</v>
      </c>
      <c r="G432" s="685" t="s">
        <v>47</v>
      </c>
      <c r="H432" s="684" t="s">
        <v>1366</v>
      </c>
      <c r="I432" s="686">
        <v>3740</v>
      </c>
      <c r="J432" s="686">
        <v>4400</v>
      </c>
      <c r="K432" s="686">
        <v>4400</v>
      </c>
      <c r="L432" s="686">
        <v>5570</v>
      </c>
      <c r="M432" s="685"/>
      <c r="N432" s="685"/>
      <c r="O432" s="685"/>
      <c r="P432" s="685"/>
      <c r="Q432" s="685"/>
      <c r="R432" s="685"/>
      <c r="S432" s="685"/>
      <c r="T432" s="685"/>
      <c r="U432" s="685"/>
      <c r="V432" s="685"/>
      <c r="W432" s="685"/>
      <c r="X432" s="687"/>
      <c r="Y432" s="687"/>
      <c r="Z432" s="685" t="s">
        <v>1367</v>
      </c>
      <c r="AA432" s="688" t="s">
        <v>304</v>
      </c>
    </row>
    <row r="433" spans="1:27" s="258" customFormat="1" x14ac:dyDescent="0.25">
      <c r="A433" s="683" t="s">
        <v>1591</v>
      </c>
      <c r="B433" s="684"/>
      <c r="C433" s="684" t="s">
        <v>1616</v>
      </c>
      <c r="D433" s="684" t="s">
        <v>1391</v>
      </c>
      <c r="E433" s="684" t="s">
        <v>1371</v>
      </c>
      <c r="F433" s="684" t="s">
        <v>53</v>
      </c>
      <c r="G433" s="685" t="s">
        <v>47</v>
      </c>
      <c r="H433" s="684" t="s">
        <v>1366</v>
      </c>
      <c r="I433" s="686">
        <v>3740</v>
      </c>
      <c r="J433" s="686">
        <v>4400</v>
      </c>
      <c r="K433" s="686">
        <v>4400</v>
      </c>
      <c r="L433" s="686">
        <v>5570</v>
      </c>
      <c r="M433" s="685"/>
      <c r="N433" s="685"/>
      <c r="O433" s="685"/>
      <c r="P433" s="685"/>
      <c r="Q433" s="685"/>
      <c r="R433" s="685"/>
      <c r="S433" s="685"/>
      <c r="T433" s="685"/>
      <c r="U433" s="685"/>
      <c r="V433" s="685"/>
      <c r="W433" s="685"/>
      <c r="X433" s="687"/>
      <c r="Y433" s="687"/>
      <c r="Z433" s="685" t="s">
        <v>1367</v>
      </c>
      <c r="AA433" s="688" t="s">
        <v>304</v>
      </c>
    </row>
    <row r="434" spans="1:27" s="258" customFormat="1" x14ac:dyDescent="0.25">
      <c r="A434" s="683" t="s">
        <v>1591</v>
      </c>
      <c r="B434" s="684"/>
      <c r="C434" s="684" t="s">
        <v>1616</v>
      </c>
      <c r="D434" s="684" t="s">
        <v>1391</v>
      </c>
      <c r="E434" s="684" t="s">
        <v>1372</v>
      </c>
      <c r="F434" s="684" t="s">
        <v>53</v>
      </c>
      <c r="G434" s="685" t="s">
        <v>47</v>
      </c>
      <c r="H434" s="684" t="s">
        <v>1366</v>
      </c>
      <c r="I434" s="686">
        <v>3740</v>
      </c>
      <c r="J434" s="686">
        <v>4400</v>
      </c>
      <c r="K434" s="686">
        <v>4400</v>
      </c>
      <c r="L434" s="686">
        <v>5570</v>
      </c>
      <c r="M434" s="685"/>
      <c r="N434" s="685"/>
      <c r="O434" s="685"/>
      <c r="P434" s="685"/>
      <c r="Q434" s="685"/>
      <c r="R434" s="685"/>
      <c r="S434" s="685"/>
      <c r="T434" s="685"/>
      <c r="U434" s="685"/>
      <c r="V434" s="685"/>
      <c r="W434" s="685"/>
      <c r="X434" s="687"/>
      <c r="Y434" s="687"/>
      <c r="Z434" s="685" t="s">
        <v>1367</v>
      </c>
      <c r="AA434" s="688" t="s">
        <v>304</v>
      </c>
    </row>
    <row r="435" spans="1:27" s="258" customFormat="1" x14ac:dyDescent="0.25">
      <c r="A435" s="683" t="s">
        <v>1591</v>
      </c>
      <c r="B435" s="684"/>
      <c r="C435" s="684" t="s">
        <v>1616</v>
      </c>
      <c r="D435" s="684" t="s">
        <v>1391</v>
      </c>
      <c r="E435" s="684" t="s">
        <v>1375</v>
      </c>
      <c r="F435" s="684" t="s">
        <v>53</v>
      </c>
      <c r="G435" s="685" t="s">
        <v>47</v>
      </c>
      <c r="H435" s="684" t="s">
        <v>1366</v>
      </c>
      <c r="I435" s="686">
        <v>3740</v>
      </c>
      <c r="J435" s="686">
        <v>4400</v>
      </c>
      <c r="K435" s="686">
        <v>4400</v>
      </c>
      <c r="L435" s="686">
        <v>5570</v>
      </c>
      <c r="M435" s="685"/>
      <c r="N435" s="685"/>
      <c r="O435" s="685"/>
      <c r="P435" s="685"/>
      <c r="Q435" s="685"/>
      <c r="R435" s="685"/>
      <c r="S435" s="685"/>
      <c r="T435" s="685"/>
      <c r="U435" s="685"/>
      <c r="V435" s="685"/>
      <c r="W435" s="685"/>
      <c r="X435" s="687"/>
      <c r="Y435" s="687"/>
      <c r="Z435" s="685" t="s">
        <v>1367</v>
      </c>
      <c r="AA435" s="688" t="s">
        <v>304</v>
      </c>
    </row>
    <row r="436" spans="1:27" s="258" customFormat="1" x14ac:dyDescent="0.25">
      <c r="A436" s="683" t="s">
        <v>1591</v>
      </c>
      <c r="B436" s="684"/>
      <c r="C436" s="684" t="s">
        <v>1616</v>
      </c>
      <c r="D436" s="684" t="s">
        <v>1609</v>
      </c>
      <c r="E436" s="684" t="s">
        <v>1612</v>
      </c>
      <c r="F436" s="684" t="s">
        <v>53</v>
      </c>
      <c r="G436" s="685" t="s">
        <v>47</v>
      </c>
      <c r="H436" s="684" t="s">
        <v>1366</v>
      </c>
      <c r="I436" s="686">
        <v>3485</v>
      </c>
      <c r="J436" s="686">
        <v>4100</v>
      </c>
      <c r="K436" s="686">
        <v>4100</v>
      </c>
      <c r="L436" s="686">
        <v>5190</v>
      </c>
      <c r="M436" s="685"/>
      <c r="N436" s="685"/>
      <c r="O436" s="685"/>
      <c r="P436" s="685"/>
      <c r="Q436" s="685"/>
      <c r="R436" s="685"/>
      <c r="S436" s="685"/>
      <c r="T436" s="685"/>
      <c r="U436" s="685"/>
      <c r="V436" s="685"/>
      <c r="W436" s="685"/>
      <c r="X436" s="687"/>
      <c r="Y436" s="687"/>
      <c r="Z436" s="685" t="s">
        <v>1367</v>
      </c>
      <c r="AA436" s="688" t="s">
        <v>304</v>
      </c>
    </row>
    <row r="437" spans="1:27" s="258" customFormat="1" x14ac:dyDescent="0.25">
      <c r="A437" s="683" t="s">
        <v>1591</v>
      </c>
      <c r="B437" s="684"/>
      <c r="C437" s="684" t="s">
        <v>1616</v>
      </c>
      <c r="D437" s="684" t="s">
        <v>1609</v>
      </c>
      <c r="E437" s="684" t="s">
        <v>1613</v>
      </c>
      <c r="F437" s="684" t="s">
        <v>53</v>
      </c>
      <c r="G437" s="685" t="s">
        <v>47</v>
      </c>
      <c r="H437" s="684" t="s">
        <v>1366</v>
      </c>
      <c r="I437" s="686">
        <v>3700</v>
      </c>
      <c r="J437" s="686">
        <v>4350</v>
      </c>
      <c r="K437" s="686">
        <v>4350</v>
      </c>
      <c r="L437" s="686">
        <v>5505</v>
      </c>
      <c r="M437" s="685"/>
      <c r="N437" s="685"/>
      <c r="O437" s="685"/>
      <c r="P437" s="685"/>
      <c r="Q437" s="685"/>
      <c r="R437" s="685"/>
      <c r="S437" s="685"/>
      <c r="T437" s="685"/>
      <c r="U437" s="685"/>
      <c r="V437" s="685"/>
      <c r="W437" s="685"/>
      <c r="X437" s="687"/>
      <c r="Y437" s="687"/>
      <c r="Z437" s="685" t="s">
        <v>1367</v>
      </c>
      <c r="AA437" s="688" t="s">
        <v>304</v>
      </c>
    </row>
    <row r="438" spans="1:27" s="258" customFormat="1" x14ac:dyDescent="0.25">
      <c r="A438" s="683" t="s">
        <v>1591</v>
      </c>
      <c r="B438" s="684"/>
      <c r="C438" s="684" t="s">
        <v>1616</v>
      </c>
      <c r="D438" s="684" t="s">
        <v>1391</v>
      </c>
      <c r="E438" s="684" t="s">
        <v>1379</v>
      </c>
      <c r="F438" s="684" t="s">
        <v>53</v>
      </c>
      <c r="G438" s="685" t="s">
        <v>47</v>
      </c>
      <c r="H438" s="684" t="s">
        <v>1366</v>
      </c>
      <c r="I438" s="686">
        <v>3740</v>
      </c>
      <c r="J438" s="686">
        <v>4400</v>
      </c>
      <c r="K438" s="686">
        <v>4400</v>
      </c>
      <c r="L438" s="686">
        <v>5570</v>
      </c>
      <c r="M438" s="685"/>
      <c r="N438" s="685"/>
      <c r="O438" s="685"/>
      <c r="P438" s="685"/>
      <c r="Q438" s="685"/>
      <c r="R438" s="685"/>
      <c r="S438" s="685"/>
      <c r="T438" s="685"/>
      <c r="U438" s="685"/>
      <c r="V438" s="685"/>
      <c r="W438" s="685"/>
      <c r="X438" s="687"/>
      <c r="Y438" s="687"/>
      <c r="Z438" s="685" t="s">
        <v>1367</v>
      </c>
      <c r="AA438" s="688" t="s">
        <v>304</v>
      </c>
    </row>
    <row r="439" spans="1:27" s="258" customFormat="1" x14ac:dyDescent="0.25">
      <c r="A439" s="683" t="s">
        <v>1591</v>
      </c>
      <c r="B439" s="684"/>
      <c r="C439" s="684" t="s">
        <v>1616</v>
      </c>
      <c r="D439" s="684" t="s">
        <v>1391</v>
      </c>
      <c r="E439" s="684" t="s">
        <v>1380</v>
      </c>
      <c r="F439" s="684" t="s">
        <v>53</v>
      </c>
      <c r="G439" s="685" t="s">
        <v>47</v>
      </c>
      <c r="H439" s="684" t="s">
        <v>1366</v>
      </c>
      <c r="I439" s="686">
        <v>3740</v>
      </c>
      <c r="J439" s="686">
        <v>4400</v>
      </c>
      <c r="K439" s="686">
        <v>4400</v>
      </c>
      <c r="L439" s="686">
        <v>5570</v>
      </c>
      <c r="M439" s="685"/>
      <c r="N439" s="685"/>
      <c r="O439" s="685"/>
      <c r="P439" s="685"/>
      <c r="Q439" s="685"/>
      <c r="R439" s="685"/>
      <c r="S439" s="685"/>
      <c r="T439" s="685"/>
      <c r="U439" s="685"/>
      <c r="V439" s="685"/>
      <c r="W439" s="685"/>
      <c r="X439" s="687"/>
      <c r="Y439" s="687"/>
      <c r="Z439" s="685" t="s">
        <v>1367</v>
      </c>
      <c r="AA439" s="688" t="s">
        <v>304</v>
      </c>
    </row>
    <row r="440" spans="1:27" s="258" customFormat="1" x14ac:dyDescent="0.25">
      <c r="A440" s="683" t="s">
        <v>1591</v>
      </c>
      <c r="B440" s="684"/>
      <c r="C440" s="684" t="s">
        <v>1616</v>
      </c>
      <c r="D440" s="684" t="s">
        <v>1608</v>
      </c>
      <c r="E440" s="684" t="s">
        <v>1382</v>
      </c>
      <c r="F440" s="684" t="s">
        <v>53</v>
      </c>
      <c r="G440" s="685" t="s">
        <v>47</v>
      </c>
      <c r="H440" s="684" t="s">
        <v>1366</v>
      </c>
      <c r="I440" s="686">
        <v>3740</v>
      </c>
      <c r="J440" s="686">
        <v>4400</v>
      </c>
      <c r="K440" s="686">
        <v>4400</v>
      </c>
      <c r="L440" s="686">
        <v>5570</v>
      </c>
      <c r="M440" s="685"/>
      <c r="N440" s="685"/>
      <c r="O440" s="685"/>
      <c r="P440" s="685"/>
      <c r="Q440" s="685"/>
      <c r="R440" s="685"/>
      <c r="S440" s="685"/>
      <c r="T440" s="685"/>
      <c r="U440" s="685"/>
      <c r="V440" s="685"/>
      <c r="W440" s="685"/>
      <c r="X440" s="687"/>
      <c r="Y440" s="687"/>
      <c r="Z440" s="685" t="s">
        <v>1367</v>
      </c>
      <c r="AA440" s="688" t="s">
        <v>304</v>
      </c>
    </row>
    <row r="441" spans="1:27" s="258" customFormat="1" x14ac:dyDescent="0.25">
      <c r="A441" s="683" t="s">
        <v>1591</v>
      </c>
      <c r="B441" s="684"/>
      <c r="C441" s="684" t="s">
        <v>1616</v>
      </c>
      <c r="D441" s="684" t="s">
        <v>1608</v>
      </c>
      <c r="E441" s="684" t="s">
        <v>1381</v>
      </c>
      <c r="F441" s="684" t="s">
        <v>53</v>
      </c>
      <c r="G441" s="685" t="s">
        <v>47</v>
      </c>
      <c r="H441" s="684" t="s">
        <v>1366</v>
      </c>
      <c r="I441" s="686">
        <v>3740</v>
      </c>
      <c r="J441" s="686">
        <v>4400</v>
      </c>
      <c r="K441" s="686">
        <v>4400</v>
      </c>
      <c r="L441" s="686">
        <v>5570</v>
      </c>
      <c r="M441" s="685"/>
      <c r="N441" s="685"/>
      <c r="O441" s="685"/>
      <c r="P441" s="685"/>
      <c r="Q441" s="685"/>
      <c r="R441" s="685"/>
      <c r="S441" s="685"/>
      <c r="T441" s="685"/>
      <c r="U441" s="685"/>
      <c r="V441" s="685"/>
      <c r="W441" s="685"/>
      <c r="X441" s="687"/>
      <c r="Y441" s="687"/>
      <c r="Z441" s="685" t="s">
        <v>1367</v>
      </c>
      <c r="AA441" s="688" t="s">
        <v>304</v>
      </c>
    </row>
    <row r="442" spans="1:27" s="258" customFormat="1" x14ac:dyDescent="0.25">
      <c r="A442" s="683" t="s">
        <v>1591</v>
      </c>
      <c r="B442" s="684"/>
      <c r="C442" s="684" t="s">
        <v>1616</v>
      </c>
      <c r="D442" s="684" t="s">
        <v>1391</v>
      </c>
      <c r="E442" s="684" t="s">
        <v>1614</v>
      </c>
      <c r="F442" s="684" t="s">
        <v>357</v>
      </c>
      <c r="G442" s="685" t="s">
        <v>47</v>
      </c>
      <c r="H442" s="684" t="s">
        <v>1366</v>
      </c>
      <c r="I442" s="686">
        <v>4080</v>
      </c>
      <c r="J442" s="686">
        <v>4800</v>
      </c>
      <c r="K442" s="686">
        <v>4800</v>
      </c>
      <c r="L442" s="686">
        <v>6075</v>
      </c>
      <c r="M442" s="685"/>
      <c r="N442" s="685"/>
      <c r="O442" s="685"/>
      <c r="P442" s="685"/>
      <c r="Q442" s="685"/>
      <c r="R442" s="685"/>
      <c r="S442" s="685"/>
      <c r="T442" s="685"/>
      <c r="U442" s="685"/>
      <c r="V442" s="685"/>
      <c r="W442" s="685"/>
      <c r="X442" s="687"/>
      <c r="Y442" s="687"/>
      <c r="Z442" s="685" t="s">
        <v>1367</v>
      </c>
      <c r="AA442" s="688" t="s">
        <v>304</v>
      </c>
    </row>
    <row r="443" spans="1:27" s="258" customFormat="1" x14ac:dyDescent="0.25">
      <c r="A443" s="683" t="s">
        <v>1591</v>
      </c>
      <c r="B443" s="684"/>
      <c r="C443" s="684" t="s">
        <v>1616</v>
      </c>
      <c r="D443" s="684" t="s">
        <v>1391</v>
      </c>
      <c r="E443" s="684" t="s">
        <v>1386</v>
      </c>
      <c r="F443" s="684" t="s">
        <v>53</v>
      </c>
      <c r="G443" s="685" t="s">
        <v>47</v>
      </c>
      <c r="H443" s="684" t="s">
        <v>1366</v>
      </c>
      <c r="I443" s="686">
        <v>4080</v>
      </c>
      <c r="J443" s="686">
        <v>4800</v>
      </c>
      <c r="K443" s="686">
        <v>4800</v>
      </c>
      <c r="L443" s="686">
        <v>6075</v>
      </c>
      <c r="M443" s="685"/>
      <c r="N443" s="685"/>
      <c r="O443" s="685"/>
      <c r="P443" s="685"/>
      <c r="Q443" s="685"/>
      <c r="R443" s="685"/>
      <c r="S443" s="685"/>
      <c r="T443" s="685"/>
      <c r="U443" s="685"/>
      <c r="V443" s="685"/>
      <c r="W443" s="685"/>
      <c r="X443" s="687"/>
      <c r="Y443" s="687"/>
      <c r="Z443" s="685" t="s">
        <v>1367</v>
      </c>
      <c r="AA443" s="688" t="s">
        <v>304</v>
      </c>
    </row>
    <row r="444" spans="1:27" s="258" customFormat="1" x14ac:dyDescent="0.25">
      <c r="A444" s="683" t="s">
        <v>1592</v>
      </c>
      <c r="B444" s="684"/>
      <c r="C444" s="684" t="s">
        <v>1606</v>
      </c>
      <c r="D444" s="684" t="s">
        <v>1617</v>
      </c>
      <c r="E444" s="684"/>
      <c r="F444" s="684" t="s">
        <v>51</v>
      </c>
      <c r="G444" s="685" t="s">
        <v>47</v>
      </c>
      <c r="H444" s="684" t="s">
        <v>1366</v>
      </c>
      <c r="I444" s="686">
        <v>2080</v>
      </c>
      <c r="J444" s="686">
        <v>2600</v>
      </c>
      <c r="K444" s="686">
        <v>2600</v>
      </c>
      <c r="L444" s="686">
        <v>3290</v>
      </c>
      <c r="M444" s="685"/>
      <c r="N444" s="685"/>
      <c r="O444" s="685"/>
      <c r="P444" s="685"/>
      <c r="Q444" s="685"/>
      <c r="R444" s="685"/>
      <c r="S444" s="685"/>
      <c r="T444" s="685"/>
      <c r="U444" s="685"/>
      <c r="V444" s="685"/>
      <c r="W444" s="685"/>
      <c r="X444" s="687"/>
      <c r="Y444" s="687"/>
      <c r="Z444" s="685" t="s">
        <v>1367</v>
      </c>
      <c r="AA444" s="688" t="s">
        <v>304</v>
      </c>
    </row>
    <row r="445" spans="1:27" s="258" customFormat="1" x14ac:dyDescent="0.25">
      <c r="A445" s="683" t="s">
        <v>1592</v>
      </c>
      <c r="B445" s="684"/>
      <c r="C445" s="684" t="s">
        <v>1606</v>
      </c>
      <c r="D445" s="684" t="s">
        <v>1597</v>
      </c>
      <c r="E445" s="684"/>
      <c r="F445" s="684" t="s">
        <v>51</v>
      </c>
      <c r="G445" s="685" t="s">
        <v>47</v>
      </c>
      <c r="H445" s="684" t="s">
        <v>1366</v>
      </c>
      <c r="I445" s="686">
        <v>2080</v>
      </c>
      <c r="J445" s="686">
        <v>2600</v>
      </c>
      <c r="K445" s="686">
        <v>2600</v>
      </c>
      <c r="L445" s="686">
        <v>3290</v>
      </c>
      <c r="M445" s="685"/>
      <c r="N445" s="685"/>
      <c r="O445" s="685"/>
      <c r="P445" s="685"/>
      <c r="Q445" s="685"/>
      <c r="R445" s="685"/>
      <c r="S445" s="685"/>
      <c r="T445" s="685"/>
      <c r="U445" s="685"/>
      <c r="V445" s="685"/>
      <c r="W445" s="685"/>
      <c r="X445" s="687"/>
      <c r="Y445" s="687"/>
      <c r="Z445" s="685" t="s">
        <v>1367</v>
      </c>
      <c r="AA445" s="688" t="s">
        <v>304</v>
      </c>
    </row>
    <row r="446" spans="1:27" s="258" customFormat="1" x14ac:dyDescent="0.25">
      <c r="A446" s="683" t="s">
        <v>1592</v>
      </c>
      <c r="B446" s="684"/>
      <c r="C446" s="684" t="s">
        <v>1606</v>
      </c>
      <c r="D446" s="684" t="s">
        <v>1377</v>
      </c>
      <c r="E446" s="684" t="s">
        <v>1373</v>
      </c>
      <c r="F446" s="684" t="s">
        <v>53</v>
      </c>
      <c r="G446" s="685" t="s">
        <v>47</v>
      </c>
      <c r="H446" s="684" t="s">
        <v>1366</v>
      </c>
      <c r="I446" s="686">
        <v>3040</v>
      </c>
      <c r="J446" s="686">
        <v>3800</v>
      </c>
      <c r="K446" s="686">
        <v>3800</v>
      </c>
      <c r="L446" s="686">
        <v>4810</v>
      </c>
      <c r="M446" s="685"/>
      <c r="N446" s="685"/>
      <c r="O446" s="685"/>
      <c r="P446" s="685"/>
      <c r="Q446" s="685"/>
      <c r="R446" s="685"/>
      <c r="S446" s="685"/>
      <c r="T446" s="685"/>
      <c r="U446" s="685"/>
      <c r="V446" s="685"/>
      <c r="W446" s="685"/>
      <c r="X446" s="687"/>
      <c r="Y446" s="687"/>
      <c r="Z446" s="685" t="s">
        <v>1367</v>
      </c>
      <c r="AA446" s="688" t="s">
        <v>304</v>
      </c>
    </row>
    <row r="447" spans="1:27" s="258" customFormat="1" x14ac:dyDescent="0.25">
      <c r="A447" s="683" t="s">
        <v>1592</v>
      </c>
      <c r="B447" s="684"/>
      <c r="C447" s="684" t="s">
        <v>1606</v>
      </c>
      <c r="D447" s="684" t="s">
        <v>1377</v>
      </c>
      <c r="E447" s="684" t="s">
        <v>1374</v>
      </c>
      <c r="F447" s="684" t="s">
        <v>53</v>
      </c>
      <c r="G447" s="685" t="s">
        <v>47</v>
      </c>
      <c r="H447" s="684" t="s">
        <v>1366</v>
      </c>
      <c r="I447" s="686">
        <v>3680</v>
      </c>
      <c r="J447" s="686">
        <v>4600</v>
      </c>
      <c r="K447" s="686">
        <v>4600</v>
      </c>
      <c r="L447" s="686">
        <v>5825</v>
      </c>
      <c r="M447" s="685"/>
      <c r="N447" s="685"/>
      <c r="O447" s="685"/>
      <c r="P447" s="685"/>
      <c r="Q447" s="685"/>
      <c r="R447" s="685"/>
      <c r="S447" s="685"/>
      <c r="T447" s="685"/>
      <c r="U447" s="685"/>
      <c r="V447" s="685"/>
      <c r="W447" s="685"/>
      <c r="X447" s="687"/>
      <c r="Y447" s="687"/>
      <c r="Z447" s="685" t="s">
        <v>1367</v>
      </c>
      <c r="AA447" s="688" t="s">
        <v>304</v>
      </c>
    </row>
    <row r="448" spans="1:27" s="258" customFormat="1" x14ac:dyDescent="0.25">
      <c r="A448" s="683" t="s">
        <v>1592</v>
      </c>
      <c r="B448" s="684"/>
      <c r="C448" s="684" t="s">
        <v>1606</v>
      </c>
      <c r="D448" s="684" t="s">
        <v>1618</v>
      </c>
      <c r="E448" s="684" t="s">
        <v>1382</v>
      </c>
      <c r="F448" s="684" t="s">
        <v>53</v>
      </c>
      <c r="G448" s="685" t="s">
        <v>47</v>
      </c>
      <c r="H448" s="684" t="s">
        <v>1366</v>
      </c>
      <c r="I448" s="686">
        <v>3280</v>
      </c>
      <c r="J448" s="686">
        <v>4100</v>
      </c>
      <c r="K448" s="686">
        <v>4100</v>
      </c>
      <c r="L448" s="686">
        <v>5190</v>
      </c>
      <c r="M448" s="685"/>
      <c r="N448" s="685"/>
      <c r="O448" s="685"/>
      <c r="P448" s="685"/>
      <c r="Q448" s="685"/>
      <c r="R448" s="685"/>
      <c r="S448" s="685"/>
      <c r="T448" s="685"/>
      <c r="U448" s="685"/>
      <c r="V448" s="685"/>
      <c r="W448" s="685"/>
      <c r="X448" s="687"/>
      <c r="Y448" s="687"/>
      <c r="Z448" s="685" t="s">
        <v>1367</v>
      </c>
      <c r="AA448" s="688" t="s">
        <v>304</v>
      </c>
    </row>
    <row r="449" spans="1:27" s="258" customFormat="1" x14ac:dyDescent="0.25">
      <c r="A449" s="683" t="s">
        <v>1592</v>
      </c>
      <c r="B449" s="684"/>
      <c r="C449" s="684" t="s">
        <v>1398</v>
      </c>
      <c r="D449" s="684" t="s">
        <v>1617</v>
      </c>
      <c r="E449" s="684"/>
      <c r="F449" s="684" t="s">
        <v>51</v>
      </c>
      <c r="G449" s="685" t="s">
        <v>47</v>
      </c>
      <c r="H449" s="684" t="s">
        <v>1366</v>
      </c>
      <c r="I449" s="686">
        <v>2160</v>
      </c>
      <c r="J449" s="686">
        <v>2700</v>
      </c>
      <c r="K449" s="686">
        <v>2700</v>
      </c>
      <c r="L449" s="686">
        <v>3420</v>
      </c>
      <c r="M449" s="685"/>
      <c r="N449" s="685"/>
      <c r="O449" s="685"/>
      <c r="P449" s="685"/>
      <c r="Q449" s="685"/>
      <c r="R449" s="685"/>
      <c r="S449" s="685"/>
      <c r="T449" s="685"/>
      <c r="U449" s="685"/>
      <c r="V449" s="685"/>
      <c r="W449" s="685"/>
      <c r="X449" s="687"/>
      <c r="Y449" s="687"/>
      <c r="Z449" s="685" t="s">
        <v>1367</v>
      </c>
      <c r="AA449" s="688" t="s">
        <v>304</v>
      </c>
    </row>
    <row r="450" spans="1:27" s="258" customFormat="1" x14ac:dyDescent="0.25">
      <c r="A450" s="683" t="s">
        <v>1592</v>
      </c>
      <c r="B450" s="684"/>
      <c r="C450" s="684" t="s">
        <v>1398</v>
      </c>
      <c r="D450" s="684" t="s">
        <v>1597</v>
      </c>
      <c r="E450" s="684"/>
      <c r="F450" s="684" t="s">
        <v>51</v>
      </c>
      <c r="G450" s="685" t="s">
        <v>47</v>
      </c>
      <c r="H450" s="684" t="s">
        <v>1366</v>
      </c>
      <c r="I450" s="686">
        <v>2160</v>
      </c>
      <c r="J450" s="686">
        <v>2700</v>
      </c>
      <c r="K450" s="686">
        <v>2700</v>
      </c>
      <c r="L450" s="686">
        <v>3420</v>
      </c>
      <c r="M450" s="685"/>
      <c r="N450" s="685"/>
      <c r="O450" s="685"/>
      <c r="P450" s="685"/>
      <c r="Q450" s="685"/>
      <c r="R450" s="685"/>
      <c r="S450" s="685"/>
      <c r="T450" s="685"/>
      <c r="U450" s="685"/>
      <c r="V450" s="685"/>
      <c r="W450" s="685"/>
      <c r="X450" s="687"/>
      <c r="Y450" s="687"/>
      <c r="Z450" s="685" t="s">
        <v>1367</v>
      </c>
      <c r="AA450" s="688" t="s">
        <v>304</v>
      </c>
    </row>
    <row r="451" spans="1:27" s="258" customFormat="1" x14ac:dyDescent="0.25">
      <c r="A451" s="683" t="s">
        <v>1592</v>
      </c>
      <c r="B451" s="684"/>
      <c r="C451" s="684" t="s">
        <v>1398</v>
      </c>
      <c r="D451" s="684" t="s">
        <v>1377</v>
      </c>
      <c r="E451" s="684" t="s">
        <v>1373</v>
      </c>
      <c r="F451" s="684" t="s">
        <v>53</v>
      </c>
      <c r="G451" s="685" t="s">
        <v>47</v>
      </c>
      <c r="H451" s="684" t="s">
        <v>1366</v>
      </c>
      <c r="I451" s="686">
        <v>3120</v>
      </c>
      <c r="J451" s="686">
        <v>3900</v>
      </c>
      <c r="K451" s="686">
        <v>3900</v>
      </c>
      <c r="L451" s="686">
        <v>4935</v>
      </c>
      <c r="M451" s="685"/>
      <c r="N451" s="685"/>
      <c r="O451" s="685"/>
      <c r="P451" s="685"/>
      <c r="Q451" s="685"/>
      <c r="R451" s="685"/>
      <c r="S451" s="685"/>
      <c r="T451" s="685"/>
      <c r="U451" s="685"/>
      <c r="V451" s="685"/>
      <c r="W451" s="685"/>
      <c r="X451" s="687"/>
      <c r="Y451" s="687"/>
      <c r="Z451" s="685" t="s">
        <v>1367</v>
      </c>
      <c r="AA451" s="688" t="s">
        <v>304</v>
      </c>
    </row>
    <row r="452" spans="1:27" s="258" customFormat="1" x14ac:dyDescent="0.25">
      <c r="A452" s="683" t="s">
        <v>1592</v>
      </c>
      <c r="B452" s="684"/>
      <c r="C452" s="684" t="s">
        <v>1398</v>
      </c>
      <c r="D452" s="684" t="s">
        <v>1377</v>
      </c>
      <c r="E452" s="684" t="s">
        <v>1374</v>
      </c>
      <c r="F452" s="684" t="s">
        <v>53</v>
      </c>
      <c r="G452" s="685" t="s">
        <v>47</v>
      </c>
      <c r="H452" s="684" t="s">
        <v>1366</v>
      </c>
      <c r="I452" s="686">
        <v>3760</v>
      </c>
      <c r="J452" s="686">
        <v>4700</v>
      </c>
      <c r="K452" s="686">
        <v>4700</v>
      </c>
      <c r="L452" s="686">
        <v>5950</v>
      </c>
      <c r="M452" s="685"/>
      <c r="N452" s="685"/>
      <c r="O452" s="685"/>
      <c r="P452" s="685"/>
      <c r="Q452" s="685"/>
      <c r="R452" s="685"/>
      <c r="S452" s="685"/>
      <c r="T452" s="685"/>
      <c r="U452" s="685"/>
      <c r="V452" s="685"/>
      <c r="W452" s="685"/>
      <c r="X452" s="687"/>
      <c r="Y452" s="687"/>
      <c r="Z452" s="685" t="s">
        <v>1367</v>
      </c>
      <c r="AA452" s="688" t="s">
        <v>304</v>
      </c>
    </row>
    <row r="453" spans="1:27" s="258" customFormat="1" x14ac:dyDescent="0.25">
      <c r="A453" s="683" t="s">
        <v>1592</v>
      </c>
      <c r="B453" s="684"/>
      <c r="C453" s="684" t="s">
        <v>1398</v>
      </c>
      <c r="D453" s="684" t="s">
        <v>1618</v>
      </c>
      <c r="E453" s="684" t="s">
        <v>1382</v>
      </c>
      <c r="F453" s="684" t="s">
        <v>53</v>
      </c>
      <c r="G453" s="685" t="s">
        <v>47</v>
      </c>
      <c r="H453" s="684" t="s">
        <v>1366</v>
      </c>
      <c r="I453" s="686">
        <v>3360</v>
      </c>
      <c r="J453" s="686">
        <v>4200</v>
      </c>
      <c r="K453" s="686">
        <v>4200</v>
      </c>
      <c r="L453" s="686">
        <v>5315</v>
      </c>
      <c r="M453" s="685"/>
      <c r="N453" s="685"/>
      <c r="O453" s="685"/>
      <c r="P453" s="685"/>
      <c r="Q453" s="685"/>
      <c r="R453" s="685"/>
      <c r="S453" s="685"/>
      <c r="T453" s="685"/>
      <c r="U453" s="685"/>
      <c r="V453" s="685"/>
      <c r="W453" s="685"/>
      <c r="X453" s="687"/>
      <c r="Y453" s="687"/>
      <c r="Z453" s="685" t="s">
        <v>1367</v>
      </c>
      <c r="AA453" s="688" t="s">
        <v>304</v>
      </c>
    </row>
    <row r="454" spans="1:27" s="258" customFormat="1" x14ac:dyDescent="0.25">
      <c r="A454" s="683" t="s">
        <v>1592</v>
      </c>
      <c r="B454" s="684"/>
      <c r="C454" s="684" t="s">
        <v>1392</v>
      </c>
      <c r="D454" s="684" t="s">
        <v>1617</v>
      </c>
      <c r="E454" s="684"/>
      <c r="F454" s="684" t="s">
        <v>51</v>
      </c>
      <c r="G454" s="685" t="s">
        <v>47</v>
      </c>
      <c r="H454" s="684" t="s">
        <v>1366</v>
      </c>
      <c r="I454" s="686">
        <v>2080</v>
      </c>
      <c r="J454" s="686">
        <v>2600</v>
      </c>
      <c r="K454" s="686">
        <v>2600</v>
      </c>
      <c r="L454" s="686">
        <v>3290</v>
      </c>
      <c r="M454" s="685"/>
      <c r="N454" s="685"/>
      <c r="O454" s="685"/>
      <c r="P454" s="685"/>
      <c r="Q454" s="685"/>
      <c r="R454" s="685"/>
      <c r="S454" s="685"/>
      <c r="T454" s="685"/>
      <c r="U454" s="685"/>
      <c r="V454" s="685"/>
      <c r="W454" s="685"/>
      <c r="X454" s="687"/>
      <c r="Y454" s="687"/>
      <c r="Z454" s="685" t="s">
        <v>1367</v>
      </c>
      <c r="AA454" s="688" t="s">
        <v>304</v>
      </c>
    </row>
    <row r="455" spans="1:27" s="258" customFormat="1" x14ac:dyDescent="0.25">
      <c r="A455" s="683" t="s">
        <v>1592</v>
      </c>
      <c r="B455" s="684"/>
      <c r="C455" s="684" t="s">
        <v>1392</v>
      </c>
      <c r="D455" s="684" t="s">
        <v>1597</v>
      </c>
      <c r="E455" s="684"/>
      <c r="F455" s="684" t="s">
        <v>51</v>
      </c>
      <c r="G455" s="685" t="s">
        <v>47</v>
      </c>
      <c r="H455" s="684" t="s">
        <v>1366</v>
      </c>
      <c r="I455" s="686">
        <v>2080</v>
      </c>
      <c r="J455" s="686">
        <v>2600</v>
      </c>
      <c r="K455" s="686">
        <v>2600</v>
      </c>
      <c r="L455" s="686">
        <v>3290</v>
      </c>
      <c r="M455" s="685"/>
      <c r="N455" s="685"/>
      <c r="O455" s="685"/>
      <c r="P455" s="685"/>
      <c r="Q455" s="685"/>
      <c r="R455" s="685"/>
      <c r="S455" s="685"/>
      <c r="T455" s="685"/>
      <c r="U455" s="685"/>
      <c r="V455" s="685"/>
      <c r="W455" s="685"/>
      <c r="X455" s="687"/>
      <c r="Y455" s="687"/>
      <c r="Z455" s="685" t="s">
        <v>1367</v>
      </c>
      <c r="AA455" s="688" t="s">
        <v>304</v>
      </c>
    </row>
    <row r="456" spans="1:27" s="258" customFormat="1" x14ac:dyDescent="0.25">
      <c r="A456" s="683" t="s">
        <v>1592</v>
      </c>
      <c r="B456" s="684"/>
      <c r="C456" s="684" t="s">
        <v>1392</v>
      </c>
      <c r="D456" s="684" t="s">
        <v>1377</v>
      </c>
      <c r="E456" s="684" t="s">
        <v>1373</v>
      </c>
      <c r="F456" s="684" t="s">
        <v>53</v>
      </c>
      <c r="G456" s="685" t="s">
        <v>47</v>
      </c>
      <c r="H456" s="684" t="s">
        <v>1366</v>
      </c>
      <c r="I456" s="686">
        <v>3040</v>
      </c>
      <c r="J456" s="686">
        <v>3800</v>
      </c>
      <c r="K456" s="686">
        <v>3800</v>
      </c>
      <c r="L456" s="686">
        <v>4810</v>
      </c>
      <c r="M456" s="685"/>
      <c r="N456" s="685"/>
      <c r="O456" s="685"/>
      <c r="P456" s="685"/>
      <c r="Q456" s="685"/>
      <c r="R456" s="685"/>
      <c r="S456" s="685"/>
      <c r="T456" s="685"/>
      <c r="U456" s="685"/>
      <c r="V456" s="685"/>
      <c r="W456" s="685"/>
      <c r="X456" s="687"/>
      <c r="Y456" s="687"/>
      <c r="Z456" s="685" t="s">
        <v>1367</v>
      </c>
      <c r="AA456" s="688" t="s">
        <v>304</v>
      </c>
    </row>
    <row r="457" spans="1:27" s="258" customFormat="1" x14ac:dyDescent="0.25">
      <c r="A457" s="683" t="s">
        <v>1592</v>
      </c>
      <c r="B457" s="684"/>
      <c r="C457" s="684" t="s">
        <v>1392</v>
      </c>
      <c r="D457" s="684" t="s">
        <v>1377</v>
      </c>
      <c r="E457" s="684" t="s">
        <v>1374</v>
      </c>
      <c r="F457" s="684" t="s">
        <v>53</v>
      </c>
      <c r="G457" s="685" t="s">
        <v>47</v>
      </c>
      <c r="H457" s="684" t="s">
        <v>1366</v>
      </c>
      <c r="I457" s="686">
        <v>3680</v>
      </c>
      <c r="J457" s="686">
        <v>4600</v>
      </c>
      <c r="K457" s="686">
        <v>4600</v>
      </c>
      <c r="L457" s="686">
        <v>5825</v>
      </c>
      <c r="M457" s="685"/>
      <c r="N457" s="685"/>
      <c r="O457" s="685"/>
      <c r="P457" s="685"/>
      <c r="Q457" s="685"/>
      <c r="R457" s="685"/>
      <c r="S457" s="685"/>
      <c r="T457" s="685"/>
      <c r="U457" s="685"/>
      <c r="V457" s="685"/>
      <c r="W457" s="685"/>
      <c r="X457" s="687"/>
      <c r="Y457" s="687"/>
      <c r="Z457" s="685" t="s">
        <v>1367</v>
      </c>
      <c r="AA457" s="688" t="s">
        <v>304</v>
      </c>
    </row>
    <row r="458" spans="1:27" s="258" customFormat="1" x14ac:dyDescent="0.25">
      <c r="A458" s="683" t="s">
        <v>1592</v>
      </c>
      <c r="B458" s="684"/>
      <c r="C458" s="684" t="s">
        <v>1392</v>
      </c>
      <c r="D458" s="684" t="s">
        <v>1618</v>
      </c>
      <c r="E458" s="684" t="s">
        <v>1382</v>
      </c>
      <c r="F458" s="684" t="s">
        <v>53</v>
      </c>
      <c r="G458" s="685" t="s">
        <v>47</v>
      </c>
      <c r="H458" s="684" t="s">
        <v>1366</v>
      </c>
      <c r="I458" s="686">
        <v>3280</v>
      </c>
      <c r="J458" s="686">
        <v>4100</v>
      </c>
      <c r="K458" s="686">
        <v>4100</v>
      </c>
      <c r="L458" s="686">
        <v>5190</v>
      </c>
      <c r="M458" s="685"/>
      <c r="N458" s="685"/>
      <c r="O458" s="685"/>
      <c r="P458" s="685"/>
      <c r="Q458" s="685"/>
      <c r="R458" s="685"/>
      <c r="S458" s="685"/>
      <c r="T458" s="685"/>
      <c r="U458" s="685"/>
      <c r="V458" s="685"/>
      <c r="W458" s="685"/>
      <c r="X458" s="687"/>
      <c r="Y458" s="687"/>
      <c r="Z458" s="685" t="s">
        <v>1367</v>
      </c>
      <c r="AA458" s="688" t="s">
        <v>304</v>
      </c>
    </row>
    <row r="459" spans="1:27" s="258" customFormat="1" x14ac:dyDescent="0.25">
      <c r="A459" s="683" t="s">
        <v>1592</v>
      </c>
      <c r="B459" s="684"/>
      <c r="C459" s="684" t="s">
        <v>1595</v>
      </c>
      <c r="D459" s="684" t="s">
        <v>1617</v>
      </c>
      <c r="E459" s="684"/>
      <c r="F459" s="684" t="s">
        <v>51</v>
      </c>
      <c r="G459" s="685" t="s">
        <v>47</v>
      </c>
      <c r="H459" s="684" t="s">
        <v>1366</v>
      </c>
      <c r="I459" s="686">
        <v>2080</v>
      </c>
      <c r="J459" s="686">
        <v>2600</v>
      </c>
      <c r="K459" s="686">
        <v>2600</v>
      </c>
      <c r="L459" s="686">
        <v>3290</v>
      </c>
      <c r="M459" s="685"/>
      <c r="N459" s="685"/>
      <c r="O459" s="685"/>
      <c r="P459" s="685"/>
      <c r="Q459" s="685"/>
      <c r="R459" s="685"/>
      <c r="S459" s="685"/>
      <c r="T459" s="685"/>
      <c r="U459" s="685"/>
      <c r="V459" s="685"/>
      <c r="W459" s="685"/>
      <c r="X459" s="687"/>
      <c r="Y459" s="687"/>
      <c r="Z459" s="685" t="s">
        <v>1367</v>
      </c>
      <c r="AA459" s="688" t="s">
        <v>304</v>
      </c>
    </row>
    <row r="460" spans="1:27" s="258" customFormat="1" x14ac:dyDescent="0.25">
      <c r="A460" s="683" t="s">
        <v>1592</v>
      </c>
      <c r="B460" s="684"/>
      <c r="C460" s="684" t="s">
        <v>1595</v>
      </c>
      <c r="D460" s="684" t="s">
        <v>1597</v>
      </c>
      <c r="E460" s="684"/>
      <c r="F460" s="684" t="s">
        <v>51</v>
      </c>
      <c r="G460" s="685" t="s">
        <v>47</v>
      </c>
      <c r="H460" s="684" t="s">
        <v>1366</v>
      </c>
      <c r="I460" s="686">
        <v>2080</v>
      </c>
      <c r="J460" s="686">
        <v>2600</v>
      </c>
      <c r="K460" s="686">
        <v>2600</v>
      </c>
      <c r="L460" s="686">
        <v>3290</v>
      </c>
      <c r="M460" s="685"/>
      <c r="N460" s="685"/>
      <c r="O460" s="685"/>
      <c r="P460" s="685"/>
      <c r="Q460" s="685"/>
      <c r="R460" s="685"/>
      <c r="S460" s="685"/>
      <c r="T460" s="685"/>
      <c r="U460" s="685"/>
      <c r="V460" s="685"/>
      <c r="W460" s="685"/>
      <c r="X460" s="687"/>
      <c r="Y460" s="687"/>
      <c r="Z460" s="685" t="s">
        <v>1367</v>
      </c>
      <c r="AA460" s="688" t="s">
        <v>304</v>
      </c>
    </row>
    <row r="461" spans="1:27" s="258" customFormat="1" x14ac:dyDescent="0.25">
      <c r="A461" s="683" t="s">
        <v>1592</v>
      </c>
      <c r="B461" s="684"/>
      <c r="C461" s="684" t="s">
        <v>1595</v>
      </c>
      <c r="D461" s="684" t="s">
        <v>1377</v>
      </c>
      <c r="E461" s="684" t="s">
        <v>1373</v>
      </c>
      <c r="F461" s="684" t="s">
        <v>53</v>
      </c>
      <c r="G461" s="685" t="s">
        <v>47</v>
      </c>
      <c r="H461" s="684" t="s">
        <v>1366</v>
      </c>
      <c r="I461" s="686">
        <v>3040</v>
      </c>
      <c r="J461" s="686">
        <v>3800</v>
      </c>
      <c r="K461" s="686">
        <v>3800</v>
      </c>
      <c r="L461" s="686">
        <v>4810</v>
      </c>
      <c r="M461" s="685"/>
      <c r="N461" s="685"/>
      <c r="O461" s="685"/>
      <c r="P461" s="685"/>
      <c r="Q461" s="685"/>
      <c r="R461" s="685"/>
      <c r="S461" s="685"/>
      <c r="T461" s="685"/>
      <c r="U461" s="685"/>
      <c r="V461" s="685"/>
      <c r="W461" s="685"/>
      <c r="X461" s="687"/>
      <c r="Y461" s="687"/>
      <c r="Z461" s="685" t="s">
        <v>1367</v>
      </c>
      <c r="AA461" s="688" t="s">
        <v>304</v>
      </c>
    </row>
    <row r="462" spans="1:27" s="258" customFormat="1" x14ac:dyDescent="0.25">
      <c r="A462" s="683" t="s">
        <v>1592</v>
      </c>
      <c r="B462" s="684"/>
      <c r="C462" s="684" t="s">
        <v>1595</v>
      </c>
      <c r="D462" s="684" t="s">
        <v>1377</v>
      </c>
      <c r="E462" s="684" t="s">
        <v>1374</v>
      </c>
      <c r="F462" s="684" t="s">
        <v>53</v>
      </c>
      <c r="G462" s="685" t="s">
        <v>47</v>
      </c>
      <c r="H462" s="684" t="s">
        <v>1366</v>
      </c>
      <c r="I462" s="686">
        <v>3680</v>
      </c>
      <c r="J462" s="686">
        <v>4600</v>
      </c>
      <c r="K462" s="686">
        <v>4600</v>
      </c>
      <c r="L462" s="686">
        <v>5825</v>
      </c>
      <c r="M462" s="685"/>
      <c r="N462" s="685"/>
      <c r="O462" s="685"/>
      <c r="P462" s="685"/>
      <c r="Q462" s="685"/>
      <c r="R462" s="685"/>
      <c r="S462" s="685"/>
      <c r="T462" s="685"/>
      <c r="U462" s="685"/>
      <c r="V462" s="685"/>
      <c r="W462" s="685"/>
      <c r="X462" s="687"/>
      <c r="Y462" s="687"/>
      <c r="Z462" s="685" t="s">
        <v>1367</v>
      </c>
      <c r="AA462" s="688" t="s">
        <v>304</v>
      </c>
    </row>
    <row r="463" spans="1:27" s="258" customFormat="1" x14ac:dyDescent="0.25">
      <c r="A463" s="683" t="s">
        <v>1592</v>
      </c>
      <c r="B463" s="684"/>
      <c r="C463" s="684" t="s">
        <v>1595</v>
      </c>
      <c r="D463" s="684" t="s">
        <v>1618</v>
      </c>
      <c r="E463" s="684" t="s">
        <v>1382</v>
      </c>
      <c r="F463" s="684" t="s">
        <v>53</v>
      </c>
      <c r="G463" s="685" t="s">
        <v>47</v>
      </c>
      <c r="H463" s="684" t="s">
        <v>1366</v>
      </c>
      <c r="I463" s="686">
        <v>3280</v>
      </c>
      <c r="J463" s="686">
        <v>4100</v>
      </c>
      <c r="K463" s="686">
        <v>4100</v>
      </c>
      <c r="L463" s="686">
        <v>5190</v>
      </c>
      <c r="M463" s="685"/>
      <c r="N463" s="685"/>
      <c r="O463" s="685"/>
      <c r="P463" s="685"/>
      <c r="Q463" s="685"/>
      <c r="R463" s="685"/>
      <c r="S463" s="685"/>
      <c r="T463" s="685"/>
      <c r="U463" s="685"/>
      <c r="V463" s="685"/>
      <c r="W463" s="685"/>
      <c r="X463" s="687"/>
      <c r="Y463" s="687"/>
      <c r="Z463" s="685" t="s">
        <v>1367</v>
      </c>
      <c r="AA463" s="688" t="s">
        <v>304</v>
      </c>
    </row>
    <row r="464" spans="1:27" s="258" customFormat="1" x14ac:dyDescent="0.25">
      <c r="A464" s="683" t="s">
        <v>1592</v>
      </c>
      <c r="B464" s="684"/>
      <c r="C464" s="684" t="s">
        <v>1400</v>
      </c>
      <c r="D464" s="684" t="s">
        <v>1617</v>
      </c>
      <c r="E464" s="684"/>
      <c r="F464" s="684" t="s">
        <v>51</v>
      </c>
      <c r="G464" s="685" t="s">
        <v>47</v>
      </c>
      <c r="H464" s="684" t="s">
        <v>1366</v>
      </c>
      <c r="I464" s="686">
        <v>2200</v>
      </c>
      <c r="J464" s="686">
        <v>2750</v>
      </c>
      <c r="K464" s="686">
        <v>2750</v>
      </c>
      <c r="L464" s="686">
        <v>3480</v>
      </c>
      <c r="M464" s="685"/>
      <c r="N464" s="685"/>
      <c r="O464" s="685"/>
      <c r="P464" s="685"/>
      <c r="Q464" s="685"/>
      <c r="R464" s="685"/>
      <c r="S464" s="685"/>
      <c r="T464" s="685"/>
      <c r="U464" s="685"/>
      <c r="V464" s="685"/>
      <c r="W464" s="685"/>
      <c r="X464" s="687"/>
      <c r="Y464" s="687"/>
      <c r="Z464" s="685" t="s">
        <v>1367</v>
      </c>
      <c r="AA464" s="688" t="s">
        <v>304</v>
      </c>
    </row>
    <row r="465" spans="1:27" s="258" customFormat="1" x14ac:dyDescent="0.25">
      <c r="A465" s="683" t="s">
        <v>1592</v>
      </c>
      <c r="B465" s="684"/>
      <c r="C465" s="684" t="s">
        <v>1400</v>
      </c>
      <c r="D465" s="684" t="s">
        <v>1597</v>
      </c>
      <c r="E465" s="684"/>
      <c r="F465" s="684" t="s">
        <v>51</v>
      </c>
      <c r="G465" s="685" t="s">
        <v>47</v>
      </c>
      <c r="H465" s="684" t="s">
        <v>1366</v>
      </c>
      <c r="I465" s="686">
        <v>2200</v>
      </c>
      <c r="J465" s="686">
        <v>2750</v>
      </c>
      <c r="K465" s="686">
        <v>2750</v>
      </c>
      <c r="L465" s="686">
        <v>3480</v>
      </c>
      <c r="M465" s="685"/>
      <c r="N465" s="685"/>
      <c r="O465" s="685"/>
      <c r="P465" s="685"/>
      <c r="Q465" s="685"/>
      <c r="R465" s="685"/>
      <c r="S465" s="685"/>
      <c r="T465" s="685"/>
      <c r="U465" s="685"/>
      <c r="V465" s="685"/>
      <c r="W465" s="685"/>
      <c r="X465" s="687"/>
      <c r="Y465" s="687"/>
      <c r="Z465" s="685" t="s">
        <v>1367</v>
      </c>
      <c r="AA465" s="688" t="s">
        <v>304</v>
      </c>
    </row>
    <row r="466" spans="1:27" s="258" customFormat="1" x14ac:dyDescent="0.25">
      <c r="A466" s="683" t="s">
        <v>1592</v>
      </c>
      <c r="B466" s="684"/>
      <c r="C466" s="684" t="s">
        <v>1400</v>
      </c>
      <c r="D466" s="684" t="s">
        <v>1377</v>
      </c>
      <c r="E466" s="684" t="s">
        <v>1373</v>
      </c>
      <c r="F466" s="684" t="s">
        <v>53</v>
      </c>
      <c r="G466" s="685" t="s">
        <v>47</v>
      </c>
      <c r="H466" s="684" t="s">
        <v>1366</v>
      </c>
      <c r="I466" s="686">
        <v>3160</v>
      </c>
      <c r="J466" s="686">
        <v>3950</v>
      </c>
      <c r="K466" s="686">
        <v>3950</v>
      </c>
      <c r="L466" s="686">
        <v>5000</v>
      </c>
      <c r="M466" s="685"/>
      <c r="N466" s="685"/>
      <c r="O466" s="685"/>
      <c r="P466" s="685"/>
      <c r="Q466" s="685"/>
      <c r="R466" s="685"/>
      <c r="S466" s="685"/>
      <c r="T466" s="685"/>
      <c r="U466" s="685"/>
      <c r="V466" s="685"/>
      <c r="W466" s="685"/>
      <c r="X466" s="687"/>
      <c r="Y466" s="687"/>
      <c r="Z466" s="685" t="s">
        <v>1367</v>
      </c>
      <c r="AA466" s="688" t="s">
        <v>304</v>
      </c>
    </row>
    <row r="467" spans="1:27" s="258" customFormat="1" x14ac:dyDescent="0.25">
      <c r="A467" s="683" t="s">
        <v>1592</v>
      </c>
      <c r="B467" s="684"/>
      <c r="C467" s="684" t="s">
        <v>1400</v>
      </c>
      <c r="D467" s="684" t="s">
        <v>1377</v>
      </c>
      <c r="E467" s="684" t="s">
        <v>1374</v>
      </c>
      <c r="F467" s="684" t="s">
        <v>53</v>
      </c>
      <c r="G467" s="685" t="s">
        <v>47</v>
      </c>
      <c r="H467" s="684" t="s">
        <v>1366</v>
      </c>
      <c r="I467" s="686">
        <v>3800</v>
      </c>
      <c r="J467" s="686">
        <v>4750</v>
      </c>
      <c r="K467" s="686">
        <v>4750</v>
      </c>
      <c r="L467" s="686">
        <v>6015</v>
      </c>
      <c r="M467" s="685"/>
      <c r="N467" s="685"/>
      <c r="O467" s="685"/>
      <c r="P467" s="685"/>
      <c r="Q467" s="685"/>
      <c r="R467" s="685"/>
      <c r="S467" s="685"/>
      <c r="T467" s="685"/>
      <c r="U467" s="685"/>
      <c r="V467" s="685"/>
      <c r="W467" s="685"/>
      <c r="X467" s="687"/>
      <c r="Y467" s="687"/>
      <c r="Z467" s="685" t="s">
        <v>1367</v>
      </c>
      <c r="AA467" s="688" t="s">
        <v>304</v>
      </c>
    </row>
    <row r="468" spans="1:27" s="258" customFormat="1" x14ac:dyDescent="0.25">
      <c r="A468" s="683" t="s">
        <v>1592</v>
      </c>
      <c r="B468" s="684"/>
      <c r="C468" s="684" t="s">
        <v>1400</v>
      </c>
      <c r="D468" s="684" t="s">
        <v>1618</v>
      </c>
      <c r="E468" s="684" t="s">
        <v>1382</v>
      </c>
      <c r="F468" s="684" t="s">
        <v>53</v>
      </c>
      <c r="G468" s="685" t="s">
        <v>47</v>
      </c>
      <c r="H468" s="684" t="s">
        <v>1366</v>
      </c>
      <c r="I468" s="686">
        <v>3400</v>
      </c>
      <c r="J468" s="686">
        <v>4250</v>
      </c>
      <c r="K468" s="686">
        <v>4250</v>
      </c>
      <c r="L468" s="686">
        <v>5380</v>
      </c>
      <c r="M468" s="685"/>
      <c r="N468" s="685"/>
      <c r="O468" s="685"/>
      <c r="P468" s="685"/>
      <c r="Q468" s="685"/>
      <c r="R468" s="685"/>
      <c r="S468" s="685"/>
      <c r="T468" s="685"/>
      <c r="U468" s="685"/>
      <c r="V468" s="685"/>
      <c r="W468" s="685"/>
      <c r="X468" s="687"/>
      <c r="Y468" s="687"/>
      <c r="Z468" s="685" t="s">
        <v>1367</v>
      </c>
      <c r="AA468" s="688" t="s">
        <v>304</v>
      </c>
    </row>
    <row r="469" spans="1:27" s="258" customFormat="1" x14ac:dyDescent="0.25">
      <c r="A469" s="683" t="s">
        <v>1593</v>
      </c>
      <c r="B469" s="684"/>
      <c r="C469" s="684" t="s">
        <v>1200</v>
      </c>
      <c r="D469" s="684" t="s">
        <v>1619</v>
      </c>
      <c r="E469" s="684"/>
      <c r="F469" s="684" t="s">
        <v>51</v>
      </c>
      <c r="G469" s="685" t="s">
        <v>47</v>
      </c>
      <c r="H469" s="684" t="s">
        <v>1366</v>
      </c>
      <c r="I469" s="686">
        <v>2000</v>
      </c>
      <c r="J469" s="686">
        <v>2500</v>
      </c>
      <c r="K469" s="686">
        <v>2500</v>
      </c>
      <c r="L469" s="686">
        <v>3165</v>
      </c>
      <c r="M469" s="685"/>
      <c r="N469" s="685"/>
      <c r="O469" s="685"/>
      <c r="P469" s="685"/>
      <c r="Q469" s="685"/>
      <c r="R469" s="685"/>
      <c r="S469" s="685"/>
      <c r="T469" s="685"/>
      <c r="U469" s="685"/>
      <c r="V469" s="685"/>
      <c r="W469" s="685"/>
      <c r="X469" s="687"/>
      <c r="Y469" s="687"/>
      <c r="Z469" s="685" t="s">
        <v>1367</v>
      </c>
      <c r="AA469" s="688" t="s">
        <v>304</v>
      </c>
    </row>
    <row r="470" spans="1:27" s="258" customFormat="1" x14ac:dyDescent="0.25">
      <c r="A470" s="683" t="s">
        <v>1593</v>
      </c>
      <c r="B470" s="684"/>
      <c r="C470" s="684" t="s">
        <v>1398</v>
      </c>
      <c r="D470" s="684" t="s">
        <v>1619</v>
      </c>
      <c r="E470" s="684"/>
      <c r="F470" s="684" t="s">
        <v>51</v>
      </c>
      <c r="G470" s="685" t="s">
        <v>47</v>
      </c>
      <c r="H470" s="684" t="s">
        <v>1366</v>
      </c>
      <c r="I470" s="686">
        <v>1920</v>
      </c>
      <c r="J470" s="686">
        <v>2400</v>
      </c>
      <c r="K470" s="686">
        <v>2400</v>
      </c>
      <c r="L470" s="686">
        <v>3040</v>
      </c>
      <c r="M470" s="685"/>
      <c r="N470" s="685"/>
      <c r="O470" s="685"/>
      <c r="P470" s="685"/>
      <c r="Q470" s="685"/>
      <c r="R470" s="685"/>
      <c r="S470" s="685"/>
      <c r="T470" s="685"/>
      <c r="U470" s="685"/>
      <c r="V470" s="685"/>
      <c r="W470" s="685"/>
      <c r="X470" s="687"/>
      <c r="Y470" s="687"/>
      <c r="Z470" s="685" t="s">
        <v>1367</v>
      </c>
      <c r="AA470" s="688" t="s">
        <v>304</v>
      </c>
    </row>
    <row r="471" spans="1:27" s="258" customFormat="1" x14ac:dyDescent="0.25">
      <c r="A471" s="683" t="s">
        <v>1593</v>
      </c>
      <c r="B471" s="684"/>
      <c r="C471" s="684" t="s">
        <v>1392</v>
      </c>
      <c r="D471" s="684" t="s">
        <v>1619</v>
      </c>
      <c r="E471" s="684"/>
      <c r="F471" s="684" t="s">
        <v>51</v>
      </c>
      <c r="G471" s="685" t="s">
        <v>47</v>
      </c>
      <c r="H471" s="684" t="s">
        <v>1366</v>
      </c>
      <c r="I471" s="686">
        <v>2000</v>
      </c>
      <c r="J471" s="686">
        <v>2500</v>
      </c>
      <c r="K471" s="686">
        <v>2500</v>
      </c>
      <c r="L471" s="686">
        <v>3165</v>
      </c>
      <c r="M471" s="685"/>
      <c r="N471" s="685"/>
      <c r="O471" s="685"/>
      <c r="P471" s="685"/>
      <c r="Q471" s="685"/>
      <c r="R471" s="685"/>
      <c r="S471" s="685"/>
      <c r="T471" s="685"/>
      <c r="U471" s="685"/>
      <c r="V471" s="685"/>
      <c r="W471" s="685"/>
      <c r="X471" s="687"/>
      <c r="Y471" s="687"/>
      <c r="Z471" s="685" t="s">
        <v>1367</v>
      </c>
      <c r="AA471" s="688" t="s">
        <v>304</v>
      </c>
    </row>
    <row r="472" spans="1:27" s="258" customFormat="1" x14ac:dyDescent="0.25">
      <c r="A472" s="683" t="s">
        <v>1593</v>
      </c>
      <c r="B472" s="684"/>
      <c r="C472" s="684" t="s">
        <v>1400</v>
      </c>
      <c r="D472" s="684" t="s">
        <v>1619</v>
      </c>
      <c r="E472" s="684"/>
      <c r="F472" s="684" t="s">
        <v>51</v>
      </c>
      <c r="G472" s="685" t="s">
        <v>47</v>
      </c>
      <c r="H472" s="684" t="s">
        <v>1366</v>
      </c>
      <c r="I472" s="686">
        <v>2160</v>
      </c>
      <c r="J472" s="686">
        <v>2700</v>
      </c>
      <c r="K472" s="686">
        <v>2700</v>
      </c>
      <c r="L472" s="686">
        <v>3420</v>
      </c>
      <c r="M472" s="685"/>
      <c r="N472" s="685"/>
      <c r="O472" s="685"/>
      <c r="P472" s="685"/>
      <c r="Q472" s="685"/>
      <c r="R472" s="685"/>
      <c r="S472" s="685"/>
      <c r="T472" s="685"/>
      <c r="U472" s="685"/>
      <c r="V472" s="685"/>
      <c r="W472" s="685"/>
      <c r="X472" s="687"/>
      <c r="Y472" s="687"/>
      <c r="Z472" s="685" t="s">
        <v>1367</v>
      </c>
      <c r="AA472" s="688" t="s">
        <v>304</v>
      </c>
    </row>
    <row r="473" spans="1:27" s="258" customFormat="1" x14ac:dyDescent="0.25">
      <c r="A473" s="683" t="s">
        <v>1591</v>
      </c>
      <c r="B473" s="684"/>
      <c r="C473" s="684" t="s">
        <v>1400</v>
      </c>
      <c r="D473" s="684" t="s">
        <v>1619</v>
      </c>
      <c r="E473" s="684" t="s">
        <v>1620</v>
      </c>
      <c r="F473" s="684" t="s">
        <v>53</v>
      </c>
      <c r="G473" s="685" t="s">
        <v>47</v>
      </c>
      <c r="H473" s="684" t="s">
        <v>1366</v>
      </c>
      <c r="I473" s="686">
        <v>3040</v>
      </c>
      <c r="J473" s="686">
        <v>3800</v>
      </c>
      <c r="K473" s="686">
        <v>3800</v>
      </c>
      <c r="L473" s="686">
        <v>4810</v>
      </c>
      <c r="M473" s="685"/>
      <c r="N473" s="685"/>
      <c r="O473" s="685"/>
      <c r="P473" s="685"/>
      <c r="Q473" s="685"/>
      <c r="R473" s="685"/>
      <c r="S473" s="685"/>
      <c r="T473" s="685"/>
      <c r="U473" s="685"/>
      <c r="V473" s="685"/>
      <c r="W473" s="685"/>
      <c r="X473" s="687"/>
      <c r="Y473" s="687"/>
      <c r="Z473" s="685" t="s">
        <v>1367</v>
      </c>
      <c r="AA473" s="688" t="s">
        <v>304</v>
      </c>
    </row>
    <row r="474" spans="1:27" s="258" customFormat="1" x14ac:dyDescent="0.25">
      <c r="A474" s="683" t="s">
        <v>1593</v>
      </c>
      <c r="B474" s="684"/>
      <c r="C474" s="684" t="s">
        <v>1401</v>
      </c>
      <c r="D474" s="684" t="s">
        <v>1619</v>
      </c>
      <c r="E474" s="684"/>
      <c r="F474" s="684" t="s">
        <v>51</v>
      </c>
      <c r="G474" s="685" t="s">
        <v>47</v>
      </c>
      <c r="H474" s="684" t="s">
        <v>1366</v>
      </c>
      <c r="I474" s="686">
        <v>2080</v>
      </c>
      <c r="J474" s="686">
        <v>2600</v>
      </c>
      <c r="K474" s="686">
        <v>2600</v>
      </c>
      <c r="L474" s="686">
        <v>3290</v>
      </c>
      <c r="M474" s="685"/>
      <c r="N474" s="685"/>
      <c r="O474" s="685"/>
      <c r="P474" s="685"/>
      <c r="Q474" s="685"/>
      <c r="R474" s="685"/>
      <c r="S474" s="685"/>
      <c r="T474" s="685"/>
      <c r="U474" s="685"/>
      <c r="V474" s="685"/>
      <c r="W474" s="685"/>
      <c r="X474" s="687"/>
      <c r="Y474" s="687"/>
      <c r="Z474" s="685" t="s">
        <v>1367</v>
      </c>
      <c r="AA474" s="688" t="s">
        <v>304</v>
      </c>
    </row>
    <row r="475" spans="1:27" s="258" customFormat="1" x14ac:dyDescent="0.25">
      <c r="A475" s="683" t="s">
        <v>1591</v>
      </c>
      <c r="B475" s="684"/>
      <c r="C475" s="684" t="s">
        <v>1401</v>
      </c>
      <c r="D475" s="684" t="s">
        <v>1619</v>
      </c>
      <c r="E475" s="684" t="s">
        <v>1620</v>
      </c>
      <c r="F475" s="684" t="s">
        <v>53</v>
      </c>
      <c r="G475" s="685" t="s">
        <v>47</v>
      </c>
      <c r="H475" s="684" t="s">
        <v>1366</v>
      </c>
      <c r="I475" s="686">
        <v>2960</v>
      </c>
      <c r="J475" s="686">
        <v>3700</v>
      </c>
      <c r="K475" s="686">
        <v>3700</v>
      </c>
      <c r="L475" s="686">
        <v>4685</v>
      </c>
      <c r="M475" s="685"/>
      <c r="N475" s="685"/>
      <c r="O475" s="685"/>
      <c r="P475" s="685"/>
      <c r="Q475" s="685"/>
      <c r="R475" s="685"/>
      <c r="S475" s="685"/>
      <c r="T475" s="685"/>
      <c r="U475" s="685"/>
      <c r="V475" s="685"/>
      <c r="W475" s="685"/>
      <c r="X475" s="687"/>
      <c r="Y475" s="687"/>
      <c r="Z475" s="685" t="s">
        <v>1367</v>
      </c>
      <c r="AA475" s="688" t="s">
        <v>304</v>
      </c>
    </row>
    <row r="476" spans="1:27" s="258" customFormat="1" x14ac:dyDescent="0.25">
      <c r="A476" s="683" t="s">
        <v>1593</v>
      </c>
      <c r="B476" s="684"/>
      <c r="C476" s="684" t="s">
        <v>1616</v>
      </c>
      <c r="D476" s="684" t="s">
        <v>1619</v>
      </c>
      <c r="E476" s="684"/>
      <c r="F476" s="684" t="s">
        <v>51</v>
      </c>
      <c r="G476" s="685" t="s">
        <v>47</v>
      </c>
      <c r="H476" s="684" t="s">
        <v>1366</v>
      </c>
      <c r="I476" s="686">
        <v>2465</v>
      </c>
      <c r="J476" s="686">
        <v>2900</v>
      </c>
      <c r="K476" s="686">
        <v>2900</v>
      </c>
      <c r="L476" s="686">
        <v>3670</v>
      </c>
      <c r="M476" s="685"/>
      <c r="N476" s="685"/>
      <c r="O476" s="685"/>
      <c r="P476" s="685"/>
      <c r="Q476" s="685"/>
      <c r="R476" s="685"/>
      <c r="S476" s="685"/>
      <c r="T476" s="685"/>
      <c r="U476" s="685"/>
      <c r="V476" s="685"/>
      <c r="W476" s="685"/>
      <c r="X476" s="687"/>
      <c r="Y476" s="687"/>
      <c r="Z476" s="685" t="s">
        <v>1367</v>
      </c>
      <c r="AA476" s="688" t="s">
        <v>304</v>
      </c>
    </row>
    <row r="477" spans="1:27" s="258" customFormat="1" x14ac:dyDescent="0.25">
      <c r="A477" s="683" t="s">
        <v>1653</v>
      </c>
      <c r="B477" s="684"/>
      <c r="C477" s="684" t="s">
        <v>1601</v>
      </c>
      <c r="D477" s="684" t="s">
        <v>1654</v>
      </c>
      <c r="E477" s="684"/>
      <c r="F477" s="684" t="s">
        <v>51</v>
      </c>
      <c r="G477" s="685" t="s">
        <v>47</v>
      </c>
      <c r="H477" s="684" t="s">
        <v>1366</v>
      </c>
      <c r="I477" s="686">
        <v>1960</v>
      </c>
      <c r="J477" s="686">
        <v>2450</v>
      </c>
      <c r="K477" s="686">
        <v>2450</v>
      </c>
      <c r="L477" s="686">
        <v>3100</v>
      </c>
      <c r="M477" s="685"/>
      <c r="N477" s="685"/>
      <c r="O477" s="685"/>
      <c r="P477" s="685"/>
      <c r="Q477" s="685"/>
      <c r="R477" s="685"/>
      <c r="S477" s="685"/>
      <c r="T477" s="685"/>
      <c r="U477" s="685"/>
      <c r="V477" s="685"/>
      <c r="W477" s="685"/>
      <c r="X477" s="687"/>
      <c r="Y477" s="687"/>
      <c r="Z477" s="685" t="s">
        <v>1367</v>
      </c>
      <c r="AA477" s="688" t="s">
        <v>304</v>
      </c>
    </row>
    <row r="478" spans="1:27" s="258" customFormat="1" x14ac:dyDescent="0.25">
      <c r="A478" s="683" t="s">
        <v>1653</v>
      </c>
      <c r="B478" s="684"/>
      <c r="C478" s="684" t="s">
        <v>1392</v>
      </c>
      <c r="D478" s="684" t="s">
        <v>1654</v>
      </c>
      <c r="E478" s="684"/>
      <c r="F478" s="684" t="s">
        <v>51</v>
      </c>
      <c r="G478" s="685" t="s">
        <v>47</v>
      </c>
      <c r="H478" s="684" t="s">
        <v>1366</v>
      </c>
      <c r="I478" s="686">
        <v>1960</v>
      </c>
      <c r="J478" s="686">
        <v>2450</v>
      </c>
      <c r="K478" s="686">
        <v>2450</v>
      </c>
      <c r="L478" s="686">
        <v>3100</v>
      </c>
      <c r="M478" s="685"/>
      <c r="N478" s="685"/>
      <c r="O478" s="685"/>
      <c r="P478" s="685"/>
      <c r="Q478" s="685"/>
      <c r="R478" s="685"/>
      <c r="S478" s="685"/>
      <c r="T478" s="685"/>
      <c r="U478" s="685"/>
      <c r="V478" s="685"/>
      <c r="W478" s="685"/>
      <c r="X478" s="687"/>
      <c r="Y478" s="687"/>
      <c r="Z478" s="685" t="s">
        <v>1367</v>
      </c>
      <c r="AA478" s="688" t="s">
        <v>304</v>
      </c>
    </row>
    <row r="479" spans="1:27" s="64" customFormat="1" x14ac:dyDescent="0.25">
      <c r="A479" s="59"/>
      <c r="B479" s="60"/>
      <c r="C479" s="60"/>
      <c r="D479" s="60"/>
      <c r="E479" s="60"/>
      <c r="F479" s="60"/>
      <c r="G479" s="61"/>
      <c r="H479" s="60"/>
      <c r="I479" s="62"/>
      <c r="J479" s="62"/>
      <c r="K479" s="62"/>
      <c r="L479" s="62"/>
      <c r="M479" s="61"/>
      <c r="N479" s="61"/>
      <c r="O479" s="61"/>
      <c r="P479" s="61"/>
      <c r="Q479" s="61"/>
      <c r="R479" s="61"/>
      <c r="S479" s="61"/>
      <c r="T479" s="61"/>
      <c r="U479" s="61"/>
      <c r="V479" s="61"/>
      <c r="W479" s="61"/>
      <c r="X479" s="345"/>
      <c r="Y479" s="345"/>
      <c r="Z479" s="61"/>
      <c r="AA479" s="63"/>
    </row>
    <row r="480" spans="1:27" s="64" customFormat="1" ht="13.8" thickBot="1" x14ac:dyDescent="0.3">
      <c r="A480" s="191"/>
      <c r="B480" s="263"/>
      <c r="C480" s="263"/>
      <c r="D480" s="263"/>
      <c r="E480" s="263"/>
      <c r="F480" s="263"/>
      <c r="G480" s="195"/>
      <c r="H480" s="263"/>
      <c r="I480" s="342"/>
      <c r="J480" s="342"/>
      <c r="K480" s="342"/>
      <c r="L480" s="342"/>
      <c r="M480" s="195"/>
      <c r="N480" s="195"/>
      <c r="O480" s="195"/>
      <c r="P480" s="195"/>
      <c r="Q480" s="195"/>
      <c r="R480" s="195"/>
      <c r="S480" s="195"/>
      <c r="T480" s="195"/>
      <c r="U480" s="195"/>
      <c r="V480" s="195"/>
      <c r="W480" s="195"/>
      <c r="X480" s="352"/>
      <c r="Y480" s="352"/>
      <c r="Z480" s="195"/>
      <c r="AA480" s="129"/>
    </row>
    <row r="481" spans="1:27" x14ac:dyDescent="0.25">
      <c r="A481" s="142"/>
      <c r="B481" s="142"/>
      <c r="C481" s="142"/>
      <c r="D481" s="142"/>
      <c r="E481" s="142"/>
      <c r="F481" s="142"/>
      <c r="J481" s="199"/>
      <c r="K481" s="199"/>
      <c r="L481" s="199"/>
      <c r="M481" s="199"/>
      <c r="N481" s="199"/>
      <c r="O481" s="66"/>
      <c r="P481" s="66"/>
      <c r="Q481" s="66"/>
      <c r="R481" s="66"/>
      <c r="S481" s="66"/>
      <c r="T481" s="66"/>
      <c r="U481" s="66"/>
      <c r="V481" s="66"/>
      <c r="W481" s="64"/>
    </row>
    <row r="482" spans="1:27" ht="13.8" thickBot="1" x14ac:dyDescent="0.3">
      <c r="A482" s="142"/>
      <c r="B482" s="142"/>
      <c r="C482" s="142"/>
      <c r="D482" s="142"/>
      <c r="E482" s="142"/>
      <c r="F482" s="142"/>
      <c r="J482" s="199"/>
      <c r="K482" s="199"/>
      <c r="N482" s="199"/>
      <c r="O482" s="66"/>
      <c r="P482" s="66"/>
      <c r="Q482" s="66"/>
      <c r="R482" s="66"/>
      <c r="S482" s="66"/>
      <c r="T482" s="66"/>
      <c r="U482" s="66"/>
      <c r="V482" s="66"/>
      <c r="W482" s="64"/>
    </row>
    <row r="483" spans="1:27" ht="13.8" thickBot="1" x14ac:dyDescent="0.3">
      <c r="A483" s="201" t="s">
        <v>25</v>
      </c>
      <c r="B483" s="198"/>
      <c r="C483" s="198"/>
      <c r="D483" s="198"/>
      <c r="E483" s="198"/>
      <c r="F483" s="198"/>
      <c r="G483" s="177"/>
      <c r="H483" s="177"/>
      <c r="I483" s="177"/>
      <c r="J483" s="177"/>
      <c r="K483" s="177"/>
      <c r="M483" s="177"/>
      <c r="N483" s="177"/>
      <c r="O483" s="200"/>
      <c r="P483" s="64"/>
      <c r="Q483" s="64"/>
      <c r="R483" s="64"/>
      <c r="S483" s="57"/>
      <c r="T483" s="57"/>
      <c r="U483" s="57"/>
      <c r="V483" s="57"/>
      <c r="W483" s="200"/>
    </row>
    <row r="484" spans="1:27" ht="15.75" customHeight="1" x14ac:dyDescent="0.25">
      <c r="A484" s="509" t="s">
        <v>558</v>
      </c>
      <c r="B484" s="499" t="s">
        <v>559</v>
      </c>
      <c r="C484" s="499" t="s">
        <v>11</v>
      </c>
      <c r="D484" s="499" t="s">
        <v>12</v>
      </c>
      <c r="E484" s="499" t="s">
        <v>13</v>
      </c>
      <c r="F484" s="499" t="s">
        <v>14</v>
      </c>
      <c r="G484" s="499" t="s">
        <v>15</v>
      </c>
      <c r="H484" s="499" t="s">
        <v>16</v>
      </c>
      <c r="I484" s="499" t="s">
        <v>26</v>
      </c>
      <c r="J484" s="499" t="s">
        <v>27</v>
      </c>
      <c r="K484" s="507" t="s">
        <v>279</v>
      </c>
      <c r="L484" s="178" t="s">
        <v>62</v>
      </c>
      <c r="M484" s="53" t="s">
        <v>63</v>
      </c>
      <c r="N484" s="180" t="s">
        <v>64</v>
      </c>
      <c r="O484" s="332"/>
      <c r="P484" s="179"/>
      <c r="Q484" s="179"/>
      <c r="R484" s="179"/>
      <c r="S484" s="179"/>
      <c r="T484" s="179"/>
      <c r="U484" s="179"/>
      <c r="V484" s="179"/>
      <c r="W484" s="179"/>
      <c r="X484" s="499" t="s">
        <v>22</v>
      </c>
      <c r="Y484" s="499" t="s">
        <v>23</v>
      </c>
      <c r="Z484" s="499" t="s">
        <v>24</v>
      </c>
      <c r="AA484" s="497" t="s">
        <v>330</v>
      </c>
    </row>
    <row r="485" spans="1:27" ht="32.1" customHeight="1" thickBot="1" x14ac:dyDescent="0.3">
      <c r="A485" s="510"/>
      <c r="B485" s="504"/>
      <c r="C485" s="504"/>
      <c r="D485" s="504"/>
      <c r="E485" s="504"/>
      <c r="F485" s="504"/>
      <c r="G485" s="500"/>
      <c r="H485" s="504"/>
      <c r="I485" s="504"/>
      <c r="J485" s="504"/>
      <c r="K485" s="508"/>
      <c r="L485" s="182" t="s">
        <v>65</v>
      </c>
      <c r="M485" s="183" t="s">
        <v>66</v>
      </c>
      <c r="N485" s="185" t="s">
        <v>67</v>
      </c>
      <c r="O485" s="333"/>
      <c r="P485" s="184"/>
      <c r="Q485" s="184"/>
      <c r="R485" s="184"/>
      <c r="S485" s="184"/>
      <c r="T485" s="184"/>
      <c r="U485" s="184"/>
      <c r="V485" s="184"/>
      <c r="W485" s="184"/>
      <c r="X485" s="504"/>
      <c r="Y485" s="504"/>
      <c r="Z485" s="504"/>
      <c r="AA485" s="498"/>
    </row>
    <row r="486" spans="1:27" s="64" customFormat="1" x14ac:dyDescent="0.25">
      <c r="A486" s="677" t="s">
        <v>1591</v>
      </c>
      <c r="B486" s="678"/>
      <c r="C486" s="678" t="s">
        <v>1601</v>
      </c>
      <c r="D486" s="678" t="s">
        <v>1390</v>
      </c>
      <c r="E486" s="678"/>
      <c r="F486" s="678" t="s">
        <v>51</v>
      </c>
      <c r="G486" s="679" t="s">
        <v>47</v>
      </c>
      <c r="H486" s="678" t="s">
        <v>1366</v>
      </c>
      <c r="I486" s="680"/>
      <c r="J486" s="680"/>
      <c r="K486" s="689">
        <v>2255</v>
      </c>
      <c r="L486" s="694" t="s">
        <v>55</v>
      </c>
      <c r="M486" s="679" t="s">
        <v>318</v>
      </c>
      <c r="N486" s="682" t="s">
        <v>55</v>
      </c>
      <c r="O486" s="691"/>
      <c r="P486" s="679"/>
      <c r="Q486" s="679"/>
      <c r="R486" s="679"/>
      <c r="S486" s="679"/>
      <c r="T486" s="679"/>
      <c r="U486" s="679"/>
      <c r="V486" s="679"/>
      <c r="W486" s="679"/>
      <c r="X486" s="681"/>
      <c r="Y486" s="681"/>
      <c r="Z486" s="679" t="s">
        <v>1367</v>
      </c>
      <c r="AA486" s="682" t="s">
        <v>304</v>
      </c>
    </row>
    <row r="487" spans="1:27" s="64" customFormat="1" x14ac:dyDescent="0.25">
      <c r="A487" s="677" t="s">
        <v>1591</v>
      </c>
      <c r="B487" s="678"/>
      <c r="C487" s="678" t="s">
        <v>1601</v>
      </c>
      <c r="D487" s="678" t="s">
        <v>1608</v>
      </c>
      <c r="E487" s="678"/>
      <c r="F487" s="678" t="s">
        <v>51</v>
      </c>
      <c r="G487" s="679" t="s">
        <v>47</v>
      </c>
      <c r="H487" s="678" t="s">
        <v>1366</v>
      </c>
      <c r="I487" s="680"/>
      <c r="J487" s="680"/>
      <c r="K487" s="689">
        <v>2255</v>
      </c>
      <c r="L487" s="694" t="s">
        <v>55</v>
      </c>
      <c r="M487" s="679" t="s">
        <v>318</v>
      </c>
      <c r="N487" s="682" t="s">
        <v>55</v>
      </c>
      <c r="O487" s="691"/>
      <c r="P487" s="679"/>
      <c r="Q487" s="679"/>
      <c r="R487" s="679"/>
      <c r="S487" s="679"/>
      <c r="T487" s="679"/>
      <c r="U487" s="679"/>
      <c r="V487" s="679"/>
      <c r="W487" s="679"/>
      <c r="X487" s="681"/>
      <c r="Y487" s="681"/>
      <c r="Z487" s="679" t="s">
        <v>1367</v>
      </c>
      <c r="AA487" s="682" t="s">
        <v>304</v>
      </c>
    </row>
    <row r="488" spans="1:27" s="64" customFormat="1" x14ac:dyDescent="0.25">
      <c r="A488" s="677" t="s">
        <v>1591</v>
      </c>
      <c r="B488" s="678"/>
      <c r="C488" s="678" t="s">
        <v>1601</v>
      </c>
      <c r="D488" s="678" t="s">
        <v>1609</v>
      </c>
      <c r="E488" s="678"/>
      <c r="F488" s="678" t="s">
        <v>51</v>
      </c>
      <c r="G488" s="679" t="s">
        <v>47</v>
      </c>
      <c r="H488" s="678" t="s">
        <v>1366</v>
      </c>
      <c r="I488" s="680"/>
      <c r="J488" s="680"/>
      <c r="K488" s="689">
        <v>2255</v>
      </c>
      <c r="L488" s="694" t="s">
        <v>55</v>
      </c>
      <c r="M488" s="679" t="s">
        <v>318</v>
      </c>
      <c r="N488" s="682" t="s">
        <v>55</v>
      </c>
      <c r="O488" s="691"/>
      <c r="P488" s="679"/>
      <c r="Q488" s="679"/>
      <c r="R488" s="679"/>
      <c r="S488" s="679"/>
      <c r="T488" s="679"/>
      <c r="U488" s="679"/>
      <c r="V488" s="679"/>
      <c r="W488" s="679"/>
      <c r="X488" s="681"/>
      <c r="Y488" s="681"/>
      <c r="Z488" s="679" t="s">
        <v>1367</v>
      </c>
      <c r="AA488" s="682" t="s">
        <v>304</v>
      </c>
    </row>
    <row r="489" spans="1:27" s="64" customFormat="1" x14ac:dyDescent="0.25">
      <c r="A489" s="677" t="s">
        <v>1591</v>
      </c>
      <c r="B489" s="678"/>
      <c r="C489" s="678" t="s">
        <v>1601</v>
      </c>
      <c r="D489" s="678" t="s">
        <v>1390</v>
      </c>
      <c r="E489" s="678" t="s">
        <v>1369</v>
      </c>
      <c r="F489" s="678" t="s">
        <v>53</v>
      </c>
      <c r="G489" s="679" t="s">
        <v>47</v>
      </c>
      <c r="H489" s="678" t="s">
        <v>1366</v>
      </c>
      <c r="I489" s="680"/>
      <c r="J489" s="680"/>
      <c r="K489" s="689">
        <v>3360</v>
      </c>
      <c r="L489" s="694" t="s">
        <v>55</v>
      </c>
      <c r="M489" s="679" t="s">
        <v>318</v>
      </c>
      <c r="N489" s="682" t="s">
        <v>55</v>
      </c>
      <c r="O489" s="691"/>
      <c r="P489" s="679"/>
      <c r="Q489" s="679"/>
      <c r="R489" s="679"/>
      <c r="S489" s="679"/>
      <c r="T489" s="679"/>
      <c r="U489" s="679"/>
      <c r="V489" s="679"/>
      <c r="W489" s="679"/>
      <c r="X489" s="681"/>
      <c r="Y489" s="681"/>
      <c r="Z489" s="679" t="s">
        <v>1367</v>
      </c>
      <c r="AA489" s="682" t="s">
        <v>304</v>
      </c>
    </row>
    <row r="490" spans="1:27" s="64" customFormat="1" x14ac:dyDescent="0.25">
      <c r="A490" s="677" t="s">
        <v>1591</v>
      </c>
      <c r="B490" s="678"/>
      <c r="C490" s="678" t="s">
        <v>1601</v>
      </c>
      <c r="D490" s="678" t="s">
        <v>1391</v>
      </c>
      <c r="E490" s="678" t="s">
        <v>1369</v>
      </c>
      <c r="F490" s="678" t="s">
        <v>53</v>
      </c>
      <c r="G490" s="679" t="s">
        <v>47</v>
      </c>
      <c r="H490" s="678" t="s">
        <v>1366</v>
      </c>
      <c r="I490" s="680"/>
      <c r="J490" s="680"/>
      <c r="K490" s="689">
        <v>3360</v>
      </c>
      <c r="L490" s="694" t="s">
        <v>55</v>
      </c>
      <c r="M490" s="679" t="s">
        <v>318</v>
      </c>
      <c r="N490" s="682" t="s">
        <v>55</v>
      </c>
      <c r="O490" s="691"/>
      <c r="P490" s="679"/>
      <c r="Q490" s="679"/>
      <c r="R490" s="679"/>
      <c r="S490" s="679"/>
      <c r="T490" s="679"/>
      <c r="U490" s="679"/>
      <c r="V490" s="679"/>
      <c r="W490" s="679"/>
      <c r="X490" s="681"/>
      <c r="Y490" s="681"/>
      <c r="Z490" s="679" t="s">
        <v>1367</v>
      </c>
      <c r="AA490" s="682" t="s">
        <v>304</v>
      </c>
    </row>
    <row r="491" spans="1:27" s="64" customFormat="1" x14ac:dyDescent="0.25">
      <c r="A491" s="677" t="s">
        <v>1591</v>
      </c>
      <c r="B491" s="678"/>
      <c r="C491" s="678" t="s">
        <v>1601</v>
      </c>
      <c r="D491" s="678" t="s">
        <v>1391</v>
      </c>
      <c r="E491" s="678" t="s">
        <v>1379</v>
      </c>
      <c r="F491" s="678" t="s">
        <v>53</v>
      </c>
      <c r="G491" s="679" t="s">
        <v>47</v>
      </c>
      <c r="H491" s="678" t="s">
        <v>1366</v>
      </c>
      <c r="I491" s="680"/>
      <c r="J491" s="680"/>
      <c r="K491" s="689">
        <v>3360</v>
      </c>
      <c r="L491" s="694" t="s">
        <v>55</v>
      </c>
      <c r="M491" s="679" t="s">
        <v>318</v>
      </c>
      <c r="N491" s="682" t="s">
        <v>55</v>
      </c>
      <c r="O491" s="691"/>
      <c r="P491" s="679"/>
      <c r="Q491" s="679"/>
      <c r="R491" s="679"/>
      <c r="S491" s="679"/>
      <c r="T491" s="679"/>
      <c r="U491" s="679"/>
      <c r="V491" s="679"/>
      <c r="W491" s="679"/>
      <c r="X491" s="681"/>
      <c r="Y491" s="681"/>
      <c r="Z491" s="679" t="s">
        <v>1367</v>
      </c>
      <c r="AA491" s="682" t="s">
        <v>304</v>
      </c>
    </row>
    <row r="492" spans="1:27" s="64" customFormat="1" x14ac:dyDescent="0.25">
      <c r="A492" s="677" t="s">
        <v>1591</v>
      </c>
      <c r="B492" s="678"/>
      <c r="C492" s="678" t="s">
        <v>1605</v>
      </c>
      <c r="D492" s="678" t="s">
        <v>1390</v>
      </c>
      <c r="E492" s="678"/>
      <c r="F492" s="678" t="s">
        <v>51</v>
      </c>
      <c r="G492" s="679" t="s">
        <v>47</v>
      </c>
      <c r="H492" s="678" t="s">
        <v>1366</v>
      </c>
      <c r="I492" s="680"/>
      <c r="J492" s="680"/>
      <c r="K492" s="689">
        <v>2255</v>
      </c>
      <c r="L492" s="694" t="s">
        <v>55</v>
      </c>
      <c r="M492" s="679" t="s">
        <v>318</v>
      </c>
      <c r="N492" s="682" t="s">
        <v>55</v>
      </c>
      <c r="O492" s="691"/>
      <c r="P492" s="679"/>
      <c r="Q492" s="679"/>
      <c r="R492" s="679"/>
      <c r="S492" s="679"/>
      <c r="T492" s="679"/>
      <c r="U492" s="679"/>
      <c r="V492" s="679"/>
      <c r="W492" s="679"/>
      <c r="X492" s="681"/>
      <c r="Y492" s="681"/>
      <c r="Z492" s="679" t="s">
        <v>1367</v>
      </c>
      <c r="AA492" s="682" t="s">
        <v>304</v>
      </c>
    </row>
    <row r="493" spans="1:27" s="64" customFormat="1" x14ac:dyDescent="0.25">
      <c r="A493" s="677" t="s">
        <v>1591</v>
      </c>
      <c r="B493" s="678"/>
      <c r="C493" s="678" t="s">
        <v>1605</v>
      </c>
      <c r="D493" s="678" t="s">
        <v>1608</v>
      </c>
      <c r="E493" s="678"/>
      <c r="F493" s="678" t="s">
        <v>51</v>
      </c>
      <c r="G493" s="679" t="s">
        <v>47</v>
      </c>
      <c r="H493" s="678" t="s">
        <v>1366</v>
      </c>
      <c r="I493" s="680"/>
      <c r="J493" s="680"/>
      <c r="K493" s="689">
        <v>2255</v>
      </c>
      <c r="L493" s="694" t="s">
        <v>55</v>
      </c>
      <c r="M493" s="679" t="s">
        <v>318</v>
      </c>
      <c r="N493" s="682" t="s">
        <v>55</v>
      </c>
      <c r="O493" s="691"/>
      <c r="P493" s="679"/>
      <c r="Q493" s="679"/>
      <c r="R493" s="679"/>
      <c r="S493" s="679"/>
      <c r="T493" s="679"/>
      <c r="U493" s="679"/>
      <c r="V493" s="679"/>
      <c r="W493" s="679"/>
      <c r="X493" s="681"/>
      <c r="Y493" s="681"/>
      <c r="Z493" s="679" t="s">
        <v>1367</v>
      </c>
      <c r="AA493" s="682" t="s">
        <v>304</v>
      </c>
    </row>
    <row r="494" spans="1:27" s="64" customFormat="1" x14ac:dyDescent="0.25">
      <c r="A494" s="677" t="s">
        <v>1591</v>
      </c>
      <c r="B494" s="678"/>
      <c r="C494" s="678" t="s">
        <v>1605</v>
      </c>
      <c r="D494" s="678" t="s">
        <v>1609</v>
      </c>
      <c r="E494" s="678"/>
      <c r="F494" s="678" t="s">
        <v>51</v>
      </c>
      <c r="G494" s="679" t="s">
        <v>47</v>
      </c>
      <c r="H494" s="678" t="s">
        <v>1366</v>
      </c>
      <c r="I494" s="680"/>
      <c r="J494" s="680"/>
      <c r="K494" s="689">
        <v>2255</v>
      </c>
      <c r="L494" s="694" t="s">
        <v>55</v>
      </c>
      <c r="M494" s="679" t="s">
        <v>318</v>
      </c>
      <c r="N494" s="682" t="s">
        <v>55</v>
      </c>
      <c r="O494" s="691"/>
      <c r="P494" s="679"/>
      <c r="Q494" s="679"/>
      <c r="R494" s="679"/>
      <c r="S494" s="679"/>
      <c r="T494" s="679"/>
      <c r="U494" s="679"/>
      <c r="V494" s="679"/>
      <c r="W494" s="679"/>
      <c r="X494" s="681"/>
      <c r="Y494" s="681"/>
      <c r="Z494" s="679" t="s">
        <v>1367</v>
      </c>
      <c r="AA494" s="682" t="s">
        <v>304</v>
      </c>
    </row>
    <row r="495" spans="1:27" s="64" customFormat="1" x14ac:dyDescent="0.25">
      <c r="A495" s="677" t="s">
        <v>1591</v>
      </c>
      <c r="B495" s="678"/>
      <c r="C495" s="678" t="s">
        <v>1605</v>
      </c>
      <c r="D495" s="678" t="s">
        <v>1390</v>
      </c>
      <c r="E495" s="678" t="s">
        <v>1369</v>
      </c>
      <c r="F495" s="678" t="s">
        <v>53</v>
      </c>
      <c r="G495" s="679" t="s">
        <v>47</v>
      </c>
      <c r="H495" s="678" t="s">
        <v>1366</v>
      </c>
      <c r="I495" s="680"/>
      <c r="J495" s="680"/>
      <c r="K495" s="689">
        <v>3360</v>
      </c>
      <c r="L495" s="694" t="s">
        <v>55</v>
      </c>
      <c r="M495" s="679" t="s">
        <v>318</v>
      </c>
      <c r="N495" s="682" t="s">
        <v>55</v>
      </c>
      <c r="O495" s="691"/>
      <c r="P495" s="679"/>
      <c r="Q495" s="679"/>
      <c r="R495" s="679"/>
      <c r="S495" s="679"/>
      <c r="T495" s="679"/>
      <c r="U495" s="679"/>
      <c r="V495" s="679"/>
      <c r="W495" s="679"/>
      <c r="X495" s="681"/>
      <c r="Y495" s="681"/>
      <c r="Z495" s="679" t="s">
        <v>1367</v>
      </c>
      <c r="AA495" s="682" t="s">
        <v>304</v>
      </c>
    </row>
    <row r="496" spans="1:27" s="64" customFormat="1" x14ac:dyDescent="0.25">
      <c r="A496" s="677" t="s">
        <v>1591</v>
      </c>
      <c r="B496" s="678"/>
      <c r="C496" s="678" t="s">
        <v>1605</v>
      </c>
      <c r="D496" s="678" t="s">
        <v>1391</v>
      </c>
      <c r="E496" s="678" t="s">
        <v>1369</v>
      </c>
      <c r="F496" s="678" t="s">
        <v>53</v>
      </c>
      <c r="G496" s="679" t="s">
        <v>47</v>
      </c>
      <c r="H496" s="678" t="s">
        <v>1366</v>
      </c>
      <c r="I496" s="680"/>
      <c r="J496" s="680"/>
      <c r="K496" s="689">
        <v>3360</v>
      </c>
      <c r="L496" s="694" t="s">
        <v>55</v>
      </c>
      <c r="M496" s="679" t="s">
        <v>318</v>
      </c>
      <c r="N496" s="682" t="s">
        <v>55</v>
      </c>
      <c r="O496" s="691"/>
      <c r="P496" s="679"/>
      <c r="Q496" s="679"/>
      <c r="R496" s="679"/>
      <c r="S496" s="679"/>
      <c r="T496" s="679"/>
      <c r="U496" s="679"/>
      <c r="V496" s="679"/>
      <c r="W496" s="679"/>
      <c r="X496" s="681"/>
      <c r="Y496" s="681"/>
      <c r="Z496" s="679" t="s">
        <v>1367</v>
      </c>
      <c r="AA496" s="682" t="s">
        <v>304</v>
      </c>
    </row>
    <row r="497" spans="1:27" s="64" customFormat="1" x14ac:dyDescent="0.25">
      <c r="A497" s="677" t="s">
        <v>1591</v>
      </c>
      <c r="B497" s="678"/>
      <c r="C497" s="678" t="s">
        <v>1605</v>
      </c>
      <c r="D497" s="678" t="s">
        <v>1391</v>
      </c>
      <c r="E497" s="678" t="s">
        <v>1379</v>
      </c>
      <c r="F497" s="678" t="s">
        <v>53</v>
      </c>
      <c r="G497" s="679" t="s">
        <v>47</v>
      </c>
      <c r="H497" s="678" t="s">
        <v>1366</v>
      </c>
      <c r="I497" s="680"/>
      <c r="J497" s="680"/>
      <c r="K497" s="689">
        <v>3360</v>
      </c>
      <c r="L497" s="694" t="s">
        <v>55</v>
      </c>
      <c r="M497" s="679" t="s">
        <v>318</v>
      </c>
      <c r="N497" s="682" t="s">
        <v>55</v>
      </c>
      <c r="O497" s="691"/>
      <c r="P497" s="679"/>
      <c r="Q497" s="679"/>
      <c r="R497" s="679"/>
      <c r="S497" s="679"/>
      <c r="T497" s="679"/>
      <c r="U497" s="679"/>
      <c r="V497" s="679"/>
      <c r="W497" s="679"/>
      <c r="X497" s="681"/>
      <c r="Y497" s="681"/>
      <c r="Z497" s="679" t="s">
        <v>1367</v>
      </c>
      <c r="AA497" s="682" t="s">
        <v>304</v>
      </c>
    </row>
    <row r="498" spans="1:27" s="64" customFormat="1" x14ac:dyDescent="0.25">
      <c r="A498" s="677" t="s">
        <v>1591</v>
      </c>
      <c r="B498" s="678"/>
      <c r="C498" s="678" t="s">
        <v>1398</v>
      </c>
      <c r="D498" s="678" t="s">
        <v>1390</v>
      </c>
      <c r="E498" s="678"/>
      <c r="F498" s="678" t="s">
        <v>51</v>
      </c>
      <c r="G498" s="679" t="s">
        <v>47</v>
      </c>
      <c r="H498" s="678" t="s">
        <v>1366</v>
      </c>
      <c r="I498" s="680"/>
      <c r="J498" s="680"/>
      <c r="K498" s="689">
        <v>2255</v>
      </c>
      <c r="L498" s="694" t="s">
        <v>55</v>
      </c>
      <c r="M498" s="679" t="s">
        <v>318</v>
      </c>
      <c r="N498" s="682" t="s">
        <v>55</v>
      </c>
      <c r="O498" s="691"/>
      <c r="P498" s="679"/>
      <c r="Q498" s="679"/>
      <c r="R498" s="679"/>
      <c r="S498" s="679"/>
      <c r="T498" s="679"/>
      <c r="U498" s="679"/>
      <c r="V498" s="679"/>
      <c r="W498" s="679"/>
      <c r="X498" s="681"/>
      <c r="Y498" s="681"/>
      <c r="Z498" s="679" t="s">
        <v>1367</v>
      </c>
      <c r="AA498" s="682" t="s">
        <v>304</v>
      </c>
    </row>
    <row r="499" spans="1:27" s="64" customFormat="1" x14ac:dyDescent="0.25">
      <c r="A499" s="677" t="s">
        <v>1591</v>
      </c>
      <c r="B499" s="678"/>
      <c r="C499" s="678" t="s">
        <v>1398</v>
      </c>
      <c r="D499" s="678" t="s">
        <v>1608</v>
      </c>
      <c r="E499" s="678"/>
      <c r="F499" s="678" t="s">
        <v>51</v>
      </c>
      <c r="G499" s="679" t="s">
        <v>47</v>
      </c>
      <c r="H499" s="678" t="s">
        <v>1366</v>
      </c>
      <c r="I499" s="680"/>
      <c r="J499" s="680"/>
      <c r="K499" s="689">
        <v>2255</v>
      </c>
      <c r="L499" s="694" t="s">
        <v>55</v>
      </c>
      <c r="M499" s="679" t="s">
        <v>318</v>
      </c>
      <c r="N499" s="682" t="s">
        <v>55</v>
      </c>
      <c r="O499" s="691"/>
      <c r="P499" s="679"/>
      <c r="Q499" s="679"/>
      <c r="R499" s="679"/>
      <c r="S499" s="679"/>
      <c r="T499" s="679"/>
      <c r="U499" s="679"/>
      <c r="V499" s="679"/>
      <c r="W499" s="679"/>
      <c r="X499" s="681"/>
      <c r="Y499" s="681"/>
      <c r="Z499" s="679" t="s">
        <v>1367</v>
      </c>
      <c r="AA499" s="682" t="s">
        <v>304</v>
      </c>
    </row>
    <row r="500" spans="1:27" s="64" customFormat="1" x14ac:dyDescent="0.25">
      <c r="A500" s="677" t="s">
        <v>1591</v>
      </c>
      <c r="B500" s="678"/>
      <c r="C500" s="678" t="s">
        <v>1398</v>
      </c>
      <c r="D500" s="678" t="s">
        <v>1609</v>
      </c>
      <c r="E500" s="678"/>
      <c r="F500" s="678" t="s">
        <v>51</v>
      </c>
      <c r="G500" s="679" t="s">
        <v>47</v>
      </c>
      <c r="H500" s="678" t="s">
        <v>1366</v>
      </c>
      <c r="I500" s="680"/>
      <c r="J500" s="680"/>
      <c r="K500" s="689">
        <v>2255</v>
      </c>
      <c r="L500" s="694" t="s">
        <v>55</v>
      </c>
      <c r="M500" s="679" t="s">
        <v>318</v>
      </c>
      <c r="N500" s="682" t="s">
        <v>55</v>
      </c>
      <c r="O500" s="691"/>
      <c r="P500" s="679"/>
      <c r="Q500" s="679"/>
      <c r="R500" s="679"/>
      <c r="S500" s="679"/>
      <c r="T500" s="679"/>
      <c r="U500" s="679"/>
      <c r="V500" s="679"/>
      <c r="W500" s="679"/>
      <c r="X500" s="681"/>
      <c r="Y500" s="681"/>
      <c r="Z500" s="679" t="s">
        <v>1367</v>
      </c>
      <c r="AA500" s="682" t="s">
        <v>304</v>
      </c>
    </row>
    <row r="501" spans="1:27" s="64" customFormat="1" x14ac:dyDescent="0.25">
      <c r="A501" s="677" t="s">
        <v>1591</v>
      </c>
      <c r="B501" s="678"/>
      <c r="C501" s="678" t="s">
        <v>1398</v>
      </c>
      <c r="D501" s="678" t="s">
        <v>1390</v>
      </c>
      <c r="E501" s="678" t="s">
        <v>1369</v>
      </c>
      <c r="F501" s="678" t="s">
        <v>53</v>
      </c>
      <c r="G501" s="679" t="s">
        <v>47</v>
      </c>
      <c r="H501" s="678" t="s">
        <v>1366</v>
      </c>
      <c r="I501" s="680"/>
      <c r="J501" s="680"/>
      <c r="K501" s="689">
        <v>3360</v>
      </c>
      <c r="L501" s="694" t="s">
        <v>55</v>
      </c>
      <c r="M501" s="679" t="s">
        <v>318</v>
      </c>
      <c r="N501" s="682" t="s">
        <v>55</v>
      </c>
      <c r="O501" s="691"/>
      <c r="P501" s="679"/>
      <c r="Q501" s="679"/>
      <c r="R501" s="679"/>
      <c r="S501" s="679"/>
      <c r="T501" s="679"/>
      <c r="U501" s="679"/>
      <c r="V501" s="679"/>
      <c r="W501" s="679"/>
      <c r="X501" s="681"/>
      <c r="Y501" s="681"/>
      <c r="Z501" s="679" t="s">
        <v>1367</v>
      </c>
      <c r="AA501" s="682" t="s">
        <v>304</v>
      </c>
    </row>
    <row r="502" spans="1:27" s="64" customFormat="1" x14ac:dyDescent="0.25">
      <c r="A502" s="677" t="s">
        <v>1591</v>
      </c>
      <c r="B502" s="678"/>
      <c r="C502" s="678" t="s">
        <v>1398</v>
      </c>
      <c r="D502" s="678" t="s">
        <v>1391</v>
      </c>
      <c r="E502" s="678" t="s">
        <v>1369</v>
      </c>
      <c r="F502" s="678" t="s">
        <v>53</v>
      </c>
      <c r="G502" s="679" t="s">
        <v>47</v>
      </c>
      <c r="H502" s="678" t="s">
        <v>1366</v>
      </c>
      <c r="I502" s="680"/>
      <c r="J502" s="680"/>
      <c r="K502" s="689">
        <v>3360</v>
      </c>
      <c r="L502" s="694" t="s">
        <v>55</v>
      </c>
      <c r="M502" s="679" t="s">
        <v>318</v>
      </c>
      <c r="N502" s="682" t="s">
        <v>55</v>
      </c>
      <c r="O502" s="691"/>
      <c r="P502" s="679"/>
      <c r="Q502" s="679"/>
      <c r="R502" s="679"/>
      <c r="S502" s="679"/>
      <c r="T502" s="679"/>
      <c r="U502" s="679"/>
      <c r="V502" s="679"/>
      <c r="W502" s="679"/>
      <c r="X502" s="681"/>
      <c r="Y502" s="681"/>
      <c r="Z502" s="679" t="s">
        <v>1367</v>
      </c>
      <c r="AA502" s="682" t="s">
        <v>304</v>
      </c>
    </row>
    <row r="503" spans="1:27" s="64" customFormat="1" x14ac:dyDescent="0.25">
      <c r="A503" s="677" t="s">
        <v>1591</v>
      </c>
      <c r="B503" s="678"/>
      <c r="C503" s="678" t="s">
        <v>1398</v>
      </c>
      <c r="D503" s="678" t="s">
        <v>1391</v>
      </c>
      <c r="E503" s="678" t="s">
        <v>1379</v>
      </c>
      <c r="F503" s="678" t="s">
        <v>53</v>
      </c>
      <c r="G503" s="679" t="s">
        <v>47</v>
      </c>
      <c r="H503" s="678" t="s">
        <v>1366</v>
      </c>
      <c r="I503" s="680"/>
      <c r="J503" s="680"/>
      <c r="K503" s="689">
        <v>3360</v>
      </c>
      <c r="L503" s="694" t="s">
        <v>55</v>
      </c>
      <c r="M503" s="679" t="s">
        <v>318</v>
      </c>
      <c r="N503" s="682" t="s">
        <v>55</v>
      </c>
      <c r="O503" s="691"/>
      <c r="P503" s="679"/>
      <c r="Q503" s="679"/>
      <c r="R503" s="679"/>
      <c r="S503" s="679"/>
      <c r="T503" s="679"/>
      <c r="U503" s="679"/>
      <c r="V503" s="679"/>
      <c r="W503" s="679"/>
      <c r="X503" s="681"/>
      <c r="Y503" s="681"/>
      <c r="Z503" s="679" t="s">
        <v>1367</v>
      </c>
      <c r="AA503" s="682" t="s">
        <v>304</v>
      </c>
    </row>
    <row r="504" spans="1:27" s="64" customFormat="1" x14ac:dyDescent="0.25">
      <c r="A504" s="677" t="s">
        <v>1591</v>
      </c>
      <c r="B504" s="678"/>
      <c r="C504" s="678" t="s">
        <v>1392</v>
      </c>
      <c r="D504" s="678" t="s">
        <v>1390</v>
      </c>
      <c r="E504" s="678"/>
      <c r="F504" s="678" t="s">
        <v>51</v>
      </c>
      <c r="G504" s="679" t="s">
        <v>47</v>
      </c>
      <c r="H504" s="678" t="s">
        <v>1366</v>
      </c>
      <c r="I504" s="680"/>
      <c r="J504" s="680"/>
      <c r="K504" s="689">
        <v>2255</v>
      </c>
      <c r="L504" s="694" t="s">
        <v>55</v>
      </c>
      <c r="M504" s="679" t="s">
        <v>318</v>
      </c>
      <c r="N504" s="682" t="s">
        <v>55</v>
      </c>
      <c r="O504" s="691"/>
      <c r="P504" s="679"/>
      <c r="Q504" s="679"/>
      <c r="R504" s="679"/>
      <c r="S504" s="679"/>
      <c r="T504" s="679"/>
      <c r="U504" s="679"/>
      <c r="V504" s="679"/>
      <c r="W504" s="679"/>
      <c r="X504" s="681"/>
      <c r="Y504" s="681"/>
      <c r="Z504" s="679" t="s">
        <v>1367</v>
      </c>
      <c r="AA504" s="682" t="s">
        <v>304</v>
      </c>
    </row>
    <row r="505" spans="1:27" s="64" customFormat="1" x14ac:dyDescent="0.25">
      <c r="A505" s="677" t="s">
        <v>1591</v>
      </c>
      <c r="B505" s="678"/>
      <c r="C505" s="678" t="s">
        <v>1392</v>
      </c>
      <c r="D505" s="678" t="s">
        <v>1608</v>
      </c>
      <c r="E505" s="678"/>
      <c r="F505" s="678" t="s">
        <v>51</v>
      </c>
      <c r="G505" s="679" t="s">
        <v>47</v>
      </c>
      <c r="H505" s="678" t="s">
        <v>1366</v>
      </c>
      <c r="I505" s="680"/>
      <c r="J505" s="680"/>
      <c r="K505" s="689">
        <v>2255</v>
      </c>
      <c r="L505" s="694" t="s">
        <v>55</v>
      </c>
      <c r="M505" s="679" t="s">
        <v>318</v>
      </c>
      <c r="N505" s="682" t="s">
        <v>55</v>
      </c>
      <c r="O505" s="691"/>
      <c r="P505" s="679"/>
      <c r="Q505" s="679"/>
      <c r="R505" s="679"/>
      <c r="S505" s="679"/>
      <c r="T505" s="679"/>
      <c r="U505" s="679"/>
      <c r="V505" s="679"/>
      <c r="W505" s="679"/>
      <c r="X505" s="681"/>
      <c r="Y505" s="681"/>
      <c r="Z505" s="679" t="s">
        <v>1367</v>
      </c>
      <c r="AA505" s="682" t="s">
        <v>304</v>
      </c>
    </row>
    <row r="506" spans="1:27" s="64" customFormat="1" x14ac:dyDescent="0.25">
      <c r="A506" s="677" t="s">
        <v>1591</v>
      </c>
      <c r="B506" s="678"/>
      <c r="C506" s="678" t="s">
        <v>1392</v>
      </c>
      <c r="D506" s="678" t="s">
        <v>1609</v>
      </c>
      <c r="E506" s="678"/>
      <c r="F506" s="678" t="s">
        <v>51</v>
      </c>
      <c r="G506" s="679" t="s">
        <v>47</v>
      </c>
      <c r="H506" s="678" t="s">
        <v>1366</v>
      </c>
      <c r="I506" s="680"/>
      <c r="J506" s="680"/>
      <c r="K506" s="689">
        <v>2255</v>
      </c>
      <c r="L506" s="694" t="s">
        <v>55</v>
      </c>
      <c r="M506" s="679" t="s">
        <v>318</v>
      </c>
      <c r="N506" s="682" t="s">
        <v>55</v>
      </c>
      <c r="O506" s="691"/>
      <c r="P506" s="679"/>
      <c r="Q506" s="679"/>
      <c r="R506" s="679"/>
      <c r="S506" s="679"/>
      <c r="T506" s="679"/>
      <c r="U506" s="679"/>
      <c r="V506" s="679"/>
      <c r="W506" s="679"/>
      <c r="X506" s="681"/>
      <c r="Y506" s="681"/>
      <c r="Z506" s="679" t="s">
        <v>1367</v>
      </c>
      <c r="AA506" s="682" t="s">
        <v>304</v>
      </c>
    </row>
    <row r="507" spans="1:27" s="64" customFormat="1" x14ac:dyDescent="0.25">
      <c r="A507" s="677" t="s">
        <v>1591</v>
      </c>
      <c r="B507" s="678"/>
      <c r="C507" s="678" t="s">
        <v>1392</v>
      </c>
      <c r="D507" s="678" t="s">
        <v>1390</v>
      </c>
      <c r="E507" s="678" t="s">
        <v>1369</v>
      </c>
      <c r="F507" s="678" t="s">
        <v>53</v>
      </c>
      <c r="G507" s="679" t="s">
        <v>47</v>
      </c>
      <c r="H507" s="678" t="s">
        <v>1366</v>
      </c>
      <c r="I507" s="680"/>
      <c r="J507" s="680"/>
      <c r="K507" s="689">
        <v>3360</v>
      </c>
      <c r="L507" s="694" t="s">
        <v>55</v>
      </c>
      <c r="M507" s="679" t="s">
        <v>318</v>
      </c>
      <c r="N507" s="682" t="s">
        <v>55</v>
      </c>
      <c r="O507" s="691"/>
      <c r="P507" s="679"/>
      <c r="Q507" s="679"/>
      <c r="R507" s="679"/>
      <c r="S507" s="679"/>
      <c r="T507" s="679"/>
      <c r="U507" s="679"/>
      <c r="V507" s="679"/>
      <c r="W507" s="679"/>
      <c r="X507" s="681"/>
      <c r="Y507" s="681"/>
      <c r="Z507" s="679" t="s">
        <v>1367</v>
      </c>
      <c r="AA507" s="682" t="s">
        <v>304</v>
      </c>
    </row>
    <row r="508" spans="1:27" s="64" customFormat="1" x14ac:dyDescent="0.25">
      <c r="A508" s="677" t="s">
        <v>1591</v>
      </c>
      <c r="B508" s="678"/>
      <c r="C508" s="678" t="s">
        <v>1392</v>
      </c>
      <c r="D508" s="678" t="s">
        <v>1391</v>
      </c>
      <c r="E508" s="678" t="s">
        <v>1369</v>
      </c>
      <c r="F508" s="678" t="s">
        <v>53</v>
      </c>
      <c r="G508" s="679" t="s">
        <v>47</v>
      </c>
      <c r="H508" s="678" t="s">
        <v>1366</v>
      </c>
      <c r="I508" s="680"/>
      <c r="J508" s="680"/>
      <c r="K508" s="689">
        <v>3360</v>
      </c>
      <c r="L508" s="694" t="s">
        <v>55</v>
      </c>
      <c r="M508" s="679" t="s">
        <v>318</v>
      </c>
      <c r="N508" s="682" t="s">
        <v>55</v>
      </c>
      <c r="O508" s="691"/>
      <c r="P508" s="679"/>
      <c r="Q508" s="679"/>
      <c r="R508" s="679"/>
      <c r="S508" s="679"/>
      <c r="T508" s="679"/>
      <c r="U508" s="679"/>
      <c r="V508" s="679"/>
      <c r="W508" s="679"/>
      <c r="X508" s="681"/>
      <c r="Y508" s="681"/>
      <c r="Z508" s="679" t="s">
        <v>1367</v>
      </c>
      <c r="AA508" s="682" t="s">
        <v>304</v>
      </c>
    </row>
    <row r="509" spans="1:27" s="64" customFormat="1" x14ac:dyDescent="0.25">
      <c r="A509" s="677" t="s">
        <v>1591</v>
      </c>
      <c r="B509" s="678"/>
      <c r="C509" s="678" t="s">
        <v>1392</v>
      </c>
      <c r="D509" s="678" t="s">
        <v>1391</v>
      </c>
      <c r="E509" s="678" t="s">
        <v>1379</v>
      </c>
      <c r="F509" s="678" t="s">
        <v>53</v>
      </c>
      <c r="G509" s="679" t="s">
        <v>47</v>
      </c>
      <c r="H509" s="678" t="s">
        <v>1366</v>
      </c>
      <c r="I509" s="680"/>
      <c r="J509" s="680"/>
      <c r="K509" s="689">
        <v>3360</v>
      </c>
      <c r="L509" s="694" t="s">
        <v>55</v>
      </c>
      <c r="M509" s="679" t="s">
        <v>318</v>
      </c>
      <c r="N509" s="682" t="s">
        <v>55</v>
      </c>
      <c r="O509" s="691"/>
      <c r="P509" s="679"/>
      <c r="Q509" s="679"/>
      <c r="R509" s="679"/>
      <c r="S509" s="679"/>
      <c r="T509" s="679"/>
      <c r="U509" s="679"/>
      <c r="V509" s="679"/>
      <c r="W509" s="679"/>
      <c r="X509" s="681"/>
      <c r="Y509" s="681"/>
      <c r="Z509" s="679" t="s">
        <v>1367</v>
      </c>
      <c r="AA509" s="682" t="s">
        <v>304</v>
      </c>
    </row>
    <row r="510" spans="1:27" s="64" customFormat="1" x14ac:dyDescent="0.25">
      <c r="A510" s="677" t="s">
        <v>1591</v>
      </c>
      <c r="B510" s="678"/>
      <c r="C510" s="678" t="s">
        <v>1603</v>
      </c>
      <c r="D510" s="678" t="s">
        <v>1390</v>
      </c>
      <c r="E510" s="678"/>
      <c r="F510" s="678" t="s">
        <v>51</v>
      </c>
      <c r="G510" s="679" t="s">
        <v>47</v>
      </c>
      <c r="H510" s="678" t="s">
        <v>1366</v>
      </c>
      <c r="I510" s="680"/>
      <c r="J510" s="680"/>
      <c r="K510" s="689">
        <v>2255</v>
      </c>
      <c r="L510" s="694" t="s">
        <v>55</v>
      </c>
      <c r="M510" s="679" t="s">
        <v>318</v>
      </c>
      <c r="N510" s="682" t="s">
        <v>55</v>
      </c>
      <c r="O510" s="691"/>
      <c r="P510" s="679"/>
      <c r="Q510" s="679"/>
      <c r="R510" s="679"/>
      <c r="S510" s="679"/>
      <c r="T510" s="679"/>
      <c r="U510" s="679"/>
      <c r="V510" s="679"/>
      <c r="W510" s="679"/>
      <c r="X510" s="681"/>
      <c r="Y510" s="681"/>
      <c r="Z510" s="679" t="s">
        <v>1367</v>
      </c>
      <c r="AA510" s="682" t="s">
        <v>304</v>
      </c>
    </row>
    <row r="511" spans="1:27" s="64" customFormat="1" x14ac:dyDescent="0.25">
      <c r="A511" s="677" t="s">
        <v>1591</v>
      </c>
      <c r="B511" s="678"/>
      <c r="C511" s="678" t="s">
        <v>1603</v>
      </c>
      <c r="D511" s="678" t="s">
        <v>1390</v>
      </c>
      <c r="E511" s="678" t="s">
        <v>1369</v>
      </c>
      <c r="F511" s="678" t="s">
        <v>53</v>
      </c>
      <c r="G511" s="679" t="s">
        <v>47</v>
      </c>
      <c r="H511" s="678" t="s">
        <v>1366</v>
      </c>
      <c r="I511" s="680"/>
      <c r="J511" s="680"/>
      <c r="K511" s="689">
        <v>3360</v>
      </c>
      <c r="L511" s="694" t="s">
        <v>55</v>
      </c>
      <c r="M511" s="679" t="s">
        <v>318</v>
      </c>
      <c r="N511" s="682" t="s">
        <v>55</v>
      </c>
      <c r="O511" s="691"/>
      <c r="P511" s="679"/>
      <c r="Q511" s="679"/>
      <c r="R511" s="679"/>
      <c r="S511" s="679"/>
      <c r="T511" s="679"/>
      <c r="U511" s="679"/>
      <c r="V511" s="679"/>
      <c r="W511" s="679"/>
      <c r="X511" s="681"/>
      <c r="Y511" s="681"/>
      <c r="Z511" s="679" t="s">
        <v>1367</v>
      </c>
      <c r="AA511" s="682" t="s">
        <v>304</v>
      </c>
    </row>
    <row r="512" spans="1:27" s="64" customFormat="1" x14ac:dyDescent="0.25">
      <c r="A512" s="677" t="s">
        <v>1591</v>
      </c>
      <c r="B512" s="678"/>
      <c r="C512" s="678" t="s">
        <v>1603</v>
      </c>
      <c r="D512" s="678" t="s">
        <v>1391</v>
      </c>
      <c r="E512" s="678" t="s">
        <v>1369</v>
      </c>
      <c r="F512" s="678" t="s">
        <v>53</v>
      </c>
      <c r="G512" s="679" t="s">
        <v>47</v>
      </c>
      <c r="H512" s="678" t="s">
        <v>1366</v>
      </c>
      <c r="I512" s="680"/>
      <c r="J512" s="680"/>
      <c r="K512" s="689">
        <v>3360</v>
      </c>
      <c r="L512" s="694" t="s">
        <v>55</v>
      </c>
      <c r="M512" s="679" t="s">
        <v>318</v>
      </c>
      <c r="N512" s="682" t="s">
        <v>55</v>
      </c>
      <c r="O512" s="691"/>
      <c r="P512" s="679"/>
      <c r="Q512" s="679"/>
      <c r="R512" s="679"/>
      <c r="S512" s="679"/>
      <c r="T512" s="679"/>
      <c r="U512" s="679"/>
      <c r="V512" s="679"/>
      <c r="W512" s="679"/>
      <c r="X512" s="681"/>
      <c r="Y512" s="681"/>
      <c r="Z512" s="679" t="s">
        <v>1367</v>
      </c>
      <c r="AA512" s="682" t="s">
        <v>304</v>
      </c>
    </row>
    <row r="513" spans="1:27" s="64" customFormat="1" x14ac:dyDescent="0.25">
      <c r="A513" s="677" t="s">
        <v>1591</v>
      </c>
      <c r="B513" s="678"/>
      <c r="C513" s="678" t="s">
        <v>1603</v>
      </c>
      <c r="D513" s="678" t="s">
        <v>1391</v>
      </c>
      <c r="E513" s="678" t="s">
        <v>1379</v>
      </c>
      <c r="F513" s="678" t="s">
        <v>53</v>
      </c>
      <c r="G513" s="679" t="s">
        <v>47</v>
      </c>
      <c r="H513" s="678" t="s">
        <v>1366</v>
      </c>
      <c r="I513" s="680"/>
      <c r="J513" s="680"/>
      <c r="K513" s="689">
        <v>3360</v>
      </c>
      <c r="L513" s="694" t="s">
        <v>55</v>
      </c>
      <c r="M513" s="679" t="s">
        <v>318</v>
      </c>
      <c r="N513" s="682" t="s">
        <v>55</v>
      </c>
      <c r="O513" s="691"/>
      <c r="P513" s="679"/>
      <c r="Q513" s="679"/>
      <c r="R513" s="679"/>
      <c r="S513" s="679"/>
      <c r="T513" s="679"/>
      <c r="U513" s="679"/>
      <c r="V513" s="679"/>
      <c r="W513" s="679"/>
      <c r="X513" s="681"/>
      <c r="Y513" s="681"/>
      <c r="Z513" s="679" t="s">
        <v>1367</v>
      </c>
      <c r="AA513" s="682" t="s">
        <v>304</v>
      </c>
    </row>
    <row r="514" spans="1:27" s="64" customFormat="1" x14ac:dyDescent="0.25">
      <c r="A514" s="677" t="s">
        <v>1591</v>
      </c>
      <c r="B514" s="678"/>
      <c r="C514" s="678" t="s">
        <v>1400</v>
      </c>
      <c r="D514" s="678" t="s">
        <v>1390</v>
      </c>
      <c r="E514" s="678"/>
      <c r="F514" s="678" t="s">
        <v>51</v>
      </c>
      <c r="G514" s="679" t="s">
        <v>47</v>
      </c>
      <c r="H514" s="678" t="s">
        <v>1366</v>
      </c>
      <c r="I514" s="680"/>
      <c r="J514" s="680"/>
      <c r="K514" s="689">
        <v>2255</v>
      </c>
      <c r="L514" s="694" t="s">
        <v>55</v>
      </c>
      <c r="M514" s="679" t="s">
        <v>318</v>
      </c>
      <c r="N514" s="682" t="s">
        <v>55</v>
      </c>
      <c r="O514" s="691"/>
      <c r="P514" s="679"/>
      <c r="Q514" s="679"/>
      <c r="R514" s="679"/>
      <c r="S514" s="679"/>
      <c r="T514" s="679"/>
      <c r="U514" s="679"/>
      <c r="V514" s="679"/>
      <c r="W514" s="679"/>
      <c r="X514" s="681"/>
      <c r="Y514" s="681"/>
      <c r="Z514" s="679" t="s">
        <v>1367</v>
      </c>
      <c r="AA514" s="682" t="s">
        <v>304</v>
      </c>
    </row>
    <row r="515" spans="1:27" s="64" customFormat="1" x14ac:dyDescent="0.25">
      <c r="A515" s="677" t="s">
        <v>1591</v>
      </c>
      <c r="B515" s="678"/>
      <c r="C515" s="678" t="s">
        <v>1400</v>
      </c>
      <c r="D515" s="678" t="s">
        <v>1390</v>
      </c>
      <c r="E515" s="678" t="s">
        <v>1369</v>
      </c>
      <c r="F515" s="678" t="s">
        <v>53</v>
      </c>
      <c r="G515" s="679" t="s">
        <v>47</v>
      </c>
      <c r="H515" s="678" t="s">
        <v>1366</v>
      </c>
      <c r="I515" s="680"/>
      <c r="J515" s="680"/>
      <c r="K515" s="689">
        <v>3360</v>
      </c>
      <c r="L515" s="694" t="s">
        <v>55</v>
      </c>
      <c r="M515" s="679" t="s">
        <v>318</v>
      </c>
      <c r="N515" s="682" t="s">
        <v>55</v>
      </c>
      <c r="O515" s="691"/>
      <c r="P515" s="679"/>
      <c r="Q515" s="679"/>
      <c r="R515" s="679"/>
      <c r="S515" s="679"/>
      <c r="T515" s="679"/>
      <c r="U515" s="679"/>
      <c r="V515" s="679"/>
      <c r="W515" s="679"/>
      <c r="X515" s="681"/>
      <c r="Y515" s="681"/>
      <c r="Z515" s="679" t="s">
        <v>1367</v>
      </c>
      <c r="AA515" s="682" t="s">
        <v>304</v>
      </c>
    </row>
    <row r="516" spans="1:27" s="64" customFormat="1" x14ac:dyDescent="0.25">
      <c r="A516" s="677" t="s">
        <v>1591</v>
      </c>
      <c r="B516" s="678"/>
      <c r="C516" s="678" t="s">
        <v>1400</v>
      </c>
      <c r="D516" s="678" t="s">
        <v>1391</v>
      </c>
      <c r="E516" s="678" t="s">
        <v>1369</v>
      </c>
      <c r="F516" s="678" t="s">
        <v>53</v>
      </c>
      <c r="G516" s="679" t="s">
        <v>47</v>
      </c>
      <c r="H516" s="678" t="s">
        <v>1366</v>
      </c>
      <c r="I516" s="680"/>
      <c r="J516" s="680"/>
      <c r="K516" s="689">
        <v>3360</v>
      </c>
      <c r="L516" s="694" t="s">
        <v>55</v>
      </c>
      <c r="M516" s="679" t="s">
        <v>318</v>
      </c>
      <c r="N516" s="682" t="s">
        <v>55</v>
      </c>
      <c r="O516" s="691"/>
      <c r="P516" s="679"/>
      <c r="Q516" s="679"/>
      <c r="R516" s="679"/>
      <c r="S516" s="679"/>
      <c r="T516" s="679"/>
      <c r="U516" s="679"/>
      <c r="V516" s="679"/>
      <c r="W516" s="679"/>
      <c r="X516" s="681"/>
      <c r="Y516" s="681"/>
      <c r="Z516" s="679" t="s">
        <v>1367</v>
      </c>
      <c r="AA516" s="682" t="s">
        <v>304</v>
      </c>
    </row>
    <row r="517" spans="1:27" s="64" customFormat="1" x14ac:dyDescent="0.25">
      <c r="A517" s="677" t="s">
        <v>1591</v>
      </c>
      <c r="B517" s="678"/>
      <c r="C517" s="678" t="s">
        <v>1400</v>
      </c>
      <c r="D517" s="678" t="s">
        <v>1391</v>
      </c>
      <c r="E517" s="678" t="s">
        <v>1379</v>
      </c>
      <c r="F517" s="678" t="s">
        <v>53</v>
      </c>
      <c r="G517" s="679" t="s">
        <v>47</v>
      </c>
      <c r="H517" s="678" t="s">
        <v>1366</v>
      </c>
      <c r="I517" s="680"/>
      <c r="J517" s="680"/>
      <c r="K517" s="689">
        <v>3360</v>
      </c>
      <c r="L517" s="694" t="s">
        <v>55</v>
      </c>
      <c r="M517" s="679" t="s">
        <v>318</v>
      </c>
      <c r="N517" s="682" t="s">
        <v>55</v>
      </c>
      <c r="O517" s="691"/>
      <c r="P517" s="679"/>
      <c r="Q517" s="679"/>
      <c r="R517" s="679"/>
      <c r="S517" s="679"/>
      <c r="T517" s="679"/>
      <c r="U517" s="679"/>
      <c r="V517" s="679"/>
      <c r="W517" s="679"/>
      <c r="X517" s="681"/>
      <c r="Y517" s="681"/>
      <c r="Z517" s="679" t="s">
        <v>1367</v>
      </c>
      <c r="AA517" s="682" t="s">
        <v>304</v>
      </c>
    </row>
    <row r="518" spans="1:27" s="64" customFormat="1" x14ac:dyDescent="0.25">
      <c r="A518" s="677" t="s">
        <v>1592</v>
      </c>
      <c r="B518" s="678"/>
      <c r="C518" s="678" t="s">
        <v>1606</v>
      </c>
      <c r="D518" s="678" t="s">
        <v>1597</v>
      </c>
      <c r="E518" s="678"/>
      <c r="F518" s="678" t="s">
        <v>51</v>
      </c>
      <c r="G518" s="679" t="s">
        <v>47</v>
      </c>
      <c r="H518" s="678" t="s">
        <v>1366</v>
      </c>
      <c r="I518" s="680"/>
      <c r="J518" s="680"/>
      <c r="K518" s="689">
        <v>2340</v>
      </c>
      <c r="L518" s="694" t="s">
        <v>55</v>
      </c>
      <c r="M518" s="679" t="s">
        <v>318</v>
      </c>
      <c r="N518" s="682" t="s">
        <v>55</v>
      </c>
      <c r="O518" s="691"/>
      <c r="P518" s="679"/>
      <c r="Q518" s="679"/>
      <c r="R518" s="679"/>
      <c r="S518" s="679"/>
      <c r="T518" s="679"/>
      <c r="U518" s="679"/>
      <c r="V518" s="679"/>
      <c r="W518" s="679"/>
      <c r="X518" s="681"/>
      <c r="Y518" s="681"/>
      <c r="Z518" s="679" t="s">
        <v>1367</v>
      </c>
      <c r="AA518" s="682" t="s">
        <v>304</v>
      </c>
    </row>
    <row r="519" spans="1:27" s="64" customFormat="1" x14ac:dyDescent="0.25">
      <c r="A519" s="677" t="s">
        <v>1592</v>
      </c>
      <c r="B519" s="678"/>
      <c r="C519" s="678" t="s">
        <v>1606</v>
      </c>
      <c r="D519" s="678" t="s">
        <v>1377</v>
      </c>
      <c r="E519" s="678" t="s">
        <v>1373</v>
      </c>
      <c r="F519" s="678" t="s">
        <v>53</v>
      </c>
      <c r="G519" s="679" t="s">
        <v>47</v>
      </c>
      <c r="H519" s="678" t="s">
        <v>1366</v>
      </c>
      <c r="I519" s="680"/>
      <c r="J519" s="680"/>
      <c r="K519" s="689">
        <v>3360</v>
      </c>
      <c r="L519" s="694" t="s">
        <v>55</v>
      </c>
      <c r="M519" s="679" t="s">
        <v>318</v>
      </c>
      <c r="N519" s="682" t="s">
        <v>55</v>
      </c>
      <c r="O519" s="691"/>
      <c r="P519" s="679"/>
      <c r="Q519" s="679"/>
      <c r="R519" s="679"/>
      <c r="S519" s="679"/>
      <c r="T519" s="679"/>
      <c r="U519" s="679"/>
      <c r="V519" s="679"/>
      <c r="W519" s="679"/>
      <c r="X519" s="681"/>
      <c r="Y519" s="681"/>
      <c r="Z519" s="679" t="s">
        <v>1367</v>
      </c>
      <c r="AA519" s="682" t="s">
        <v>304</v>
      </c>
    </row>
    <row r="520" spans="1:27" s="64" customFormat="1" x14ac:dyDescent="0.25">
      <c r="A520" s="677" t="s">
        <v>1592</v>
      </c>
      <c r="B520" s="678"/>
      <c r="C520" s="678" t="s">
        <v>1606</v>
      </c>
      <c r="D520" s="678" t="s">
        <v>1377</v>
      </c>
      <c r="E520" s="678" t="s">
        <v>1374</v>
      </c>
      <c r="F520" s="678" t="s">
        <v>53</v>
      </c>
      <c r="G520" s="679" t="s">
        <v>47</v>
      </c>
      <c r="H520" s="678" t="s">
        <v>1366</v>
      </c>
      <c r="I520" s="680"/>
      <c r="J520" s="680"/>
      <c r="K520" s="689">
        <v>4040</v>
      </c>
      <c r="L520" s="694" t="s">
        <v>55</v>
      </c>
      <c r="M520" s="679" t="s">
        <v>318</v>
      </c>
      <c r="N520" s="682" t="s">
        <v>55</v>
      </c>
      <c r="O520" s="691"/>
      <c r="P520" s="679"/>
      <c r="Q520" s="679"/>
      <c r="R520" s="679"/>
      <c r="S520" s="679"/>
      <c r="T520" s="679"/>
      <c r="U520" s="679"/>
      <c r="V520" s="679"/>
      <c r="W520" s="679"/>
      <c r="X520" s="681"/>
      <c r="Y520" s="681"/>
      <c r="Z520" s="679" t="s">
        <v>1367</v>
      </c>
      <c r="AA520" s="682" t="s">
        <v>304</v>
      </c>
    </row>
    <row r="521" spans="1:27" s="64" customFormat="1" x14ac:dyDescent="0.25">
      <c r="A521" s="677" t="s">
        <v>1592</v>
      </c>
      <c r="B521" s="678"/>
      <c r="C521" s="678" t="s">
        <v>1398</v>
      </c>
      <c r="D521" s="678" t="s">
        <v>1597</v>
      </c>
      <c r="E521" s="678"/>
      <c r="F521" s="678" t="s">
        <v>51</v>
      </c>
      <c r="G521" s="679" t="s">
        <v>47</v>
      </c>
      <c r="H521" s="678" t="s">
        <v>1366</v>
      </c>
      <c r="I521" s="680"/>
      <c r="J521" s="680"/>
      <c r="K521" s="689">
        <v>2440</v>
      </c>
      <c r="L521" s="694" t="s">
        <v>55</v>
      </c>
      <c r="M521" s="679" t="s">
        <v>318</v>
      </c>
      <c r="N521" s="682" t="s">
        <v>55</v>
      </c>
      <c r="O521" s="691"/>
      <c r="P521" s="679"/>
      <c r="Q521" s="679"/>
      <c r="R521" s="679"/>
      <c r="S521" s="679"/>
      <c r="T521" s="679"/>
      <c r="U521" s="679"/>
      <c r="V521" s="679"/>
      <c r="W521" s="679"/>
      <c r="X521" s="681"/>
      <c r="Y521" s="681"/>
      <c r="Z521" s="679" t="s">
        <v>1367</v>
      </c>
      <c r="AA521" s="682" t="s">
        <v>304</v>
      </c>
    </row>
    <row r="522" spans="1:27" s="64" customFormat="1" x14ac:dyDescent="0.25">
      <c r="A522" s="677" t="s">
        <v>1592</v>
      </c>
      <c r="B522" s="678"/>
      <c r="C522" s="678" t="s">
        <v>1398</v>
      </c>
      <c r="D522" s="678" t="s">
        <v>1377</v>
      </c>
      <c r="E522" s="678" t="s">
        <v>1373</v>
      </c>
      <c r="F522" s="678" t="s">
        <v>53</v>
      </c>
      <c r="G522" s="679" t="s">
        <v>47</v>
      </c>
      <c r="H522" s="678" t="s">
        <v>1366</v>
      </c>
      <c r="I522" s="680"/>
      <c r="J522" s="680"/>
      <c r="K522" s="689">
        <v>3460</v>
      </c>
      <c r="L522" s="694" t="s">
        <v>55</v>
      </c>
      <c r="M522" s="679" t="s">
        <v>318</v>
      </c>
      <c r="N522" s="682" t="s">
        <v>55</v>
      </c>
      <c r="O522" s="691"/>
      <c r="P522" s="679"/>
      <c r="Q522" s="679"/>
      <c r="R522" s="679"/>
      <c r="S522" s="679"/>
      <c r="T522" s="679"/>
      <c r="U522" s="679"/>
      <c r="V522" s="679"/>
      <c r="W522" s="679"/>
      <c r="X522" s="681"/>
      <c r="Y522" s="681"/>
      <c r="Z522" s="679" t="s">
        <v>1367</v>
      </c>
      <c r="AA522" s="682" t="s">
        <v>304</v>
      </c>
    </row>
    <row r="523" spans="1:27" s="64" customFormat="1" x14ac:dyDescent="0.25">
      <c r="A523" s="677" t="s">
        <v>1592</v>
      </c>
      <c r="B523" s="678"/>
      <c r="C523" s="678" t="s">
        <v>1398</v>
      </c>
      <c r="D523" s="678" t="s">
        <v>1377</v>
      </c>
      <c r="E523" s="678" t="s">
        <v>1374</v>
      </c>
      <c r="F523" s="678" t="s">
        <v>53</v>
      </c>
      <c r="G523" s="679" t="s">
        <v>47</v>
      </c>
      <c r="H523" s="678" t="s">
        <v>1366</v>
      </c>
      <c r="I523" s="680"/>
      <c r="J523" s="680"/>
      <c r="K523" s="689">
        <v>4140</v>
      </c>
      <c r="L523" s="694" t="s">
        <v>55</v>
      </c>
      <c r="M523" s="679" t="s">
        <v>318</v>
      </c>
      <c r="N523" s="682" t="s">
        <v>55</v>
      </c>
      <c r="O523" s="691"/>
      <c r="P523" s="679"/>
      <c r="Q523" s="679"/>
      <c r="R523" s="679"/>
      <c r="S523" s="679"/>
      <c r="T523" s="679"/>
      <c r="U523" s="679"/>
      <c r="V523" s="679"/>
      <c r="W523" s="679"/>
      <c r="X523" s="681"/>
      <c r="Y523" s="681"/>
      <c r="Z523" s="679" t="s">
        <v>1367</v>
      </c>
      <c r="AA523" s="682" t="s">
        <v>304</v>
      </c>
    </row>
    <row r="524" spans="1:27" s="64" customFormat="1" x14ac:dyDescent="0.25">
      <c r="A524" s="677" t="s">
        <v>1592</v>
      </c>
      <c r="B524" s="678"/>
      <c r="C524" s="678" t="s">
        <v>1392</v>
      </c>
      <c r="D524" s="678" t="s">
        <v>1597</v>
      </c>
      <c r="E524" s="678"/>
      <c r="F524" s="678" t="s">
        <v>51</v>
      </c>
      <c r="G524" s="679" t="s">
        <v>47</v>
      </c>
      <c r="H524" s="678" t="s">
        <v>1366</v>
      </c>
      <c r="I524" s="680"/>
      <c r="J524" s="680"/>
      <c r="K524" s="689">
        <v>2340</v>
      </c>
      <c r="L524" s="694" t="s">
        <v>55</v>
      </c>
      <c r="M524" s="679" t="s">
        <v>318</v>
      </c>
      <c r="N524" s="682" t="s">
        <v>55</v>
      </c>
      <c r="O524" s="691"/>
      <c r="P524" s="679"/>
      <c r="Q524" s="679"/>
      <c r="R524" s="679"/>
      <c r="S524" s="679"/>
      <c r="T524" s="679"/>
      <c r="U524" s="679"/>
      <c r="V524" s="679"/>
      <c r="W524" s="679"/>
      <c r="X524" s="681"/>
      <c r="Y524" s="681"/>
      <c r="Z524" s="679" t="s">
        <v>1367</v>
      </c>
      <c r="AA524" s="682" t="s">
        <v>304</v>
      </c>
    </row>
    <row r="525" spans="1:27" s="64" customFormat="1" x14ac:dyDescent="0.25">
      <c r="A525" s="677" t="s">
        <v>1592</v>
      </c>
      <c r="B525" s="678"/>
      <c r="C525" s="678" t="s">
        <v>1392</v>
      </c>
      <c r="D525" s="678" t="s">
        <v>1377</v>
      </c>
      <c r="E525" s="678" t="s">
        <v>1373</v>
      </c>
      <c r="F525" s="678" t="s">
        <v>53</v>
      </c>
      <c r="G525" s="679" t="s">
        <v>47</v>
      </c>
      <c r="H525" s="678" t="s">
        <v>1366</v>
      </c>
      <c r="I525" s="680"/>
      <c r="J525" s="680"/>
      <c r="K525" s="689">
        <v>3360</v>
      </c>
      <c r="L525" s="694" t="s">
        <v>55</v>
      </c>
      <c r="M525" s="679" t="s">
        <v>318</v>
      </c>
      <c r="N525" s="682" t="s">
        <v>55</v>
      </c>
      <c r="O525" s="691"/>
      <c r="P525" s="679"/>
      <c r="Q525" s="679"/>
      <c r="R525" s="679"/>
      <c r="S525" s="679"/>
      <c r="T525" s="679"/>
      <c r="U525" s="679"/>
      <c r="V525" s="679"/>
      <c r="W525" s="679"/>
      <c r="X525" s="681"/>
      <c r="Y525" s="681"/>
      <c r="Z525" s="679" t="s">
        <v>1367</v>
      </c>
      <c r="AA525" s="682" t="s">
        <v>304</v>
      </c>
    </row>
    <row r="526" spans="1:27" s="64" customFormat="1" x14ac:dyDescent="0.25">
      <c r="A526" s="677" t="s">
        <v>1592</v>
      </c>
      <c r="B526" s="678"/>
      <c r="C526" s="678" t="s">
        <v>1392</v>
      </c>
      <c r="D526" s="678" t="s">
        <v>1377</v>
      </c>
      <c r="E526" s="678" t="s">
        <v>1374</v>
      </c>
      <c r="F526" s="678" t="s">
        <v>53</v>
      </c>
      <c r="G526" s="679" t="s">
        <v>47</v>
      </c>
      <c r="H526" s="678" t="s">
        <v>1366</v>
      </c>
      <c r="I526" s="680"/>
      <c r="J526" s="680"/>
      <c r="K526" s="689">
        <v>4040</v>
      </c>
      <c r="L526" s="694" t="s">
        <v>55</v>
      </c>
      <c r="M526" s="679" t="s">
        <v>318</v>
      </c>
      <c r="N526" s="682" t="s">
        <v>55</v>
      </c>
      <c r="O526" s="691"/>
      <c r="P526" s="679"/>
      <c r="Q526" s="679"/>
      <c r="R526" s="679"/>
      <c r="S526" s="679"/>
      <c r="T526" s="679"/>
      <c r="U526" s="679"/>
      <c r="V526" s="679"/>
      <c r="W526" s="679"/>
      <c r="X526" s="681"/>
      <c r="Y526" s="681"/>
      <c r="Z526" s="679" t="s">
        <v>1367</v>
      </c>
      <c r="AA526" s="682" t="s">
        <v>304</v>
      </c>
    </row>
    <row r="527" spans="1:27" s="64" customFormat="1" x14ac:dyDescent="0.25">
      <c r="A527" s="677" t="s">
        <v>1592</v>
      </c>
      <c r="B527" s="678"/>
      <c r="C527" s="678" t="s">
        <v>1595</v>
      </c>
      <c r="D527" s="678" t="s">
        <v>1597</v>
      </c>
      <c r="E527" s="678"/>
      <c r="F527" s="678" t="s">
        <v>51</v>
      </c>
      <c r="G527" s="679" t="s">
        <v>47</v>
      </c>
      <c r="H527" s="678" t="s">
        <v>1366</v>
      </c>
      <c r="I527" s="680"/>
      <c r="J527" s="680"/>
      <c r="K527" s="689">
        <v>2340</v>
      </c>
      <c r="L527" s="694" t="s">
        <v>55</v>
      </c>
      <c r="M527" s="679" t="s">
        <v>318</v>
      </c>
      <c r="N527" s="682" t="s">
        <v>55</v>
      </c>
      <c r="O527" s="691"/>
      <c r="P527" s="679"/>
      <c r="Q527" s="679"/>
      <c r="R527" s="679"/>
      <c r="S527" s="679"/>
      <c r="T527" s="679"/>
      <c r="U527" s="679"/>
      <c r="V527" s="679"/>
      <c r="W527" s="679"/>
      <c r="X527" s="681"/>
      <c r="Y527" s="681"/>
      <c r="Z527" s="679" t="s">
        <v>1367</v>
      </c>
      <c r="AA527" s="682" t="s">
        <v>304</v>
      </c>
    </row>
    <row r="528" spans="1:27" s="64" customFormat="1" x14ac:dyDescent="0.25">
      <c r="A528" s="677" t="s">
        <v>1592</v>
      </c>
      <c r="B528" s="678"/>
      <c r="C528" s="678" t="s">
        <v>1595</v>
      </c>
      <c r="D528" s="678" t="s">
        <v>1377</v>
      </c>
      <c r="E528" s="678" t="s">
        <v>1373</v>
      </c>
      <c r="F528" s="678" t="s">
        <v>53</v>
      </c>
      <c r="G528" s="679" t="s">
        <v>47</v>
      </c>
      <c r="H528" s="678" t="s">
        <v>1366</v>
      </c>
      <c r="I528" s="680"/>
      <c r="J528" s="680"/>
      <c r="K528" s="689">
        <v>3360</v>
      </c>
      <c r="L528" s="694" t="s">
        <v>55</v>
      </c>
      <c r="M528" s="679" t="s">
        <v>318</v>
      </c>
      <c r="N528" s="682" t="s">
        <v>55</v>
      </c>
      <c r="O528" s="691"/>
      <c r="P528" s="679"/>
      <c r="Q528" s="679"/>
      <c r="R528" s="679"/>
      <c r="S528" s="679"/>
      <c r="T528" s="679"/>
      <c r="U528" s="679"/>
      <c r="V528" s="679"/>
      <c r="W528" s="679"/>
      <c r="X528" s="681"/>
      <c r="Y528" s="681"/>
      <c r="Z528" s="679" t="s">
        <v>1367</v>
      </c>
      <c r="AA528" s="682" t="s">
        <v>304</v>
      </c>
    </row>
    <row r="529" spans="1:27" s="64" customFormat="1" x14ac:dyDescent="0.25">
      <c r="A529" s="677" t="s">
        <v>1592</v>
      </c>
      <c r="B529" s="678"/>
      <c r="C529" s="678" t="s">
        <v>1595</v>
      </c>
      <c r="D529" s="678" t="s">
        <v>1377</v>
      </c>
      <c r="E529" s="678" t="s">
        <v>1374</v>
      </c>
      <c r="F529" s="678" t="s">
        <v>53</v>
      </c>
      <c r="G529" s="679" t="s">
        <v>47</v>
      </c>
      <c r="H529" s="678" t="s">
        <v>1366</v>
      </c>
      <c r="I529" s="680"/>
      <c r="J529" s="680"/>
      <c r="K529" s="689">
        <v>4040</v>
      </c>
      <c r="L529" s="694" t="s">
        <v>55</v>
      </c>
      <c r="M529" s="679" t="s">
        <v>318</v>
      </c>
      <c r="N529" s="682" t="s">
        <v>55</v>
      </c>
      <c r="O529" s="691"/>
      <c r="P529" s="679"/>
      <c r="Q529" s="679"/>
      <c r="R529" s="679"/>
      <c r="S529" s="679"/>
      <c r="T529" s="679"/>
      <c r="U529" s="679"/>
      <c r="V529" s="679"/>
      <c r="W529" s="679"/>
      <c r="X529" s="681"/>
      <c r="Y529" s="681"/>
      <c r="Z529" s="679" t="s">
        <v>1367</v>
      </c>
      <c r="AA529" s="682" t="s">
        <v>304</v>
      </c>
    </row>
    <row r="530" spans="1:27" s="64" customFormat="1" x14ac:dyDescent="0.25">
      <c r="A530" s="677" t="s">
        <v>1592</v>
      </c>
      <c r="B530" s="678"/>
      <c r="C530" s="678" t="s">
        <v>1400</v>
      </c>
      <c r="D530" s="678" t="s">
        <v>1597</v>
      </c>
      <c r="E530" s="678"/>
      <c r="F530" s="678" t="s">
        <v>51</v>
      </c>
      <c r="G530" s="679" t="s">
        <v>47</v>
      </c>
      <c r="H530" s="678" t="s">
        <v>1366</v>
      </c>
      <c r="I530" s="680"/>
      <c r="J530" s="680"/>
      <c r="K530" s="689">
        <v>2490</v>
      </c>
      <c r="L530" s="694" t="s">
        <v>55</v>
      </c>
      <c r="M530" s="679" t="s">
        <v>318</v>
      </c>
      <c r="N530" s="682" t="s">
        <v>55</v>
      </c>
      <c r="O530" s="691"/>
      <c r="P530" s="679"/>
      <c r="Q530" s="679"/>
      <c r="R530" s="679"/>
      <c r="S530" s="679"/>
      <c r="T530" s="679"/>
      <c r="U530" s="679"/>
      <c r="V530" s="679"/>
      <c r="W530" s="679"/>
      <c r="X530" s="681"/>
      <c r="Y530" s="681"/>
      <c r="Z530" s="679" t="s">
        <v>1367</v>
      </c>
      <c r="AA530" s="682" t="s">
        <v>304</v>
      </c>
    </row>
    <row r="531" spans="1:27" s="64" customFormat="1" x14ac:dyDescent="0.25">
      <c r="A531" s="677" t="s">
        <v>1592</v>
      </c>
      <c r="B531" s="678"/>
      <c r="C531" s="678" t="s">
        <v>1400</v>
      </c>
      <c r="D531" s="678" t="s">
        <v>1377</v>
      </c>
      <c r="E531" s="678" t="s">
        <v>1373</v>
      </c>
      <c r="F531" s="678" t="s">
        <v>53</v>
      </c>
      <c r="G531" s="679" t="s">
        <v>47</v>
      </c>
      <c r="H531" s="678" t="s">
        <v>1366</v>
      </c>
      <c r="I531" s="680"/>
      <c r="J531" s="680"/>
      <c r="K531" s="689">
        <v>3510</v>
      </c>
      <c r="L531" s="694" t="s">
        <v>55</v>
      </c>
      <c r="M531" s="679" t="s">
        <v>318</v>
      </c>
      <c r="N531" s="682" t="s">
        <v>55</v>
      </c>
      <c r="O531" s="691"/>
      <c r="P531" s="679"/>
      <c r="Q531" s="679"/>
      <c r="R531" s="679"/>
      <c r="S531" s="679"/>
      <c r="T531" s="679"/>
      <c r="U531" s="679"/>
      <c r="V531" s="679"/>
      <c r="W531" s="679"/>
      <c r="X531" s="681"/>
      <c r="Y531" s="681"/>
      <c r="Z531" s="679" t="s">
        <v>1367</v>
      </c>
      <c r="AA531" s="682" t="s">
        <v>304</v>
      </c>
    </row>
    <row r="532" spans="1:27" s="64" customFormat="1" x14ac:dyDescent="0.25">
      <c r="A532" s="677" t="s">
        <v>1592</v>
      </c>
      <c r="B532" s="678"/>
      <c r="C532" s="678" t="s">
        <v>1400</v>
      </c>
      <c r="D532" s="678" t="s">
        <v>1377</v>
      </c>
      <c r="E532" s="678" t="s">
        <v>1374</v>
      </c>
      <c r="F532" s="678" t="s">
        <v>53</v>
      </c>
      <c r="G532" s="679" t="s">
        <v>47</v>
      </c>
      <c r="H532" s="678" t="s">
        <v>1366</v>
      </c>
      <c r="I532" s="680"/>
      <c r="J532" s="680"/>
      <c r="K532" s="689">
        <v>4190</v>
      </c>
      <c r="L532" s="694" t="s">
        <v>55</v>
      </c>
      <c r="M532" s="679" t="s">
        <v>318</v>
      </c>
      <c r="N532" s="682" t="s">
        <v>55</v>
      </c>
      <c r="O532" s="691"/>
      <c r="P532" s="679"/>
      <c r="Q532" s="679"/>
      <c r="R532" s="679"/>
      <c r="S532" s="679"/>
      <c r="T532" s="679"/>
      <c r="U532" s="679"/>
      <c r="V532" s="679"/>
      <c r="W532" s="679"/>
      <c r="X532" s="681"/>
      <c r="Y532" s="681"/>
      <c r="Z532" s="679" t="s">
        <v>1367</v>
      </c>
      <c r="AA532" s="682" t="s">
        <v>304</v>
      </c>
    </row>
    <row r="533" spans="1:27" s="64" customFormat="1" x14ac:dyDescent="0.25">
      <c r="A533" s="677" t="s">
        <v>1593</v>
      </c>
      <c r="B533" s="678"/>
      <c r="C533" s="678" t="s">
        <v>1200</v>
      </c>
      <c r="D533" s="678" t="s">
        <v>1619</v>
      </c>
      <c r="E533" s="678"/>
      <c r="F533" s="678" t="s">
        <v>51</v>
      </c>
      <c r="G533" s="679" t="s">
        <v>47</v>
      </c>
      <c r="H533" s="678" t="s">
        <v>1366</v>
      </c>
      <c r="I533" s="680"/>
      <c r="J533" s="680"/>
      <c r="K533" s="689">
        <v>2255</v>
      </c>
      <c r="L533" s="694" t="s">
        <v>55</v>
      </c>
      <c r="M533" s="679" t="s">
        <v>318</v>
      </c>
      <c r="N533" s="682" t="s">
        <v>55</v>
      </c>
      <c r="O533" s="691"/>
      <c r="P533" s="679"/>
      <c r="Q533" s="679"/>
      <c r="R533" s="679"/>
      <c r="S533" s="679"/>
      <c r="T533" s="679"/>
      <c r="U533" s="679"/>
      <c r="V533" s="679"/>
      <c r="W533" s="679"/>
      <c r="X533" s="681"/>
      <c r="Y533" s="681"/>
      <c r="Z533" s="679" t="s">
        <v>1367</v>
      </c>
      <c r="AA533" s="682" t="s">
        <v>304</v>
      </c>
    </row>
    <row r="534" spans="1:27" s="64" customFormat="1" x14ac:dyDescent="0.25">
      <c r="A534" s="677" t="s">
        <v>1593</v>
      </c>
      <c r="B534" s="678"/>
      <c r="C534" s="678" t="s">
        <v>1398</v>
      </c>
      <c r="D534" s="678" t="s">
        <v>1619</v>
      </c>
      <c r="E534" s="678"/>
      <c r="F534" s="678" t="s">
        <v>51</v>
      </c>
      <c r="G534" s="679" t="s">
        <v>47</v>
      </c>
      <c r="H534" s="678" t="s">
        <v>1366</v>
      </c>
      <c r="I534" s="680"/>
      <c r="J534" s="680"/>
      <c r="K534" s="689">
        <v>2255</v>
      </c>
      <c r="L534" s="694" t="s">
        <v>55</v>
      </c>
      <c r="M534" s="679" t="s">
        <v>318</v>
      </c>
      <c r="N534" s="682" t="s">
        <v>55</v>
      </c>
      <c r="O534" s="691"/>
      <c r="P534" s="679"/>
      <c r="Q534" s="679"/>
      <c r="R534" s="679"/>
      <c r="S534" s="679"/>
      <c r="T534" s="679"/>
      <c r="U534" s="679"/>
      <c r="V534" s="679"/>
      <c r="W534" s="679"/>
      <c r="X534" s="681"/>
      <c r="Y534" s="681"/>
      <c r="Z534" s="679" t="s">
        <v>1367</v>
      </c>
      <c r="AA534" s="682" t="s">
        <v>304</v>
      </c>
    </row>
    <row r="535" spans="1:27" s="258" customFormat="1" x14ac:dyDescent="0.25">
      <c r="A535" s="683" t="s">
        <v>1591</v>
      </c>
      <c r="B535" s="684"/>
      <c r="C535" s="684" t="s">
        <v>1601</v>
      </c>
      <c r="D535" s="684" t="s">
        <v>1390</v>
      </c>
      <c r="E535" s="684"/>
      <c r="F535" s="684" t="s">
        <v>51</v>
      </c>
      <c r="G535" s="685" t="s">
        <v>47</v>
      </c>
      <c r="H535" s="684" t="s">
        <v>1366</v>
      </c>
      <c r="I535" s="686"/>
      <c r="J535" s="686"/>
      <c r="K535" s="692">
        <v>2125</v>
      </c>
      <c r="L535" s="693" t="s">
        <v>55</v>
      </c>
      <c r="M535" s="685" t="s">
        <v>318</v>
      </c>
      <c r="N535" s="688" t="s">
        <v>55</v>
      </c>
      <c r="O535" s="693"/>
      <c r="P535" s="685"/>
      <c r="Q535" s="685"/>
      <c r="R535" s="685"/>
      <c r="S535" s="685"/>
      <c r="T535" s="685"/>
      <c r="U535" s="685"/>
      <c r="V535" s="685"/>
      <c r="W535" s="685"/>
      <c r="X535" s="687"/>
      <c r="Y535" s="687"/>
      <c r="Z535" s="685" t="s">
        <v>1367</v>
      </c>
      <c r="AA535" s="688" t="s">
        <v>304</v>
      </c>
    </row>
    <row r="536" spans="1:27" s="258" customFormat="1" x14ac:dyDescent="0.25">
      <c r="A536" s="683" t="s">
        <v>1591</v>
      </c>
      <c r="B536" s="684"/>
      <c r="C536" s="684" t="s">
        <v>1601</v>
      </c>
      <c r="D536" s="684" t="s">
        <v>1608</v>
      </c>
      <c r="E536" s="684"/>
      <c r="F536" s="684" t="s">
        <v>51</v>
      </c>
      <c r="G536" s="685" t="s">
        <v>47</v>
      </c>
      <c r="H536" s="684" t="s">
        <v>1366</v>
      </c>
      <c r="I536" s="686"/>
      <c r="J536" s="686"/>
      <c r="K536" s="692">
        <v>2125</v>
      </c>
      <c r="L536" s="693" t="s">
        <v>55</v>
      </c>
      <c r="M536" s="685" t="s">
        <v>318</v>
      </c>
      <c r="N536" s="688" t="s">
        <v>55</v>
      </c>
      <c r="O536" s="693"/>
      <c r="P536" s="685"/>
      <c r="Q536" s="685"/>
      <c r="R536" s="685"/>
      <c r="S536" s="685"/>
      <c r="T536" s="685"/>
      <c r="U536" s="685"/>
      <c r="V536" s="685"/>
      <c r="W536" s="685"/>
      <c r="X536" s="687"/>
      <c r="Y536" s="687"/>
      <c r="Z536" s="685" t="s">
        <v>1367</v>
      </c>
      <c r="AA536" s="688" t="s">
        <v>304</v>
      </c>
    </row>
    <row r="537" spans="1:27" s="258" customFormat="1" x14ac:dyDescent="0.25">
      <c r="A537" s="683" t="s">
        <v>1591</v>
      </c>
      <c r="B537" s="684"/>
      <c r="C537" s="684" t="s">
        <v>1601</v>
      </c>
      <c r="D537" s="684" t="s">
        <v>1609</v>
      </c>
      <c r="E537" s="684"/>
      <c r="F537" s="684" t="s">
        <v>51</v>
      </c>
      <c r="G537" s="685" t="s">
        <v>47</v>
      </c>
      <c r="H537" s="684" t="s">
        <v>1366</v>
      </c>
      <c r="I537" s="686"/>
      <c r="J537" s="686"/>
      <c r="K537" s="692">
        <v>2125</v>
      </c>
      <c r="L537" s="693" t="s">
        <v>55</v>
      </c>
      <c r="M537" s="685" t="s">
        <v>318</v>
      </c>
      <c r="N537" s="688" t="s">
        <v>55</v>
      </c>
      <c r="O537" s="693"/>
      <c r="P537" s="685"/>
      <c r="Q537" s="685"/>
      <c r="R537" s="685"/>
      <c r="S537" s="685"/>
      <c r="T537" s="685"/>
      <c r="U537" s="685"/>
      <c r="V537" s="685"/>
      <c r="W537" s="685"/>
      <c r="X537" s="687"/>
      <c r="Y537" s="687"/>
      <c r="Z537" s="685" t="s">
        <v>1367</v>
      </c>
      <c r="AA537" s="688" t="s">
        <v>304</v>
      </c>
    </row>
    <row r="538" spans="1:27" s="258" customFormat="1" x14ac:dyDescent="0.25">
      <c r="A538" s="683" t="s">
        <v>1591</v>
      </c>
      <c r="B538" s="684"/>
      <c r="C538" s="684" t="s">
        <v>1601</v>
      </c>
      <c r="D538" s="684" t="s">
        <v>1390</v>
      </c>
      <c r="E538" s="684" t="s">
        <v>1369</v>
      </c>
      <c r="F538" s="684" t="s">
        <v>53</v>
      </c>
      <c r="G538" s="685" t="s">
        <v>47</v>
      </c>
      <c r="H538" s="684" t="s">
        <v>1366</v>
      </c>
      <c r="I538" s="686"/>
      <c r="J538" s="686"/>
      <c r="K538" s="692">
        <v>3230</v>
      </c>
      <c r="L538" s="693" t="s">
        <v>55</v>
      </c>
      <c r="M538" s="685" t="s">
        <v>318</v>
      </c>
      <c r="N538" s="688" t="s">
        <v>55</v>
      </c>
      <c r="O538" s="693"/>
      <c r="P538" s="685"/>
      <c r="Q538" s="685"/>
      <c r="R538" s="685"/>
      <c r="S538" s="685"/>
      <c r="T538" s="685"/>
      <c r="U538" s="685"/>
      <c r="V538" s="685"/>
      <c r="W538" s="685"/>
      <c r="X538" s="687"/>
      <c r="Y538" s="687"/>
      <c r="Z538" s="685" t="s">
        <v>1367</v>
      </c>
      <c r="AA538" s="688" t="s">
        <v>304</v>
      </c>
    </row>
    <row r="539" spans="1:27" s="258" customFormat="1" x14ac:dyDescent="0.25">
      <c r="A539" s="683" t="s">
        <v>1591</v>
      </c>
      <c r="B539" s="684"/>
      <c r="C539" s="684" t="s">
        <v>1601</v>
      </c>
      <c r="D539" s="684" t="s">
        <v>1391</v>
      </c>
      <c r="E539" s="684" t="s">
        <v>1369</v>
      </c>
      <c r="F539" s="684" t="s">
        <v>53</v>
      </c>
      <c r="G539" s="685" t="s">
        <v>47</v>
      </c>
      <c r="H539" s="684" t="s">
        <v>1366</v>
      </c>
      <c r="I539" s="686"/>
      <c r="J539" s="686"/>
      <c r="K539" s="692">
        <v>3230</v>
      </c>
      <c r="L539" s="693" t="s">
        <v>55</v>
      </c>
      <c r="M539" s="685" t="s">
        <v>318</v>
      </c>
      <c r="N539" s="688" t="s">
        <v>55</v>
      </c>
      <c r="O539" s="693"/>
      <c r="P539" s="685"/>
      <c r="Q539" s="685"/>
      <c r="R539" s="685"/>
      <c r="S539" s="685"/>
      <c r="T539" s="685"/>
      <c r="U539" s="685"/>
      <c r="V539" s="685"/>
      <c r="W539" s="685"/>
      <c r="X539" s="687"/>
      <c r="Y539" s="687"/>
      <c r="Z539" s="685" t="s">
        <v>1367</v>
      </c>
      <c r="AA539" s="688" t="s">
        <v>304</v>
      </c>
    </row>
    <row r="540" spans="1:27" s="258" customFormat="1" x14ac:dyDescent="0.25">
      <c r="A540" s="683" t="s">
        <v>1591</v>
      </c>
      <c r="B540" s="684"/>
      <c r="C540" s="684" t="s">
        <v>1601</v>
      </c>
      <c r="D540" s="684" t="s">
        <v>1391</v>
      </c>
      <c r="E540" s="684" t="s">
        <v>1379</v>
      </c>
      <c r="F540" s="684" t="s">
        <v>53</v>
      </c>
      <c r="G540" s="685" t="s">
        <v>47</v>
      </c>
      <c r="H540" s="684" t="s">
        <v>1366</v>
      </c>
      <c r="I540" s="686"/>
      <c r="J540" s="686"/>
      <c r="K540" s="692">
        <v>3230</v>
      </c>
      <c r="L540" s="693" t="s">
        <v>55</v>
      </c>
      <c r="M540" s="685" t="s">
        <v>318</v>
      </c>
      <c r="N540" s="688" t="s">
        <v>55</v>
      </c>
      <c r="O540" s="693"/>
      <c r="P540" s="685"/>
      <c r="Q540" s="685"/>
      <c r="R540" s="685"/>
      <c r="S540" s="685"/>
      <c r="T540" s="685"/>
      <c r="U540" s="685"/>
      <c r="V540" s="685"/>
      <c r="W540" s="685"/>
      <c r="X540" s="687"/>
      <c r="Y540" s="687"/>
      <c r="Z540" s="685" t="s">
        <v>1367</v>
      </c>
      <c r="AA540" s="688" t="s">
        <v>304</v>
      </c>
    </row>
    <row r="541" spans="1:27" s="258" customFormat="1" x14ac:dyDescent="0.25">
      <c r="A541" s="683" t="s">
        <v>1591</v>
      </c>
      <c r="B541" s="684"/>
      <c r="C541" s="684" t="s">
        <v>1605</v>
      </c>
      <c r="D541" s="684" t="s">
        <v>1390</v>
      </c>
      <c r="E541" s="684"/>
      <c r="F541" s="684" t="s">
        <v>51</v>
      </c>
      <c r="G541" s="685" t="s">
        <v>47</v>
      </c>
      <c r="H541" s="684" t="s">
        <v>1366</v>
      </c>
      <c r="I541" s="686"/>
      <c r="J541" s="686"/>
      <c r="K541" s="692">
        <v>2125</v>
      </c>
      <c r="L541" s="693" t="s">
        <v>55</v>
      </c>
      <c r="M541" s="685" t="s">
        <v>318</v>
      </c>
      <c r="N541" s="688" t="s">
        <v>55</v>
      </c>
      <c r="O541" s="693"/>
      <c r="P541" s="685"/>
      <c r="Q541" s="685"/>
      <c r="R541" s="685"/>
      <c r="S541" s="685"/>
      <c r="T541" s="685"/>
      <c r="U541" s="685"/>
      <c r="V541" s="685"/>
      <c r="W541" s="685"/>
      <c r="X541" s="687"/>
      <c r="Y541" s="687"/>
      <c r="Z541" s="685" t="s">
        <v>1367</v>
      </c>
      <c r="AA541" s="688" t="s">
        <v>304</v>
      </c>
    </row>
    <row r="542" spans="1:27" s="258" customFormat="1" x14ac:dyDescent="0.25">
      <c r="A542" s="683" t="s">
        <v>1591</v>
      </c>
      <c r="B542" s="684"/>
      <c r="C542" s="684" t="s">
        <v>1605</v>
      </c>
      <c r="D542" s="684" t="s">
        <v>1608</v>
      </c>
      <c r="E542" s="684"/>
      <c r="F542" s="684" t="s">
        <v>51</v>
      </c>
      <c r="G542" s="685" t="s">
        <v>47</v>
      </c>
      <c r="H542" s="684" t="s">
        <v>1366</v>
      </c>
      <c r="I542" s="686"/>
      <c r="J542" s="686"/>
      <c r="K542" s="692">
        <v>2125</v>
      </c>
      <c r="L542" s="693" t="s">
        <v>55</v>
      </c>
      <c r="M542" s="685" t="s">
        <v>318</v>
      </c>
      <c r="N542" s="688" t="s">
        <v>55</v>
      </c>
      <c r="O542" s="693"/>
      <c r="P542" s="685"/>
      <c r="Q542" s="685"/>
      <c r="R542" s="685"/>
      <c r="S542" s="685"/>
      <c r="T542" s="685"/>
      <c r="U542" s="685"/>
      <c r="V542" s="685"/>
      <c r="W542" s="685"/>
      <c r="X542" s="687"/>
      <c r="Y542" s="687"/>
      <c r="Z542" s="685" t="s">
        <v>1367</v>
      </c>
      <c r="AA542" s="688" t="s">
        <v>304</v>
      </c>
    </row>
    <row r="543" spans="1:27" s="258" customFormat="1" x14ac:dyDescent="0.25">
      <c r="A543" s="683" t="s">
        <v>1591</v>
      </c>
      <c r="B543" s="684"/>
      <c r="C543" s="684" t="s">
        <v>1605</v>
      </c>
      <c r="D543" s="684" t="s">
        <v>1609</v>
      </c>
      <c r="E543" s="684"/>
      <c r="F543" s="684" t="s">
        <v>51</v>
      </c>
      <c r="G543" s="685" t="s">
        <v>47</v>
      </c>
      <c r="H543" s="684" t="s">
        <v>1366</v>
      </c>
      <c r="I543" s="686"/>
      <c r="J543" s="686"/>
      <c r="K543" s="692">
        <v>2125</v>
      </c>
      <c r="L543" s="693" t="s">
        <v>55</v>
      </c>
      <c r="M543" s="685" t="s">
        <v>318</v>
      </c>
      <c r="N543" s="688" t="s">
        <v>55</v>
      </c>
      <c r="O543" s="693"/>
      <c r="P543" s="685"/>
      <c r="Q543" s="685"/>
      <c r="R543" s="685"/>
      <c r="S543" s="685"/>
      <c r="T543" s="685"/>
      <c r="U543" s="685"/>
      <c r="V543" s="685"/>
      <c r="W543" s="685"/>
      <c r="X543" s="687"/>
      <c r="Y543" s="687"/>
      <c r="Z543" s="685" t="s">
        <v>1367</v>
      </c>
      <c r="AA543" s="688" t="s">
        <v>304</v>
      </c>
    </row>
    <row r="544" spans="1:27" s="258" customFormat="1" x14ac:dyDescent="0.25">
      <c r="A544" s="683" t="s">
        <v>1591</v>
      </c>
      <c r="B544" s="684"/>
      <c r="C544" s="684" t="s">
        <v>1605</v>
      </c>
      <c r="D544" s="684" t="s">
        <v>1390</v>
      </c>
      <c r="E544" s="684" t="s">
        <v>1369</v>
      </c>
      <c r="F544" s="684" t="s">
        <v>53</v>
      </c>
      <c r="G544" s="685" t="s">
        <v>47</v>
      </c>
      <c r="H544" s="684" t="s">
        <v>1366</v>
      </c>
      <c r="I544" s="686"/>
      <c r="J544" s="686"/>
      <c r="K544" s="692">
        <v>3230</v>
      </c>
      <c r="L544" s="693" t="s">
        <v>55</v>
      </c>
      <c r="M544" s="685" t="s">
        <v>318</v>
      </c>
      <c r="N544" s="688" t="s">
        <v>55</v>
      </c>
      <c r="O544" s="693"/>
      <c r="P544" s="685"/>
      <c r="Q544" s="685"/>
      <c r="R544" s="685"/>
      <c r="S544" s="685"/>
      <c r="T544" s="685"/>
      <c r="U544" s="685"/>
      <c r="V544" s="685"/>
      <c r="W544" s="685"/>
      <c r="X544" s="687"/>
      <c r="Y544" s="687"/>
      <c r="Z544" s="685" t="s">
        <v>1367</v>
      </c>
      <c r="AA544" s="688" t="s">
        <v>304</v>
      </c>
    </row>
    <row r="545" spans="1:27" s="258" customFormat="1" x14ac:dyDescent="0.25">
      <c r="A545" s="683" t="s">
        <v>1591</v>
      </c>
      <c r="B545" s="684"/>
      <c r="C545" s="684" t="s">
        <v>1605</v>
      </c>
      <c r="D545" s="684" t="s">
        <v>1391</v>
      </c>
      <c r="E545" s="684" t="s">
        <v>1369</v>
      </c>
      <c r="F545" s="684" t="s">
        <v>53</v>
      </c>
      <c r="G545" s="685" t="s">
        <v>47</v>
      </c>
      <c r="H545" s="684" t="s">
        <v>1366</v>
      </c>
      <c r="I545" s="686"/>
      <c r="J545" s="686"/>
      <c r="K545" s="692">
        <v>3230</v>
      </c>
      <c r="L545" s="693" t="s">
        <v>55</v>
      </c>
      <c r="M545" s="685" t="s">
        <v>318</v>
      </c>
      <c r="N545" s="688" t="s">
        <v>55</v>
      </c>
      <c r="O545" s="693"/>
      <c r="P545" s="685"/>
      <c r="Q545" s="685"/>
      <c r="R545" s="685"/>
      <c r="S545" s="685"/>
      <c r="T545" s="685"/>
      <c r="U545" s="685"/>
      <c r="V545" s="685"/>
      <c r="W545" s="685"/>
      <c r="X545" s="687"/>
      <c r="Y545" s="687"/>
      <c r="Z545" s="685" t="s">
        <v>1367</v>
      </c>
      <c r="AA545" s="688" t="s">
        <v>304</v>
      </c>
    </row>
    <row r="546" spans="1:27" s="258" customFormat="1" x14ac:dyDescent="0.25">
      <c r="A546" s="683" t="s">
        <v>1591</v>
      </c>
      <c r="B546" s="684"/>
      <c r="C546" s="684" t="s">
        <v>1605</v>
      </c>
      <c r="D546" s="684" t="s">
        <v>1391</v>
      </c>
      <c r="E546" s="684" t="s">
        <v>1379</v>
      </c>
      <c r="F546" s="684" t="s">
        <v>53</v>
      </c>
      <c r="G546" s="685" t="s">
        <v>47</v>
      </c>
      <c r="H546" s="684" t="s">
        <v>1366</v>
      </c>
      <c r="I546" s="686"/>
      <c r="J546" s="686"/>
      <c r="K546" s="692">
        <v>3230</v>
      </c>
      <c r="L546" s="693" t="s">
        <v>55</v>
      </c>
      <c r="M546" s="685" t="s">
        <v>318</v>
      </c>
      <c r="N546" s="688" t="s">
        <v>55</v>
      </c>
      <c r="O546" s="693"/>
      <c r="P546" s="685"/>
      <c r="Q546" s="685"/>
      <c r="R546" s="685"/>
      <c r="S546" s="685"/>
      <c r="T546" s="685"/>
      <c r="U546" s="685"/>
      <c r="V546" s="685"/>
      <c r="W546" s="685"/>
      <c r="X546" s="687"/>
      <c r="Y546" s="687"/>
      <c r="Z546" s="685" t="s">
        <v>1367</v>
      </c>
      <c r="AA546" s="688" t="s">
        <v>304</v>
      </c>
    </row>
    <row r="547" spans="1:27" s="258" customFormat="1" x14ac:dyDescent="0.25">
      <c r="A547" s="683" t="s">
        <v>1591</v>
      </c>
      <c r="B547" s="684"/>
      <c r="C547" s="684" t="s">
        <v>1398</v>
      </c>
      <c r="D547" s="684" t="s">
        <v>1390</v>
      </c>
      <c r="E547" s="684"/>
      <c r="F547" s="684" t="s">
        <v>51</v>
      </c>
      <c r="G547" s="685" t="s">
        <v>47</v>
      </c>
      <c r="H547" s="684" t="s">
        <v>1366</v>
      </c>
      <c r="I547" s="686"/>
      <c r="J547" s="686"/>
      <c r="K547" s="692">
        <v>2025</v>
      </c>
      <c r="L547" s="693" t="s">
        <v>55</v>
      </c>
      <c r="M547" s="685" t="s">
        <v>318</v>
      </c>
      <c r="N547" s="688" t="s">
        <v>55</v>
      </c>
      <c r="O547" s="693"/>
      <c r="P547" s="685"/>
      <c r="Q547" s="685"/>
      <c r="R547" s="685"/>
      <c r="S547" s="685"/>
      <c r="T547" s="685"/>
      <c r="U547" s="685"/>
      <c r="V547" s="685"/>
      <c r="W547" s="685"/>
      <c r="X547" s="687"/>
      <c r="Y547" s="687"/>
      <c r="Z547" s="685" t="s">
        <v>1367</v>
      </c>
      <c r="AA547" s="688" t="s">
        <v>304</v>
      </c>
    </row>
    <row r="548" spans="1:27" s="258" customFormat="1" x14ac:dyDescent="0.25">
      <c r="A548" s="683" t="s">
        <v>1591</v>
      </c>
      <c r="B548" s="684"/>
      <c r="C548" s="684" t="s">
        <v>1398</v>
      </c>
      <c r="D548" s="684" t="s">
        <v>1608</v>
      </c>
      <c r="E548" s="684"/>
      <c r="F548" s="684" t="s">
        <v>51</v>
      </c>
      <c r="G548" s="685" t="s">
        <v>47</v>
      </c>
      <c r="H548" s="684" t="s">
        <v>1366</v>
      </c>
      <c r="I548" s="686"/>
      <c r="J548" s="686"/>
      <c r="K548" s="692">
        <v>2025</v>
      </c>
      <c r="L548" s="693" t="s">
        <v>55</v>
      </c>
      <c r="M548" s="685" t="s">
        <v>318</v>
      </c>
      <c r="N548" s="688" t="s">
        <v>55</v>
      </c>
      <c r="O548" s="693"/>
      <c r="P548" s="685"/>
      <c r="Q548" s="685"/>
      <c r="R548" s="685"/>
      <c r="S548" s="685"/>
      <c r="T548" s="685"/>
      <c r="U548" s="685"/>
      <c r="V548" s="685"/>
      <c r="W548" s="685"/>
      <c r="X548" s="687"/>
      <c r="Y548" s="687"/>
      <c r="Z548" s="685" t="s">
        <v>1367</v>
      </c>
      <c r="AA548" s="688" t="s">
        <v>304</v>
      </c>
    </row>
    <row r="549" spans="1:27" s="258" customFormat="1" x14ac:dyDescent="0.25">
      <c r="A549" s="683" t="s">
        <v>1591</v>
      </c>
      <c r="B549" s="684"/>
      <c r="C549" s="684" t="s">
        <v>1398</v>
      </c>
      <c r="D549" s="684" t="s">
        <v>1609</v>
      </c>
      <c r="E549" s="684"/>
      <c r="F549" s="684" t="s">
        <v>51</v>
      </c>
      <c r="G549" s="685" t="s">
        <v>47</v>
      </c>
      <c r="H549" s="684" t="s">
        <v>1366</v>
      </c>
      <c r="I549" s="686"/>
      <c r="J549" s="686"/>
      <c r="K549" s="692">
        <v>2025</v>
      </c>
      <c r="L549" s="693" t="s">
        <v>55</v>
      </c>
      <c r="M549" s="685" t="s">
        <v>318</v>
      </c>
      <c r="N549" s="688" t="s">
        <v>55</v>
      </c>
      <c r="O549" s="693"/>
      <c r="P549" s="685"/>
      <c r="Q549" s="685"/>
      <c r="R549" s="685"/>
      <c r="S549" s="685"/>
      <c r="T549" s="685"/>
      <c r="U549" s="685"/>
      <c r="V549" s="685"/>
      <c r="W549" s="685"/>
      <c r="X549" s="687"/>
      <c r="Y549" s="687"/>
      <c r="Z549" s="685" t="s">
        <v>1367</v>
      </c>
      <c r="AA549" s="688" t="s">
        <v>304</v>
      </c>
    </row>
    <row r="550" spans="1:27" s="258" customFormat="1" x14ac:dyDescent="0.25">
      <c r="A550" s="683" t="s">
        <v>1591</v>
      </c>
      <c r="B550" s="684"/>
      <c r="C550" s="684" t="s">
        <v>1398</v>
      </c>
      <c r="D550" s="684" t="s">
        <v>1390</v>
      </c>
      <c r="E550" s="684" t="s">
        <v>1369</v>
      </c>
      <c r="F550" s="684" t="s">
        <v>53</v>
      </c>
      <c r="G550" s="685" t="s">
        <v>47</v>
      </c>
      <c r="H550" s="684" t="s">
        <v>1366</v>
      </c>
      <c r="I550" s="686"/>
      <c r="J550" s="686"/>
      <c r="K550" s="692">
        <v>3130</v>
      </c>
      <c r="L550" s="693" t="s">
        <v>55</v>
      </c>
      <c r="M550" s="685" t="s">
        <v>318</v>
      </c>
      <c r="N550" s="688" t="s">
        <v>55</v>
      </c>
      <c r="O550" s="693"/>
      <c r="P550" s="685"/>
      <c r="Q550" s="685"/>
      <c r="R550" s="685"/>
      <c r="S550" s="685"/>
      <c r="T550" s="685"/>
      <c r="U550" s="685"/>
      <c r="V550" s="685"/>
      <c r="W550" s="685"/>
      <c r="X550" s="687"/>
      <c r="Y550" s="687"/>
      <c r="Z550" s="685" t="s">
        <v>1367</v>
      </c>
      <c r="AA550" s="688" t="s">
        <v>304</v>
      </c>
    </row>
    <row r="551" spans="1:27" s="258" customFormat="1" x14ac:dyDescent="0.25">
      <c r="A551" s="683" t="s">
        <v>1591</v>
      </c>
      <c r="B551" s="684"/>
      <c r="C551" s="684" t="s">
        <v>1398</v>
      </c>
      <c r="D551" s="684" t="s">
        <v>1391</v>
      </c>
      <c r="E551" s="684" t="s">
        <v>1369</v>
      </c>
      <c r="F551" s="684" t="s">
        <v>53</v>
      </c>
      <c r="G551" s="685" t="s">
        <v>47</v>
      </c>
      <c r="H551" s="684" t="s">
        <v>1366</v>
      </c>
      <c r="I551" s="686"/>
      <c r="J551" s="686"/>
      <c r="K551" s="692">
        <v>3130</v>
      </c>
      <c r="L551" s="693" t="s">
        <v>55</v>
      </c>
      <c r="M551" s="685" t="s">
        <v>318</v>
      </c>
      <c r="N551" s="688" t="s">
        <v>55</v>
      </c>
      <c r="O551" s="693"/>
      <c r="P551" s="685"/>
      <c r="Q551" s="685"/>
      <c r="R551" s="685"/>
      <c r="S551" s="685"/>
      <c r="T551" s="685"/>
      <c r="U551" s="685"/>
      <c r="V551" s="685"/>
      <c r="W551" s="685"/>
      <c r="X551" s="687"/>
      <c r="Y551" s="687"/>
      <c r="Z551" s="685" t="s">
        <v>1367</v>
      </c>
      <c r="AA551" s="688" t="s">
        <v>304</v>
      </c>
    </row>
    <row r="552" spans="1:27" s="258" customFormat="1" x14ac:dyDescent="0.25">
      <c r="A552" s="683" t="s">
        <v>1591</v>
      </c>
      <c r="B552" s="684"/>
      <c r="C552" s="684" t="s">
        <v>1398</v>
      </c>
      <c r="D552" s="684" t="s">
        <v>1391</v>
      </c>
      <c r="E552" s="684" t="s">
        <v>1379</v>
      </c>
      <c r="F552" s="684" t="s">
        <v>53</v>
      </c>
      <c r="G552" s="685" t="s">
        <v>47</v>
      </c>
      <c r="H552" s="684" t="s">
        <v>1366</v>
      </c>
      <c r="I552" s="686"/>
      <c r="J552" s="686"/>
      <c r="K552" s="692">
        <v>3130</v>
      </c>
      <c r="L552" s="693" t="s">
        <v>55</v>
      </c>
      <c r="M552" s="685" t="s">
        <v>318</v>
      </c>
      <c r="N552" s="688" t="s">
        <v>55</v>
      </c>
      <c r="O552" s="693"/>
      <c r="P552" s="685"/>
      <c r="Q552" s="685"/>
      <c r="R552" s="685"/>
      <c r="S552" s="685"/>
      <c r="T552" s="685"/>
      <c r="U552" s="685"/>
      <c r="V552" s="685"/>
      <c r="W552" s="685"/>
      <c r="X552" s="687"/>
      <c r="Y552" s="687"/>
      <c r="Z552" s="685" t="s">
        <v>1367</v>
      </c>
      <c r="AA552" s="688" t="s">
        <v>304</v>
      </c>
    </row>
    <row r="553" spans="1:27" s="258" customFormat="1" x14ac:dyDescent="0.25">
      <c r="A553" s="683" t="s">
        <v>1591</v>
      </c>
      <c r="B553" s="684"/>
      <c r="C553" s="684" t="s">
        <v>1392</v>
      </c>
      <c r="D553" s="684" t="s">
        <v>1390</v>
      </c>
      <c r="E553" s="684"/>
      <c r="F553" s="684" t="s">
        <v>51</v>
      </c>
      <c r="G553" s="685" t="s">
        <v>47</v>
      </c>
      <c r="H553" s="684" t="s">
        <v>1366</v>
      </c>
      <c r="I553" s="686"/>
      <c r="J553" s="686"/>
      <c r="K553" s="692">
        <v>2125</v>
      </c>
      <c r="L553" s="693" t="s">
        <v>55</v>
      </c>
      <c r="M553" s="685" t="s">
        <v>318</v>
      </c>
      <c r="N553" s="688" t="s">
        <v>55</v>
      </c>
      <c r="O553" s="693"/>
      <c r="P553" s="685"/>
      <c r="Q553" s="685"/>
      <c r="R553" s="685"/>
      <c r="S553" s="685"/>
      <c r="T553" s="685"/>
      <c r="U553" s="685"/>
      <c r="V553" s="685"/>
      <c r="W553" s="685"/>
      <c r="X553" s="687"/>
      <c r="Y553" s="687"/>
      <c r="Z553" s="685" t="s">
        <v>1367</v>
      </c>
      <c r="AA553" s="688" t="s">
        <v>304</v>
      </c>
    </row>
    <row r="554" spans="1:27" s="258" customFormat="1" x14ac:dyDescent="0.25">
      <c r="A554" s="683" t="s">
        <v>1591</v>
      </c>
      <c r="B554" s="684"/>
      <c r="C554" s="684" t="s">
        <v>1392</v>
      </c>
      <c r="D554" s="684" t="s">
        <v>1608</v>
      </c>
      <c r="E554" s="684"/>
      <c r="F554" s="684" t="s">
        <v>51</v>
      </c>
      <c r="G554" s="685" t="s">
        <v>47</v>
      </c>
      <c r="H554" s="684" t="s">
        <v>1366</v>
      </c>
      <c r="I554" s="686"/>
      <c r="J554" s="686"/>
      <c r="K554" s="692">
        <v>2125</v>
      </c>
      <c r="L554" s="693" t="s">
        <v>55</v>
      </c>
      <c r="M554" s="685" t="s">
        <v>318</v>
      </c>
      <c r="N554" s="688" t="s">
        <v>55</v>
      </c>
      <c r="O554" s="693"/>
      <c r="P554" s="685"/>
      <c r="Q554" s="685"/>
      <c r="R554" s="685"/>
      <c r="S554" s="685"/>
      <c r="T554" s="685"/>
      <c r="U554" s="685"/>
      <c r="V554" s="685"/>
      <c r="W554" s="685"/>
      <c r="X554" s="687"/>
      <c r="Y554" s="687"/>
      <c r="Z554" s="685" t="s">
        <v>1367</v>
      </c>
      <c r="AA554" s="688" t="s">
        <v>304</v>
      </c>
    </row>
    <row r="555" spans="1:27" s="258" customFormat="1" x14ac:dyDescent="0.25">
      <c r="A555" s="683" t="s">
        <v>1591</v>
      </c>
      <c r="B555" s="684"/>
      <c r="C555" s="684" t="s">
        <v>1392</v>
      </c>
      <c r="D555" s="684" t="s">
        <v>1609</v>
      </c>
      <c r="E555" s="684"/>
      <c r="F555" s="684" t="s">
        <v>51</v>
      </c>
      <c r="G555" s="685" t="s">
        <v>47</v>
      </c>
      <c r="H555" s="684" t="s">
        <v>1366</v>
      </c>
      <c r="I555" s="686"/>
      <c r="J555" s="686"/>
      <c r="K555" s="692">
        <v>2125</v>
      </c>
      <c r="L555" s="693" t="s">
        <v>55</v>
      </c>
      <c r="M555" s="685" t="s">
        <v>318</v>
      </c>
      <c r="N555" s="688" t="s">
        <v>55</v>
      </c>
      <c r="O555" s="693"/>
      <c r="P555" s="685"/>
      <c r="Q555" s="685"/>
      <c r="R555" s="685"/>
      <c r="S555" s="685"/>
      <c r="T555" s="685"/>
      <c r="U555" s="685"/>
      <c r="V555" s="685"/>
      <c r="W555" s="685"/>
      <c r="X555" s="687"/>
      <c r="Y555" s="687"/>
      <c r="Z555" s="685" t="s">
        <v>1367</v>
      </c>
      <c r="AA555" s="688" t="s">
        <v>304</v>
      </c>
    </row>
    <row r="556" spans="1:27" s="258" customFormat="1" x14ac:dyDescent="0.25">
      <c r="A556" s="683" t="s">
        <v>1591</v>
      </c>
      <c r="B556" s="684"/>
      <c r="C556" s="684" t="s">
        <v>1392</v>
      </c>
      <c r="D556" s="684" t="s">
        <v>1390</v>
      </c>
      <c r="E556" s="684" t="s">
        <v>1369</v>
      </c>
      <c r="F556" s="684" t="s">
        <v>53</v>
      </c>
      <c r="G556" s="685" t="s">
        <v>47</v>
      </c>
      <c r="H556" s="684" t="s">
        <v>1366</v>
      </c>
      <c r="I556" s="686"/>
      <c r="J556" s="686"/>
      <c r="K556" s="692">
        <v>3230</v>
      </c>
      <c r="L556" s="693" t="s">
        <v>55</v>
      </c>
      <c r="M556" s="685" t="s">
        <v>318</v>
      </c>
      <c r="N556" s="688" t="s">
        <v>55</v>
      </c>
      <c r="O556" s="693"/>
      <c r="P556" s="685"/>
      <c r="Q556" s="685"/>
      <c r="R556" s="685"/>
      <c r="S556" s="685"/>
      <c r="T556" s="685"/>
      <c r="U556" s="685"/>
      <c r="V556" s="685"/>
      <c r="W556" s="685"/>
      <c r="X556" s="687"/>
      <c r="Y556" s="687"/>
      <c r="Z556" s="685" t="s">
        <v>1367</v>
      </c>
      <c r="AA556" s="688" t="s">
        <v>304</v>
      </c>
    </row>
    <row r="557" spans="1:27" s="258" customFormat="1" x14ac:dyDescent="0.25">
      <c r="A557" s="683" t="s">
        <v>1591</v>
      </c>
      <c r="B557" s="684"/>
      <c r="C557" s="684" t="s">
        <v>1392</v>
      </c>
      <c r="D557" s="684" t="s">
        <v>1391</v>
      </c>
      <c r="E557" s="684" t="s">
        <v>1369</v>
      </c>
      <c r="F557" s="684" t="s">
        <v>53</v>
      </c>
      <c r="G557" s="685" t="s">
        <v>47</v>
      </c>
      <c r="H557" s="684" t="s">
        <v>1366</v>
      </c>
      <c r="I557" s="686"/>
      <c r="J557" s="686"/>
      <c r="K557" s="692">
        <v>3230</v>
      </c>
      <c r="L557" s="693" t="s">
        <v>55</v>
      </c>
      <c r="M557" s="685" t="s">
        <v>318</v>
      </c>
      <c r="N557" s="688" t="s">
        <v>55</v>
      </c>
      <c r="O557" s="693"/>
      <c r="P557" s="685"/>
      <c r="Q557" s="685"/>
      <c r="R557" s="685"/>
      <c r="S557" s="685"/>
      <c r="T557" s="685"/>
      <c r="U557" s="685"/>
      <c r="V557" s="685"/>
      <c r="W557" s="685"/>
      <c r="X557" s="687"/>
      <c r="Y557" s="687"/>
      <c r="Z557" s="685" t="s">
        <v>1367</v>
      </c>
      <c r="AA557" s="688" t="s">
        <v>304</v>
      </c>
    </row>
    <row r="558" spans="1:27" s="258" customFormat="1" x14ac:dyDescent="0.25">
      <c r="A558" s="683" t="s">
        <v>1591</v>
      </c>
      <c r="B558" s="684"/>
      <c r="C558" s="684" t="s">
        <v>1392</v>
      </c>
      <c r="D558" s="684" t="s">
        <v>1391</v>
      </c>
      <c r="E558" s="684" t="s">
        <v>1379</v>
      </c>
      <c r="F558" s="684" t="s">
        <v>53</v>
      </c>
      <c r="G558" s="685" t="s">
        <v>47</v>
      </c>
      <c r="H558" s="684" t="s">
        <v>1366</v>
      </c>
      <c r="I558" s="686"/>
      <c r="J558" s="686"/>
      <c r="K558" s="692">
        <v>3230</v>
      </c>
      <c r="L558" s="693" t="s">
        <v>55</v>
      </c>
      <c r="M558" s="685" t="s">
        <v>318</v>
      </c>
      <c r="N558" s="688" t="s">
        <v>55</v>
      </c>
      <c r="O558" s="693"/>
      <c r="P558" s="685"/>
      <c r="Q558" s="685"/>
      <c r="R558" s="685"/>
      <c r="S558" s="685"/>
      <c r="T558" s="685"/>
      <c r="U558" s="685"/>
      <c r="V558" s="685"/>
      <c r="W558" s="685"/>
      <c r="X558" s="687"/>
      <c r="Y558" s="687"/>
      <c r="Z558" s="685" t="s">
        <v>1367</v>
      </c>
      <c r="AA558" s="688" t="s">
        <v>304</v>
      </c>
    </row>
    <row r="559" spans="1:27" s="258" customFormat="1" x14ac:dyDescent="0.25">
      <c r="A559" s="683" t="s">
        <v>1591</v>
      </c>
      <c r="B559" s="684"/>
      <c r="C559" s="684" t="s">
        <v>1603</v>
      </c>
      <c r="D559" s="684" t="s">
        <v>1390</v>
      </c>
      <c r="E559" s="684"/>
      <c r="F559" s="684" t="s">
        <v>51</v>
      </c>
      <c r="G559" s="685" t="s">
        <v>47</v>
      </c>
      <c r="H559" s="684" t="s">
        <v>1366</v>
      </c>
      <c r="I559" s="686"/>
      <c r="J559" s="686"/>
      <c r="K559" s="692">
        <v>2125</v>
      </c>
      <c r="L559" s="693" t="s">
        <v>55</v>
      </c>
      <c r="M559" s="685" t="s">
        <v>318</v>
      </c>
      <c r="N559" s="688" t="s">
        <v>55</v>
      </c>
      <c r="O559" s="693"/>
      <c r="P559" s="685"/>
      <c r="Q559" s="685"/>
      <c r="R559" s="685"/>
      <c r="S559" s="685"/>
      <c r="T559" s="685"/>
      <c r="U559" s="685"/>
      <c r="V559" s="685"/>
      <c r="W559" s="685"/>
      <c r="X559" s="687"/>
      <c r="Y559" s="687"/>
      <c r="Z559" s="685" t="s">
        <v>1367</v>
      </c>
      <c r="AA559" s="688" t="s">
        <v>304</v>
      </c>
    </row>
    <row r="560" spans="1:27" s="258" customFormat="1" x14ac:dyDescent="0.25">
      <c r="A560" s="683" t="s">
        <v>1591</v>
      </c>
      <c r="B560" s="684"/>
      <c r="C560" s="684" t="s">
        <v>1603</v>
      </c>
      <c r="D560" s="684" t="s">
        <v>1390</v>
      </c>
      <c r="E560" s="684" t="s">
        <v>1369</v>
      </c>
      <c r="F560" s="684" t="s">
        <v>53</v>
      </c>
      <c r="G560" s="685" t="s">
        <v>47</v>
      </c>
      <c r="H560" s="684" t="s">
        <v>1366</v>
      </c>
      <c r="I560" s="686"/>
      <c r="J560" s="686"/>
      <c r="K560" s="692">
        <v>3230</v>
      </c>
      <c r="L560" s="693" t="s">
        <v>55</v>
      </c>
      <c r="M560" s="685" t="s">
        <v>318</v>
      </c>
      <c r="N560" s="688" t="s">
        <v>55</v>
      </c>
      <c r="O560" s="693"/>
      <c r="P560" s="685"/>
      <c r="Q560" s="685"/>
      <c r="R560" s="685"/>
      <c r="S560" s="685"/>
      <c r="T560" s="685"/>
      <c r="U560" s="685"/>
      <c r="V560" s="685"/>
      <c r="W560" s="685"/>
      <c r="X560" s="687"/>
      <c r="Y560" s="687"/>
      <c r="Z560" s="685" t="s">
        <v>1367</v>
      </c>
      <c r="AA560" s="688" t="s">
        <v>304</v>
      </c>
    </row>
    <row r="561" spans="1:27" s="258" customFormat="1" x14ac:dyDescent="0.25">
      <c r="A561" s="683" t="s">
        <v>1591</v>
      </c>
      <c r="B561" s="684"/>
      <c r="C561" s="684" t="s">
        <v>1603</v>
      </c>
      <c r="D561" s="684" t="s">
        <v>1391</v>
      </c>
      <c r="E561" s="684" t="s">
        <v>1369</v>
      </c>
      <c r="F561" s="684" t="s">
        <v>53</v>
      </c>
      <c r="G561" s="685" t="s">
        <v>47</v>
      </c>
      <c r="H561" s="684" t="s">
        <v>1366</v>
      </c>
      <c r="I561" s="686"/>
      <c r="J561" s="686"/>
      <c r="K561" s="692">
        <v>3230</v>
      </c>
      <c r="L561" s="693" t="s">
        <v>55</v>
      </c>
      <c r="M561" s="685" t="s">
        <v>318</v>
      </c>
      <c r="N561" s="688" t="s">
        <v>55</v>
      </c>
      <c r="O561" s="693"/>
      <c r="P561" s="685"/>
      <c r="Q561" s="685"/>
      <c r="R561" s="685"/>
      <c r="S561" s="685"/>
      <c r="T561" s="685"/>
      <c r="U561" s="685"/>
      <c r="V561" s="685"/>
      <c r="W561" s="685"/>
      <c r="X561" s="687"/>
      <c r="Y561" s="687"/>
      <c r="Z561" s="685" t="s">
        <v>1367</v>
      </c>
      <c r="AA561" s="688" t="s">
        <v>304</v>
      </c>
    </row>
    <row r="562" spans="1:27" s="258" customFormat="1" x14ac:dyDescent="0.25">
      <c r="A562" s="683" t="s">
        <v>1591</v>
      </c>
      <c r="B562" s="684"/>
      <c r="C562" s="684" t="s">
        <v>1603</v>
      </c>
      <c r="D562" s="684" t="s">
        <v>1391</v>
      </c>
      <c r="E562" s="684" t="s">
        <v>1379</v>
      </c>
      <c r="F562" s="684" t="s">
        <v>53</v>
      </c>
      <c r="G562" s="685" t="s">
        <v>47</v>
      </c>
      <c r="H562" s="684" t="s">
        <v>1366</v>
      </c>
      <c r="I562" s="686"/>
      <c r="J562" s="686"/>
      <c r="K562" s="692">
        <v>3230</v>
      </c>
      <c r="L562" s="693" t="s">
        <v>55</v>
      </c>
      <c r="M562" s="685" t="s">
        <v>318</v>
      </c>
      <c r="N562" s="688" t="s">
        <v>55</v>
      </c>
      <c r="O562" s="693"/>
      <c r="P562" s="685"/>
      <c r="Q562" s="685"/>
      <c r="R562" s="685"/>
      <c r="S562" s="685"/>
      <c r="T562" s="685"/>
      <c r="U562" s="685"/>
      <c r="V562" s="685"/>
      <c r="W562" s="685"/>
      <c r="X562" s="687"/>
      <c r="Y562" s="687"/>
      <c r="Z562" s="685" t="s">
        <v>1367</v>
      </c>
      <c r="AA562" s="688" t="s">
        <v>304</v>
      </c>
    </row>
    <row r="563" spans="1:27" s="258" customFormat="1" x14ac:dyDescent="0.25">
      <c r="A563" s="683" t="s">
        <v>1591</v>
      </c>
      <c r="B563" s="684"/>
      <c r="C563" s="684" t="s">
        <v>1400</v>
      </c>
      <c r="D563" s="684" t="s">
        <v>1390</v>
      </c>
      <c r="E563" s="684"/>
      <c r="F563" s="684" t="s">
        <v>51</v>
      </c>
      <c r="G563" s="685" t="s">
        <v>47</v>
      </c>
      <c r="H563" s="684" t="s">
        <v>1366</v>
      </c>
      <c r="I563" s="686"/>
      <c r="J563" s="686"/>
      <c r="K563" s="692">
        <v>2125</v>
      </c>
      <c r="L563" s="693" t="s">
        <v>55</v>
      </c>
      <c r="M563" s="685" t="s">
        <v>318</v>
      </c>
      <c r="N563" s="688" t="s">
        <v>55</v>
      </c>
      <c r="O563" s="693"/>
      <c r="P563" s="685"/>
      <c r="Q563" s="685"/>
      <c r="R563" s="685"/>
      <c r="S563" s="685"/>
      <c r="T563" s="685"/>
      <c r="U563" s="685"/>
      <c r="V563" s="685"/>
      <c r="W563" s="685"/>
      <c r="X563" s="687"/>
      <c r="Y563" s="687"/>
      <c r="Z563" s="685" t="s">
        <v>1367</v>
      </c>
      <c r="AA563" s="688" t="s">
        <v>304</v>
      </c>
    </row>
    <row r="564" spans="1:27" s="258" customFormat="1" x14ac:dyDescent="0.25">
      <c r="A564" s="683" t="s">
        <v>1591</v>
      </c>
      <c r="B564" s="684"/>
      <c r="C564" s="684" t="s">
        <v>1400</v>
      </c>
      <c r="D564" s="684" t="s">
        <v>1390</v>
      </c>
      <c r="E564" s="684" t="s">
        <v>1369</v>
      </c>
      <c r="F564" s="684" t="s">
        <v>53</v>
      </c>
      <c r="G564" s="685" t="s">
        <v>47</v>
      </c>
      <c r="H564" s="684" t="s">
        <v>1366</v>
      </c>
      <c r="I564" s="686"/>
      <c r="J564" s="686"/>
      <c r="K564" s="692">
        <v>3230</v>
      </c>
      <c r="L564" s="693" t="s">
        <v>55</v>
      </c>
      <c r="M564" s="685" t="s">
        <v>318</v>
      </c>
      <c r="N564" s="688" t="s">
        <v>55</v>
      </c>
      <c r="O564" s="693"/>
      <c r="P564" s="685"/>
      <c r="Q564" s="685"/>
      <c r="R564" s="685"/>
      <c r="S564" s="685"/>
      <c r="T564" s="685"/>
      <c r="U564" s="685"/>
      <c r="V564" s="685"/>
      <c r="W564" s="685"/>
      <c r="X564" s="687"/>
      <c r="Y564" s="687"/>
      <c r="Z564" s="685" t="s">
        <v>1367</v>
      </c>
      <c r="AA564" s="688" t="s">
        <v>304</v>
      </c>
    </row>
    <row r="565" spans="1:27" s="258" customFormat="1" x14ac:dyDescent="0.25">
      <c r="A565" s="683" t="s">
        <v>1591</v>
      </c>
      <c r="B565" s="684"/>
      <c r="C565" s="684" t="s">
        <v>1400</v>
      </c>
      <c r="D565" s="684" t="s">
        <v>1391</v>
      </c>
      <c r="E565" s="684" t="s">
        <v>1369</v>
      </c>
      <c r="F565" s="684" t="s">
        <v>53</v>
      </c>
      <c r="G565" s="685" t="s">
        <v>47</v>
      </c>
      <c r="H565" s="684" t="s">
        <v>1366</v>
      </c>
      <c r="I565" s="686"/>
      <c r="J565" s="686"/>
      <c r="K565" s="692">
        <v>3230</v>
      </c>
      <c r="L565" s="693" t="s">
        <v>55</v>
      </c>
      <c r="M565" s="685" t="s">
        <v>318</v>
      </c>
      <c r="N565" s="688" t="s">
        <v>55</v>
      </c>
      <c r="O565" s="693"/>
      <c r="P565" s="685"/>
      <c r="Q565" s="685"/>
      <c r="R565" s="685"/>
      <c r="S565" s="685"/>
      <c r="T565" s="685"/>
      <c r="U565" s="685"/>
      <c r="V565" s="685"/>
      <c r="W565" s="685"/>
      <c r="X565" s="687"/>
      <c r="Y565" s="687"/>
      <c r="Z565" s="685" t="s">
        <v>1367</v>
      </c>
      <c r="AA565" s="688" t="s">
        <v>304</v>
      </c>
    </row>
    <row r="566" spans="1:27" s="258" customFormat="1" x14ac:dyDescent="0.25">
      <c r="A566" s="683" t="s">
        <v>1591</v>
      </c>
      <c r="B566" s="684"/>
      <c r="C566" s="684" t="s">
        <v>1400</v>
      </c>
      <c r="D566" s="684" t="s">
        <v>1391</v>
      </c>
      <c r="E566" s="684" t="s">
        <v>1379</v>
      </c>
      <c r="F566" s="684" t="s">
        <v>53</v>
      </c>
      <c r="G566" s="685" t="s">
        <v>47</v>
      </c>
      <c r="H566" s="684" t="s">
        <v>1366</v>
      </c>
      <c r="I566" s="686"/>
      <c r="J566" s="686"/>
      <c r="K566" s="692">
        <v>3230</v>
      </c>
      <c r="L566" s="693" t="s">
        <v>55</v>
      </c>
      <c r="M566" s="685" t="s">
        <v>318</v>
      </c>
      <c r="N566" s="688" t="s">
        <v>55</v>
      </c>
      <c r="O566" s="693"/>
      <c r="P566" s="685"/>
      <c r="Q566" s="685"/>
      <c r="R566" s="685"/>
      <c r="S566" s="685"/>
      <c r="T566" s="685"/>
      <c r="U566" s="685"/>
      <c r="V566" s="685"/>
      <c r="W566" s="685"/>
      <c r="X566" s="687"/>
      <c r="Y566" s="687"/>
      <c r="Z566" s="685" t="s">
        <v>1367</v>
      </c>
      <c r="AA566" s="688" t="s">
        <v>304</v>
      </c>
    </row>
    <row r="567" spans="1:27" s="258" customFormat="1" x14ac:dyDescent="0.25">
      <c r="A567" s="683" t="s">
        <v>1592</v>
      </c>
      <c r="B567" s="684"/>
      <c r="C567" s="684" t="s">
        <v>1606</v>
      </c>
      <c r="D567" s="684" t="s">
        <v>1597</v>
      </c>
      <c r="E567" s="684"/>
      <c r="F567" s="684" t="s">
        <v>51</v>
      </c>
      <c r="G567" s="685" t="s">
        <v>47</v>
      </c>
      <c r="H567" s="684" t="s">
        <v>1366</v>
      </c>
      <c r="I567" s="686"/>
      <c r="J567" s="686"/>
      <c r="K567" s="692">
        <v>2210</v>
      </c>
      <c r="L567" s="693" t="s">
        <v>55</v>
      </c>
      <c r="M567" s="685" t="s">
        <v>318</v>
      </c>
      <c r="N567" s="688" t="s">
        <v>55</v>
      </c>
      <c r="O567" s="693"/>
      <c r="P567" s="685"/>
      <c r="Q567" s="685"/>
      <c r="R567" s="685"/>
      <c r="S567" s="685"/>
      <c r="T567" s="685"/>
      <c r="U567" s="685"/>
      <c r="V567" s="685"/>
      <c r="W567" s="685"/>
      <c r="X567" s="687"/>
      <c r="Y567" s="687"/>
      <c r="Z567" s="685" t="s">
        <v>1367</v>
      </c>
      <c r="AA567" s="688" t="s">
        <v>304</v>
      </c>
    </row>
    <row r="568" spans="1:27" s="258" customFormat="1" x14ac:dyDescent="0.25">
      <c r="A568" s="683" t="s">
        <v>1592</v>
      </c>
      <c r="B568" s="684"/>
      <c r="C568" s="684" t="s">
        <v>1606</v>
      </c>
      <c r="D568" s="684" t="s">
        <v>1377</v>
      </c>
      <c r="E568" s="684" t="s">
        <v>1373</v>
      </c>
      <c r="F568" s="684" t="s">
        <v>53</v>
      </c>
      <c r="G568" s="685" t="s">
        <v>47</v>
      </c>
      <c r="H568" s="684" t="s">
        <v>1366</v>
      </c>
      <c r="I568" s="686"/>
      <c r="J568" s="686"/>
      <c r="K568" s="692">
        <v>3230</v>
      </c>
      <c r="L568" s="693" t="s">
        <v>55</v>
      </c>
      <c r="M568" s="685" t="s">
        <v>318</v>
      </c>
      <c r="N568" s="688" t="s">
        <v>55</v>
      </c>
      <c r="O568" s="693"/>
      <c r="P568" s="685"/>
      <c r="Q568" s="685"/>
      <c r="R568" s="685"/>
      <c r="S568" s="685"/>
      <c r="T568" s="685"/>
      <c r="U568" s="685"/>
      <c r="V568" s="685"/>
      <c r="W568" s="685"/>
      <c r="X568" s="687"/>
      <c r="Y568" s="687"/>
      <c r="Z568" s="685" t="s">
        <v>1367</v>
      </c>
      <c r="AA568" s="688" t="s">
        <v>304</v>
      </c>
    </row>
    <row r="569" spans="1:27" s="258" customFormat="1" x14ac:dyDescent="0.25">
      <c r="A569" s="683" t="s">
        <v>1592</v>
      </c>
      <c r="B569" s="684"/>
      <c r="C569" s="684" t="s">
        <v>1606</v>
      </c>
      <c r="D569" s="684" t="s">
        <v>1377</v>
      </c>
      <c r="E569" s="684" t="s">
        <v>1374</v>
      </c>
      <c r="F569" s="684" t="s">
        <v>53</v>
      </c>
      <c r="G569" s="685" t="s">
        <v>47</v>
      </c>
      <c r="H569" s="684" t="s">
        <v>1366</v>
      </c>
      <c r="I569" s="686"/>
      <c r="J569" s="686"/>
      <c r="K569" s="692">
        <v>3910</v>
      </c>
      <c r="L569" s="693" t="s">
        <v>55</v>
      </c>
      <c r="M569" s="685" t="s">
        <v>318</v>
      </c>
      <c r="N569" s="688" t="s">
        <v>55</v>
      </c>
      <c r="O569" s="693"/>
      <c r="P569" s="685"/>
      <c r="Q569" s="685"/>
      <c r="R569" s="685"/>
      <c r="S569" s="685"/>
      <c r="T569" s="685"/>
      <c r="U569" s="685"/>
      <c r="V569" s="685"/>
      <c r="W569" s="685"/>
      <c r="X569" s="687"/>
      <c r="Y569" s="687"/>
      <c r="Z569" s="685" t="s">
        <v>1367</v>
      </c>
      <c r="AA569" s="688" t="s">
        <v>304</v>
      </c>
    </row>
    <row r="570" spans="1:27" s="258" customFormat="1" x14ac:dyDescent="0.25">
      <c r="A570" s="683" t="s">
        <v>1592</v>
      </c>
      <c r="B570" s="684"/>
      <c r="C570" s="684" t="s">
        <v>1398</v>
      </c>
      <c r="D570" s="684" t="s">
        <v>1597</v>
      </c>
      <c r="E570" s="684"/>
      <c r="F570" s="684" t="s">
        <v>51</v>
      </c>
      <c r="G570" s="685" t="s">
        <v>47</v>
      </c>
      <c r="H570" s="684" t="s">
        <v>1366</v>
      </c>
      <c r="I570" s="686"/>
      <c r="J570" s="686"/>
      <c r="K570" s="692">
        <v>2310</v>
      </c>
      <c r="L570" s="693" t="s">
        <v>55</v>
      </c>
      <c r="M570" s="685" t="s">
        <v>318</v>
      </c>
      <c r="N570" s="688" t="s">
        <v>55</v>
      </c>
      <c r="O570" s="693"/>
      <c r="P570" s="685"/>
      <c r="Q570" s="685"/>
      <c r="R570" s="685"/>
      <c r="S570" s="685"/>
      <c r="T570" s="685"/>
      <c r="U570" s="685"/>
      <c r="V570" s="685"/>
      <c r="W570" s="685"/>
      <c r="X570" s="687"/>
      <c r="Y570" s="687"/>
      <c r="Z570" s="685" t="s">
        <v>1367</v>
      </c>
      <c r="AA570" s="688" t="s">
        <v>304</v>
      </c>
    </row>
    <row r="571" spans="1:27" s="258" customFormat="1" x14ac:dyDescent="0.25">
      <c r="A571" s="683" t="s">
        <v>1592</v>
      </c>
      <c r="B571" s="684"/>
      <c r="C571" s="684" t="s">
        <v>1398</v>
      </c>
      <c r="D571" s="684" t="s">
        <v>1377</v>
      </c>
      <c r="E571" s="684" t="s">
        <v>1373</v>
      </c>
      <c r="F571" s="684" t="s">
        <v>53</v>
      </c>
      <c r="G571" s="685" t="s">
        <v>47</v>
      </c>
      <c r="H571" s="684" t="s">
        <v>1366</v>
      </c>
      <c r="I571" s="686"/>
      <c r="J571" s="686"/>
      <c r="K571" s="692">
        <v>3330</v>
      </c>
      <c r="L571" s="693" t="s">
        <v>55</v>
      </c>
      <c r="M571" s="685" t="s">
        <v>318</v>
      </c>
      <c r="N571" s="688" t="s">
        <v>55</v>
      </c>
      <c r="O571" s="693"/>
      <c r="P571" s="685"/>
      <c r="Q571" s="685"/>
      <c r="R571" s="685"/>
      <c r="S571" s="685"/>
      <c r="T571" s="685"/>
      <c r="U571" s="685"/>
      <c r="V571" s="685"/>
      <c r="W571" s="685"/>
      <c r="X571" s="687"/>
      <c r="Y571" s="687"/>
      <c r="Z571" s="685" t="s">
        <v>1367</v>
      </c>
      <c r="AA571" s="688" t="s">
        <v>304</v>
      </c>
    </row>
    <row r="572" spans="1:27" s="258" customFormat="1" x14ac:dyDescent="0.25">
      <c r="A572" s="683" t="s">
        <v>1592</v>
      </c>
      <c r="B572" s="684"/>
      <c r="C572" s="684" t="s">
        <v>1398</v>
      </c>
      <c r="D572" s="684" t="s">
        <v>1377</v>
      </c>
      <c r="E572" s="684" t="s">
        <v>1374</v>
      </c>
      <c r="F572" s="684" t="s">
        <v>53</v>
      </c>
      <c r="G572" s="685" t="s">
        <v>47</v>
      </c>
      <c r="H572" s="684" t="s">
        <v>1366</v>
      </c>
      <c r="I572" s="686"/>
      <c r="J572" s="686"/>
      <c r="K572" s="692">
        <v>4010</v>
      </c>
      <c r="L572" s="693" t="s">
        <v>55</v>
      </c>
      <c r="M572" s="685" t="s">
        <v>318</v>
      </c>
      <c r="N572" s="688" t="s">
        <v>55</v>
      </c>
      <c r="O572" s="693"/>
      <c r="P572" s="685"/>
      <c r="Q572" s="685"/>
      <c r="R572" s="685"/>
      <c r="S572" s="685"/>
      <c r="T572" s="685"/>
      <c r="U572" s="685"/>
      <c r="V572" s="685"/>
      <c r="W572" s="685"/>
      <c r="X572" s="687"/>
      <c r="Y572" s="687"/>
      <c r="Z572" s="685" t="s">
        <v>1367</v>
      </c>
      <c r="AA572" s="688" t="s">
        <v>304</v>
      </c>
    </row>
    <row r="573" spans="1:27" s="258" customFormat="1" x14ac:dyDescent="0.25">
      <c r="A573" s="683" t="s">
        <v>1592</v>
      </c>
      <c r="B573" s="684"/>
      <c r="C573" s="684" t="s">
        <v>1392</v>
      </c>
      <c r="D573" s="684" t="s">
        <v>1597</v>
      </c>
      <c r="E573" s="684"/>
      <c r="F573" s="684" t="s">
        <v>51</v>
      </c>
      <c r="G573" s="685" t="s">
        <v>47</v>
      </c>
      <c r="H573" s="684" t="s">
        <v>1366</v>
      </c>
      <c r="I573" s="686"/>
      <c r="J573" s="686"/>
      <c r="K573" s="692">
        <v>2210</v>
      </c>
      <c r="L573" s="693" t="s">
        <v>55</v>
      </c>
      <c r="M573" s="685" t="s">
        <v>318</v>
      </c>
      <c r="N573" s="688" t="s">
        <v>55</v>
      </c>
      <c r="O573" s="693"/>
      <c r="P573" s="685"/>
      <c r="Q573" s="685"/>
      <c r="R573" s="685"/>
      <c r="S573" s="685"/>
      <c r="T573" s="685"/>
      <c r="U573" s="685"/>
      <c r="V573" s="685"/>
      <c r="W573" s="685"/>
      <c r="X573" s="687"/>
      <c r="Y573" s="687"/>
      <c r="Z573" s="685" t="s">
        <v>1367</v>
      </c>
      <c r="AA573" s="688" t="s">
        <v>304</v>
      </c>
    </row>
    <row r="574" spans="1:27" s="258" customFormat="1" x14ac:dyDescent="0.25">
      <c r="A574" s="683" t="s">
        <v>1592</v>
      </c>
      <c r="B574" s="684"/>
      <c r="C574" s="684" t="s">
        <v>1392</v>
      </c>
      <c r="D574" s="684" t="s">
        <v>1377</v>
      </c>
      <c r="E574" s="684" t="s">
        <v>1373</v>
      </c>
      <c r="F574" s="684" t="s">
        <v>53</v>
      </c>
      <c r="G574" s="685" t="s">
        <v>47</v>
      </c>
      <c r="H574" s="684" t="s">
        <v>1366</v>
      </c>
      <c r="I574" s="686"/>
      <c r="J574" s="686"/>
      <c r="K574" s="692">
        <v>3230</v>
      </c>
      <c r="L574" s="693" t="s">
        <v>55</v>
      </c>
      <c r="M574" s="685" t="s">
        <v>318</v>
      </c>
      <c r="N574" s="688" t="s">
        <v>55</v>
      </c>
      <c r="O574" s="693"/>
      <c r="P574" s="685"/>
      <c r="Q574" s="685"/>
      <c r="R574" s="685"/>
      <c r="S574" s="685"/>
      <c r="T574" s="685"/>
      <c r="U574" s="685"/>
      <c r="V574" s="685"/>
      <c r="W574" s="685"/>
      <c r="X574" s="687"/>
      <c r="Y574" s="687"/>
      <c r="Z574" s="685" t="s">
        <v>1367</v>
      </c>
      <c r="AA574" s="688" t="s">
        <v>304</v>
      </c>
    </row>
    <row r="575" spans="1:27" s="258" customFormat="1" x14ac:dyDescent="0.25">
      <c r="A575" s="683" t="s">
        <v>1592</v>
      </c>
      <c r="B575" s="684"/>
      <c r="C575" s="684" t="s">
        <v>1392</v>
      </c>
      <c r="D575" s="684" t="s">
        <v>1377</v>
      </c>
      <c r="E575" s="684" t="s">
        <v>1374</v>
      </c>
      <c r="F575" s="684" t="s">
        <v>53</v>
      </c>
      <c r="G575" s="685" t="s">
        <v>47</v>
      </c>
      <c r="H575" s="684" t="s">
        <v>1366</v>
      </c>
      <c r="I575" s="686"/>
      <c r="J575" s="686"/>
      <c r="K575" s="692">
        <v>3910</v>
      </c>
      <c r="L575" s="693" t="s">
        <v>55</v>
      </c>
      <c r="M575" s="685" t="s">
        <v>318</v>
      </c>
      <c r="N575" s="688" t="s">
        <v>55</v>
      </c>
      <c r="O575" s="693"/>
      <c r="P575" s="685"/>
      <c r="Q575" s="685"/>
      <c r="R575" s="685"/>
      <c r="S575" s="685"/>
      <c r="T575" s="685"/>
      <c r="U575" s="685"/>
      <c r="V575" s="685"/>
      <c r="W575" s="685"/>
      <c r="X575" s="687"/>
      <c r="Y575" s="687"/>
      <c r="Z575" s="685" t="s">
        <v>1367</v>
      </c>
      <c r="AA575" s="688" t="s">
        <v>304</v>
      </c>
    </row>
    <row r="576" spans="1:27" s="258" customFormat="1" x14ac:dyDescent="0.25">
      <c r="A576" s="683" t="s">
        <v>1592</v>
      </c>
      <c r="B576" s="684"/>
      <c r="C576" s="684" t="s">
        <v>1595</v>
      </c>
      <c r="D576" s="684" t="s">
        <v>1597</v>
      </c>
      <c r="E576" s="684"/>
      <c r="F576" s="684" t="s">
        <v>51</v>
      </c>
      <c r="G576" s="685" t="s">
        <v>47</v>
      </c>
      <c r="H576" s="684" t="s">
        <v>1366</v>
      </c>
      <c r="I576" s="686"/>
      <c r="J576" s="686"/>
      <c r="K576" s="692">
        <v>2210</v>
      </c>
      <c r="L576" s="693" t="s">
        <v>55</v>
      </c>
      <c r="M576" s="685" t="s">
        <v>318</v>
      </c>
      <c r="N576" s="688" t="s">
        <v>55</v>
      </c>
      <c r="O576" s="693"/>
      <c r="P576" s="685"/>
      <c r="Q576" s="685"/>
      <c r="R576" s="685"/>
      <c r="S576" s="685"/>
      <c r="T576" s="685"/>
      <c r="U576" s="685"/>
      <c r="V576" s="685"/>
      <c r="W576" s="685"/>
      <c r="X576" s="687"/>
      <c r="Y576" s="687"/>
      <c r="Z576" s="685" t="s">
        <v>1367</v>
      </c>
      <c r="AA576" s="688" t="s">
        <v>304</v>
      </c>
    </row>
    <row r="577" spans="1:29" s="258" customFormat="1" x14ac:dyDescent="0.25">
      <c r="A577" s="683" t="s">
        <v>1592</v>
      </c>
      <c r="B577" s="684"/>
      <c r="C577" s="684" t="s">
        <v>1595</v>
      </c>
      <c r="D577" s="684" t="s">
        <v>1377</v>
      </c>
      <c r="E577" s="684" t="s">
        <v>1373</v>
      </c>
      <c r="F577" s="684" t="s">
        <v>53</v>
      </c>
      <c r="G577" s="685" t="s">
        <v>47</v>
      </c>
      <c r="H577" s="684" t="s">
        <v>1366</v>
      </c>
      <c r="I577" s="686"/>
      <c r="J577" s="686"/>
      <c r="K577" s="692">
        <v>3230</v>
      </c>
      <c r="L577" s="693" t="s">
        <v>55</v>
      </c>
      <c r="M577" s="685" t="s">
        <v>318</v>
      </c>
      <c r="N577" s="688" t="s">
        <v>55</v>
      </c>
      <c r="O577" s="693"/>
      <c r="P577" s="685"/>
      <c r="Q577" s="685"/>
      <c r="R577" s="685"/>
      <c r="S577" s="685"/>
      <c r="T577" s="685"/>
      <c r="U577" s="685"/>
      <c r="V577" s="685"/>
      <c r="W577" s="685"/>
      <c r="X577" s="687"/>
      <c r="Y577" s="687"/>
      <c r="Z577" s="685" t="s">
        <v>1367</v>
      </c>
      <c r="AA577" s="688" t="s">
        <v>304</v>
      </c>
    </row>
    <row r="578" spans="1:29" s="258" customFormat="1" x14ac:dyDescent="0.25">
      <c r="A578" s="683" t="s">
        <v>1592</v>
      </c>
      <c r="B578" s="684"/>
      <c r="C578" s="684" t="s">
        <v>1595</v>
      </c>
      <c r="D578" s="684" t="s">
        <v>1377</v>
      </c>
      <c r="E578" s="684" t="s">
        <v>1374</v>
      </c>
      <c r="F578" s="684" t="s">
        <v>53</v>
      </c>
      <c r="G578" s="685" t="s">
        <v>47</v>
      </c>
      <c r="H578" s="684" t="s">
        <v>1366</v>
      </c>
      <c r="I578" s="686"/>
      <c r="J578" s="686"/>
      <c r="K578" s="692">
        <v>3910</v>
      </c>
      <c r="L578" s="693" t="s">
        <v>55</v>
      </c>
      <c r="M578" s="685" t="s">
        <v>318</v>
      </c>
      <c r="N578" s="688" t="s">
        <v>55</v>
      </c>
      <c r="O578" s="693"/>
      <c r="P578" s="685"/>
      <c r="Q578" s="685"/>
      <c r="R578" s="685"/>
      <c r="S578" s="685"/>
      <c r="T578" s="685"/>
      <c r="U578" s="685"/>
      <c r="V578" s="685"/>
      <c r="W578" s="685"/>
      <c r="X578" s="687"/>
      <c r="Y578" s="687"/>
      <c r="Z578" s="685" t="s">
        <v>1367</v>
      </c>
      <c r="AA578" s="688" t="s">
        <v>304</v>
      </c>
    </row>
    <row r="579" spans="1:29" s="258" customFormat="1" x14ac:dyDescent="0.25">
      <c r="A579" s="683" t="s">
        <v>1592</v>
      </c>
      <c r="B579" s="684"/>
      <c r="C579" s="684" t="s">
        <v>1400</v>
      </c>
      <c r="D579" s="684" t="s">
        <v>1597</v>
      </c>
      <c r="E579" s="684"/>
      <c r="F579" s="684" t="s">
        <v>51</v>
      </c>
      <c r="G579" s="685" t="s">
        <v>47</v>
      </c>
      <c r="H579" s="684" t="s">
        <v>1366</v>
      </c>
      <c r="I579" s="686"/>
      <c r="J579" s="686"/>
      <c r="K579" s="692">
        <v>2360</v>
      </c>
      <c r="L579" s="693" t="s">
        <v>55</v>
      </c>
      <c r="M579" s="685" t="s">
        <v>318</v>
      </c>
      <c r="N579" s="688" t="s">
        <v>55</v>
      </c>
      <c r="O579" s="693"/>
      <c r="P579" s="685"/>
      <c r="Q579" s="685"/>
      <c r="R579" s="685"/>
      <c r="S579" s="685"/>
      <c r="T579" s="685"/>
      <c r="U579" s="685"/>
      <c r="V579" s="685"/>
      <c r="W579" s="685"/>
      <c r="X579" s="687"/>
      <c r="Y579" s="687"/>
      <c r="Z579" s="685" t="s">
        <v>1367</v>
      </c>
      <c r="AA579" s="688" t="s">
        <v>304</v>
      </c>
    </row>
    <row r="580" spans="1:29" s="258" customFormat="1" x14ac:dyDescent="0.25">
      <c r="A580" s="683" t="s">
        <v>1592</v>
      </c>
      <c r="B580" s="684"/>
      <c r="C580" s="684" t="s">
        <v>1400</v>
      </c>
      <c r="D580" s="684" t="s">
        <v>1377</v>
      </c>
      <c r="E580" s="684" t="s">
        <v>1373</v>
      </c>
      <c r="F580" s="684" t="s">
        <v>53</v>
      </c>
      <c r="G580" s="685" t="s">
        <v>47</v>
      </c>
      <c r="H580" s="684" t="s">
        <v>1366</v>
      </c>
      <c r="I580" s="686"/>
      <c r="J580" s="686"/>
      <c r="K580" s="692">
        <v>3380</v>
      </c>
      <c r="L580" s="693" t="s">
        <v>55</v>
      </c>
      <c r="M580" s="685" t="s">
        <v>318</v>
      </c>
      <c r="N580" s="688" t="s">
        <v>55</v>
      </c>
      <c r="O580" s="693"/>
      <c r="P580" s="685"/>
      <c r="Q580" s="685"/>
      <c r="R580" s="685"/>
      <c r="S580" s="685"/>
      <c r="T580" s="685"/>
      <c r="U580" s="685"/>
      <c r="V580" s="685"/>
      <c r="W580" s="685"/>
      <c r="X580" s="687"/>
      <c r="Y580" s="687"/>
      <c r="Z580" s="685" t="s">
        <v>1367</v>
      </c>
      <c r="AA580" s="688" t="s">
        <v>304</v>
      </c>
    </row>
    <row r="581" spans="1:29" s="258" customFormat="1" x14ac:dyDescent="0.25">
      <c r="A581" s="683" t="s">
        <v>1592</v>
      </c>
      <c r="B581" s="684"/>
      <c r="C581" s="684" t="s">
        <v>1400</v>
      </c>
      <c r="D581" s="684" t="s">
        <v>1377</v>
      </c>
      <c r="E581" s="684" t="s">
        <v>1374</v>
      </c>
      <c r="F581" s="684" t="s">
        <v>53</v>
      </c>
      <c r="G581" s="685" t="s">
        <v>47</v>
      </c>
      <c r="H581" s="684" t="s">
        <v>1366</v>
      </c>
      <c r="I581" s="686"/>
      <c r="J581" s="686"/>
      <c r="K581" s="692">
        <v>4060</v>
      </c>
      <c r="L581" s="693" t="s">
        <v>55</v>
      </c>
      <c r="M581" s="685" t="s">
        <v>318</v>
      </c>
      <c r="N581" s="688" t="s">
        <v>55</v>
      </c>
      <c r="O581" s="693"/>
      <c r="P581" s="685"/>
      <c r="Q581" s="685"/>
      <c r="R581" s="685"/>
      <c r="S581" s="685"/>
      <c r="T581" s="685"/>
      <c r="U581" s="685"/>
      <c r="V581" s="685"/>
      <c r="W581" s="685"/>
      <c r="X581" s="687"/>
      <c r="Y581" s="687"/>
      <c r="Z581" s="685" t="s">
        <v>1367</v>
      </c>
      <c r="AA581" s="688" t="s">
        <v>304</v>
      </c>
    </row>
    <row r="582" spans="1:29" s="258" customFormat="1" x14ac:dyDescent="0.25">
      <c r="A582" s="683" t="s">
        <v>1593</v>
      </c>
      <c r="B582" s="684"/>
      <c r="C582" s="684" t="s">
        <v>1200</v>
      </c>
      <c r="D582" s="684" t="s">
        <v>1619</v>
      </c>
      <c r="E582" s="684"/>
      <c r="F582" s="684" t="s">
        <v>51</v>
      </c>
      <c r="G582" s="685" t="s">
        <v>47</v>
      </c>
      <c r="H582" s="684" t="s">
        <v>1366</v>
      </c>
      <c r="I582" s="686"/>
      <c r="J582" s="686"/>
      <c r="K582" s="692">
        <v>2125</v>
      </c>
      <c r="L582" s="693" t="s">
        <v>55</v>
      </c>
      <c r="M582" s="685" t="s">
        <v>318</v>
      </c>
      <c r="N582" s="688" t="s">
        <v>55</v>
      </c>
      <c r="O582" s="693"/>
      <c r="P582" s="685"/>
      <c r="Q582" s="685"/>
      <c r="R582" s="685"/>
      <c r="S582" s="685"/>
      <c r="T582" s="685"/>
      <c r="U582" s="685"/>
      <c r="V582" s="685"/>
      <c r="W582" s="685"/>
      <c r="X582" s="687"/>
      <c r="Y582" s="687"/>
      <c r="Z582" s="685" t="s">
        <v>1367</v>
      </c>
      <c r="AA582" s="688" t="s">
        <v>304</v>
      </c>
    </row>
    <row r="583" spans="1:29" s="258" customFormat="1" x14ac:dyDescent="0.25">
      <c r="A583" s="683" t="s">
        <v>1593</v>
      </c>
      <c r="B583" s="684"/>
      <c r="C583" s="684" t="s">
        <v>1398</v>
      </c>
      <c r="D583" s="684" t="s">
        <v>1619</v>
      </c>
      <c r="E583" s="684"/>
      <c r="F583" s="684" t="s">
        <v>51</v>
      </c>
      <c r="G583" s="685" t="s">
        <v>47</v>
      </c>
      <c r="H583" s="684" t="s">
        <v>1366</v>
      </c>
      <c r="I583" s="686"/>
      <c r="J583" s="686"/>
      <c r="K583" s="692">
        <v>2025</v>
      </c>
      <c r="L583" s="693" t="s">
        <v>55</v>
      </c>
      <c r="M583" s="685" t="s">
        <v>318</v>
      </c>
      <c r="N583" s="688" t="s">
        <v>55</v>
      </c>
      <c r="O583" s="693"/>
      <c r="P583" s="685"/>
      <c r="Q583" s="685"/>
      <c r="R583" s="685"/>
      <c r="S583" s="685"/>
      <c r="T583" s="685"/>
      <c r="U583" s="685"/>
      <c r="V583" s="685"/>
      <c r="W583" s="685"/>
      <c r="X583" s="687"/>
      <c r="Y583" s="687"/>
      <c r="Z583" s="685" t="s">
        <v>1367</v>
      </c>
      <c r="AA583" s="688" t="s">
        <v>304</v>
      </c>
    </row>
    <row r="584" spans="1:29" s="64" customFormat="1" x14ac:dyDescent="0.25">
      <c r="A584" s="59"/>
      <c r="B584" s="60"/>
      <c r="C584" s="60"/>
      <c r="D584" s="60"/>
      <c r="E584" s="60"/>
      <c r="F584" s="60"/>
      <c r="G584" s="61"/>
      <c r="H584" s="60"/>
      <c r="I584" s="62"/>
      <c r="J584" s="62"/>
      <c r="K584" s="348"/>
      <c r="L584" s="65"/>
      <c r="M584" s="61"/>
      <c r="N584" s="63"/>
      <c r="O584" s="349"/>
      <c r="P584" s="61"/>
      <c r="Q584" s="61"/>
      <c r="R584" s="61"/>
      <c r="S584" s="61"/>
      <c r="T584" s="61"/>
      <c r="U584" s="61"/>
      <c r="V584" s="61"/>
      <c r="W584" s="61"/>
      <c r="X584" s="345"/>
      <c r="Y584" s="345"/>
      <c r="Z584" s="61"/>
      <c r="AA584" s="63"/>
    </row>
    <row r="585" spans="1:29" s="64" customFormat="1" ht="13.8" thickBot="1" x14ac:dyDescent="0.3">
      <c r="A585" s="191"/>
      <c r="B585" s="263"/>
      <c r="C585" s="263"/>
      <c r="D585" s="263"/>
      <c r="E585" s="263"/>
      <c r="F585" s="263"/>
      <c r="G585" s="195"/>
      <c r="H585" s="263"/>
      <c r="I585" s="342"/>
      <c r="J585" s="342"/>
      <c r="K585" s="350"/>
      <c r="L585" s="127"/>
      <c r="M585" s="195"/>
      <c r="N585" s="129"/>
      <c r="O585" s="351"/>
      <c r="P585" s="195"/>
      <c r="Q585" s="195"/>
      <c r="R585" s="195"/>
      <c r="S585" s="195"/>
      <c r="T585" s="195"/>
      <c r="U585" s="195"/>
      <c r="V585" s="195"/>
      <c r="W585" s="195"/>
      <c r="X585" s="352"/>
      <c r="Y585" s="352"/>
      <c r="Z585" s="195"/>
      <c r="AA585" s="129"/>
    </row>
    <row r="586" spans="1:29" x14ac:dyDescent="0.25">
      <c r="A586" s="142"/>
      <c r="B586" s="142"/>
      <c r="C586" s="142"/>
      <c r="D586" s="142"/>
      <c r="E586" s="142"/>
      <c r="F586" s="142"/>
      <c r="J586" s="199"/>
      <c r="K586" s="199"/>
      <c r="L586" s="199"/>
      <c r="M586" s="199"/>
      <c r="N586" s="199"/>
      <c r="O586" s="66"/>
      <c r="P586" s="66"/>
      <c r="Q586" s="66"/>
      <c r="R586" s="66"/>
      <c r="S586" s="64"/>
      <c r="T586" s="64"/>
      <c r="U586" s="64"/>
      <c r="V586" s="64"/>
      <c r="W586" s="64"/>
      <c r="X586" s="199"/>
    </row>
    <row r="587" spans="1:29" ht="13.8" thickBot="1" x14ac:dyDescent="0.3">
      <c r="A587" s="142"/>
      <c r="B587" s="142"/>
      <c r="C587" s="142"/>
      <c r="D587" s="142"/>
      <c r="E587" s="142"/>
      <c r="F587" s="142"/>
      <c r="J587" s="199"/>
      <c r="K587" s="199"/>
      <c r="L587" s="199"/>
      <c r="M587" s="199"/>
      <c r="N587" s="199"/>
      <c r="O587" s="66"/>
      <c r="P587" s="66"/>
      <c r="Q587" s="66"/>
      <c r="R587" s="66"/>
      <c r="S587" s="64"/>
      <c r="T587" s="64"/>
      <c r="U587" s="64"/>
      <c r="V587" s="64"/>
      <c r="W587" s="64"/>
      <c r="X587" s="199"/>
    </row>
    <row r="588" spans="1:29" ht="13.8" thickBot="1" x14ac:dyDescent="0.3">
      <c r="A588" s="501" t="s">
        <v>291</v>
      </c>
      <c r="B588" s="570"/>
      <c r="C588" s="570"/>
      <c r="D588" s="571"/>
      <c r="E588" s="198"/>
      <c r="F588" s="198"/>
      <c r="G588" s="177"/>
      <c r="H588" s="177"/>
      <c r="I588" s="177"/>
      <c r="J588" s="177"/>
      <c r="K588" s="177"/>
      <c r="L588" s="177"/>
      <c r="M588" s="177"/>
      <c r="N588" s="177"/>
      <c r="O588" s="64"/>
      <c r="P588" s="200"/>
      <c r="Q588" s="200"/>
      <c r="R588" s="200"/>
      <c r="S588" s="57"/>
      <c r="T588" s="57"/>
      <c r="U588" s="57"/>
      <c r="V588" s="57"/>
      <c r="W588" s="200"/>
      <c r="X588" s="177"/>
      <c r="Y588" s="177"/>
    </row>
    <row r="589" spans="1:29" ht="15.75" customHeight="1" x14ac:dyDescent="0.25">
      <c r="A589" s="509" t="s">
        <v>558</v>
      </c>
      <c r="B589" s="499" t="s">
        <v>559</v>
      </c>
      <c r="C589" s="499" t="s">
        <v>11</v>
      </c>
      <c r="D589" s="499" t="s">
        <v>12</v>
      </c>
      <c r="E589" s="499" t="s">
        <v>13</v>
      </c>
      <c r="F589" s="499" t="s">
        <v>14</v>
      </c>
      <c r="G589" s="499" t="s">
        <v>15</v>
      </c>
      <c r="H589" s="499" t="s">
        <v>16</v>
      </c>
      <c r="I589" s="499">
        <v>20</v>
      </c>
      <c r="J589" s="499">
        <v>40</v>
      </c>
      <c r="K589" s="499" t="s">
        <v>19</v>
      </c>
      <c r="L589" s="497" t="s">
        <v>20</v>
      </c>
      <c r="M589" s="591" t="s">
        <v>28</v>
      </c>
      <c r="N589" s="207" t="s">
        <v>68</v>
      </c>
      <c r="O589" s="53" t="s">
        <v>63</v>
      </c>
      <c r="P589" s="180" t="s">
        <v>64</v>
      </c>
      <c r="Q589" s="179" t="s">
        <v>141</v>
      </c>
      <c r="R589" s="179" t="s">
        <v>70</v>
      </c>
      <c r="S589" s="179"/>
      <c r="T589" s="179"/>
      <c r="U589" s="179"/>
      <c r="V589" s="179"/>
      <c r="W589" s="179"/>
      <c r="X589" s="179"/>
      <c r="Y589" s="179"/>
      <c r="Z589" s="499" t="s">
        <v>22</v>
      </c>
      <c r="AA589" s="499" t="s">
        <v>23</v>
      </c>
      <c r="AB589" s="499" t="s">
        <v>24</v>
      </c>
      <c r="AC589" s="497" t="s">
        <v>330</v>
      </c>
    </row>
    <row r="590" spans="1:29" ht="40.200000000000003" thickBot="1" x14ac:dyDescent="0.3">
      <c r="A590" s="510"/>
      <c r="B590" s="504"/>
      <c r="C590" s="504"/>
      <c r="D590" s="504"/>
      <c r="E590" s="504"/>
      <c r="F590" s="504"/>
      <c r="G590" s="500"/>
      <c r="H590" s="504"/>
      <c r="I590" s="504"/>
      <c r="J590" s="504"/>
      <c r="K590" s="504"/>
      <c r="L590" s="498"/>
      <c r="M590" s="592"/>
      <c r="N590" s="208" t="s">
        <v>69</v>
      </c>
      <c r="O590" s="183" t="s">
        <v>66</v>
      </c>
      <c r="P590" s="185" t="s">
        <v>67</v>
      </c>
      <c r="Q590" s="202" t="s">
        <v>82</v>
      </c>
      <c r="R590" s="184" t="s">
        <v>82</v>
      </c>
      <c r="S590" s="184"/>
      <c r="T590" s="184"/>
      <c r="U590" s="184"/>
      <c r="V590" s="184"/>
      <c r="W590" s="184"/>
      <c r="X590" s="184"/>
      <c r="Y590" s="184"/>
      <c r="Z590" s="500"/>
      <c r="AA590" s="500"/>
      <c r="AB590" s="500"/>
      <c r="AC590" s="498"/>
    </row>
    <row r="591" spans="1:29" s="64" customFormat="1" x14ac:dyDescent="0.25">
      <c r="A591" s="385"/>
      <c r="B591" s="367"/>
      <c r="C591" s="367"/>
      <c r="D591" s="367"/>
      <c r="E591" s="367"/>
      <c r="F591" s="367"/>
      <c r="G591" s="337"/>
      <c r="H591" s="367"/>
      <c r="I591" s="346"/>
      <c r="J591" s="346"/>
      <c r="K591" s="346"/>
      <c r="L591" s="386"/>
      <c r="M591" s="387"/>
      <c r="N591" s="336"/>
      <c r="O591" s="337"/>
      <c r="P591" s="366"/>
      <c r="Q591" s="336"/>
      <c r="R591" s="337"/>
      <c r="S591" s="337"/>
      <c r="T591" s="337"/>
      <c r="U591" s="337"/>
      <c r="V591" s="337"/>
      <c r="W591" s="337"/>
      <c r="X591" s="337"/>
      <c r="Y591" s="337"/>
      <c r="Z591" s="375"/>
      <c r="AA591" s="375"/>
      <c r="AB591" s="337"/>
      <c r="AC591" s="366"/>
    </row>
    <row r="592" spans="1:29" s="64" customFormat="1" x14ac:dyDescent="0.25">
      <c r="A592" s="59"/>
      <c r="B592" s="186"/>
      <c r="C592" s="186"/>
      <c r="D592" s="186"/>
      <c r="E592" s="186"/>
      <c r="F592" s="186"/>
      <c r="G592" s="187"/>
      <c r="H592" s="186"/>
      <c r="I592" s="188"/>
      <c r="J592" s="188"/>
      <c r="K592" s="188"/>
      <c r="L592" s="203"/>
      <c r="M592" s="209"/>
      <c r="N592" s="204"/>
      <c r="O592" s="187"/>
      <c r="P592" s="190"/>
      <c r="Q592" s="65"/>
      <c r="R592" s="61"/>
      <c r="S592" s="61"/>
      <c r="T592" s="61"/>
      <c r="U592" s="61"/>
      <c r="V592" s="61"/>
      <c r="W592" s="187"/>
      <c r="X592" s="187"/>
      <c r="Y592" s="187"/>
      <c r="Z592" s="189"/>
      <c r="AA592" s="189"/>
      <c r="AB592" s="187"/>
      <c r="AC592" s="190"/>
    </row>
    <row r="593" spans="1:29" s="64" customFormat="1" x14ac:dyDescent="0.25">
      <c r="A593" s="59"/>
      <c r="B593" s="186"/>
      <c r="C593" s="186"/>
      <c r="D593" s="186"/>
      <c r="E593" s="186"/>
      <c r="F593" s="186"/>
      <c r="G593" s="187"/>
      <c r="H593" s="186"/>
      <c r="I593" s="188"/>
      <c r="J593" s="188"/>
      <c r="K593" s="188"/>
      <c r="L593" s="203"/>
      <c r="M593" s="209"/>
      <c r="N593" s="204"/>
      <c r="O593" s="187"/>
      <c r="P593" s="190"/>
      <c r="Q593" s="65"/>
      <c r="R593" s="61"/>
      <c r="S593" s="61"/>
      <c r="T593" s="61"/>
      <c r="U593" s="61"/>
      <c r="V593" s="61"/>
      <c r="W593" s="187"/>
      <c r="X593" s="187"/>
      <c r="Y593" s="187"/>
      <c r="Z593" s="189"/>
      <c r="AA593" s="189"/>
      <c r="AB593" s="187"/>
      <c r="AC593" s="190"/>
    </row>
    <row r="594" spans="1:29" s="64" customFormat="1" ht="13.8" thickBot="1" x14ac:dyDescent="0.3">
      <c r="A594" s="191"/>
      <c r="B594" s="192"/>
      <c r="C594" s="192"/>
      <c r="D594" s="192"/>
      <c r="E594" s="192"/>
      <c r="F594" s="192"/>
      <c r="G594" s="193"/>
      <c r="H594" s="192"/>
      <c r="I594" s="194"/>
      <c r="J594" s="194"/>
      <c r="K594" s="194"/>
      <c r="L594" s="205"/>
      <c r="M594" s="210"/>
      <c r="N594" s="206"/>
      <c r="O594" s="193"/>
      <c r="P594" s="197"/>
      <c r="Q594" s="206"/>
      <c r="R594" s="193"/>
      <c r="S594" s="193"/>
      <c r="T594" s="193"/>
      <c r="U594" s="193"/>
      <c r="V594" s="193"/>
      <c r="W594" s="193"/>
      <c r="X594" s="193"/>
      <c r="Y594" s="193"/>
      <c r="Z594" s="196"/>
      <c r="AA594" s="196"/>
      <c r="AB594" s="193"/>
      <c r="AC594" s="197"/>
    </row>
    <row r="595" spans="1:29" x14ac:dyDescent="0.25">
      <c r="A595" s="198"/>
      <c r="B595" s="198"/>
      <c r="C595" s="198"/>
      <c r="D595" s="198"/>
      <c r="E595" s="198"/>
      <c r="F595" s="198"/>
      <c r="G595" s="177"/>
      <c r="H595" s="177"/>
      <c r="I595" s="177"/>
      <c r="J595" s="177"/>
      <c r="K595" s="177"/>
      <c r="M595" s="177"/>
      <c r="V595" s="177"/>
      <c r="W595" s="177"/>
    </row>
    <row r="596" spans="1:29" x14ac:dyDescent="0.25">
      <c r="A596" s="198"/>
      <c r="B596" s="198"/>
      <c r="C596" s="198"/>
      <c r="D596" s="198"/>
      <c r="E596" s="198"/>
      <c r="F596" s="177"/>
      <c r="G596" s="177"/>
      <c r="H596" s="177"/>
      <c r="I596" s="177"/>
      <c r="J596" s="177"/>
      <c r="K596" s="199"/>
      <c r="L596" s="177"/>
      <c r="M596" s="177"/>
      <c r="N596" s="177"/>
      <c r="S596" s="177"/>
      <c r="T596" s="177"/>
      <c r="U596" s="177"/>
    </row>
    <row r="597" spans="1:29" ht="13.8" thickBot="1" x14ac:dyDescent="0.3">
      <c r="A597" s="198"/>
      <c r="B597" s="198"/>
      <c r="C597" s="198"/>
      <c r="D597" s="198"/>
      <c r="E597" s="177"/>
      <c r="F597" s="177"/>
      <c r="G597" s="177"/>
      <c r="H597" s="177"/>
      <c r="I597" s="177"/>
      <c r="J597" s="199"/>
      <c r="K597" s="199"/>
      <c r="L597" s="199"/>
      <c r="M597" s="199"/>
      <c r="R597" s="199"/>
    </row>
    <row r="598" spans="1:29" ht="13.8" thickBot="1" x14ac:dyDescent="0.3">
      <c r="A598" s="501" t="s">
        <v>29</v>
      </c>
      <c r="B598" s="570"/>
      <c r="C598" s="571"/>
      <c r="D598" s="198"/>
      <c r="E598" s="198"/>
      <c r="F598" s="177"/>
      <c r="G598" s="177"/>
      <c r="H598" s="177"/>
      <c r="I598" s="177"/>
      <c r="J598" s="177"/>
      <c r="K598" s="199"/>
      <c r="L598" s="199"/>
      <c r="M598" s="199"/>
      <c r="N598" s="199"/>
      <c r="S598" s="199"/>
      <c r="T598" s="199"/>
      <c r="U598" s="199"/>
    </row>
    <row r="599" spans="1:29" ht="13.8" thickBot="1" x14ac:dyDescent="0.3">
      <c r="A599" s="582" t="s">
        <v>556</v>
      </c>
      <c r="B599" s="583"/>
      <c r="C599" s="584"/>
      <c r="D599" s="198"/>
      <c r="E599" s="198"/>
      <c r="F599" s="198"/>
      <c r="G599" s="177"/>
      <c r="H599" s="177"/>
      <c r="I599" s="177"/>
      <c r="J599" s="177"/>
      <c r="K599" s="177"/>
      <c r="L599" s="199"/>
      <c r="N599" s="199"/>
      <c r="O599" s="199"/>
      <c r="V599" s="199"/>
    </row>
    <row r="600" spans="1:29" x14ac:dyDescent="0.25">
      <c r="A600" s="211" t="s">
        <v>30</v>
      </c>
      <c r="B600" s="212"/>
      <c r="C600" s="213" t="s">
        <v>149</v>
      </c>
      <c r="D600" s="214"/>
      <c r="E600" s="214"/>
      <c r="F600" s="215"/>
      <c r="G600" s="215"/>
      <c r="H600" s="214"/>
      <c r="I600" s="215"/>
      <c r="J600" s="214"/>
      <c r="K600" s="216"/>
      <c r="L600" s="217"/>
      <c r="N600" s="199"/>
      <c r="O600" s="199"/>
      <c r="P600" s="199"/>
    </row>
    <row r="601" spans="1:29" x14ac:dyDescent="0.25">
      <c r="A601" s="163" t="s">
        <v>557</v>
      </c>
      <c r="B601" s="218"/>
      <c r="C601" s="218"/>
      <c r="D601" s="219"/>
      <c r="E601" s="219"/>
      <c r="F601" s="220"/>
      <c r="G601" s="220"/>
      <c r="H601" s="219"/>
      <c r="I601" s="220"/>
      <c r="J601" s="219"/>
      <c r="K601" s="221"/>
      <c r="L601" s="222"/>
      <c r="N601" s="199"/>
      <c r="O601" s="199"/>
      <c r="P601" s="199"/>
    </row>
    <row r="602" spans="1:29" x14ac:dyDescent="0.25">
      <c r="A602" s="163" t="s">
        <v>165</v>
      </c>
      <c r="B602" s="218"/>
      <c r="C602" s="218"/>
      <c r="D602" s="219"/>
      <c r="E602" s="219"/>
      <c r="F602" s="220"/>
      <c r="G602" s="220"/>
      <c r="H602" s="219"/>
      <c r="I602" s="220"/>
      <c r="J602" s="219"/>
      <c r="K602" s="221"/>
      <c r="L602" s="222"/>
      <c r="N602" s="199"/>
      <c r="O602" s="199"/>
      <c r="P602" s="199"/>
    </row>
    <row r="603" spans="1:29" x14ac:dyDescent="0.25">
      <c r="A603" s="163" t="s">
        <v>861</v>
      </c>
      <c r="B603" s="218"/>
      <c r="C603" s="218"/>
      <c r="D603" s="219"/>
      <c r="E603" s="219"/>
      <c r="F603" s="220"/>
      <c r="G603" s="220"/>
      <c r="H603" s="219"/>
      <c r="I603" s="220"/>
      <c r="J603" s="219"/>
      <c r="K603" s="221"/>
      <c r="L603" s="222"/>
      <c r="N603" s="199"/>
      <c r="O603" s="199"/>
      <c r="P603" s="199"/>
    </row>
    <row r="604" spans="1:29" ht="13.8" thickBot="1" x14ac:dyDescent="0.3">
      <c r="A604" s="137" t="s">
        <v>862</v>
      </c>
      <c r="B604" s="223"/>
      <c r="C604" s="223"/>
      <c r="D604" s="224"/>
      <c r="E604" s="224"/>
      <c r="F604" s="225"/>
      <c r="G604" s="225"/>
      <c r="H604" s="224"/>
      <c r="I604" s="225"/>
      <c r="J604" s="224"/>
      <c r="K604" s="226"/>
      <c r="L604" s="227"/>
      <c r="N604" s="199"/>
      <c r="O604" s="199"/>
      <c r="P604" s="199"/>
    </row>
    <row r="605" spans="1:29" ht="13.8" thickBot="1" x14ac:dyDescent="0.3">
      <c r="A605" s="228"/>
      <c r="B605" s="142"/>
      <c r="C605" s="199"/>
      <c r="D605" s="198"/>
      <c r="E605" s="198"/>
      <c r="F605" s="198"/>
      <c r="G605" s="198"/>
      <c r="H605" s="177"/>
      <c r="I605" s="177"/>
      <c r="J605" s="177"/>
      <c r="K605" s="177"/>
      <c r="L605" s="177"/>
      <c r="M605" s="199"/>
      <c r="O605" s="199"/>
      <c r="P605" s="199"/>
      <c r="Q605" s="177"/>
    </row>
    <row r="606" spans="1:29" s="181" customFormat="1" ht="22.5" customHeight="1" thickBot="1" x14ac:dyDescent="0.3">
      <c r="A606" s="229" t="s">
        <v>31</v>
      </c>
      <c r="B606" s="505" t="s">
        <v>559</v>
      </c>
      <c r="C606" s="505"/>
      <c r="D606" s="506"/>
      <c r="E606" s="54" t="s">
        <v>11</v>
      </c>
      <c r="F606" s="54" t="s">
        <v>14</v>
      </c>
      <c r="G606" s="54" t="s">
        <v>273</v>
      </c>
      <c r="H606" s="54" t="s">
        <v>32</v>
      </c>
      <c r="I606" s="54" t="s">
        <v>16</v>
      </c>
      <c r="J606" s="54" t="s">
        <v>17</v>
      </c>
      <c r="K606" s="54" t="s">
        <v>18</v>
      </c>
      <c r="L606" s="54" t="s">
        <v>19</v>
      </c>
      <c r="M606" s="54" t="s">
        <v>20</v>
      </c>
      <c r="N606" s="230" t="s">
        <v>117</v>
      </c>
      <c r="O606" s="54" t="s">
        <v>92</v>
      </c>
    </row>
    <row r="607" spans="1:29" s="64" customFormat="1" x14ac:dyDescent="0.25">
      <c r="A607" s="65" t="s">
        <v>1433</v>
      </c>
      <c r="B607" s="511" t="s">
        <v>1434</v>
      </c>
      <c r="C607" s="511"/>
      <c r="D607" s="511"/>
      <c r="E607" s="61" t="s">
        <v>1437</v>
      </c>
      <c r="F607" s="61" t="s">
        <v>54</v>
      </c>
      <c r="G607" s="61" t="s">
        <v>55</v>
      </c>
      <c r="H607" s="61"/>
      <c r="I607" s="61" t="s">
        <v>1366</v>
      </c>
      <c r="J607" s="62">
        <v>900</v>
      </c>
      <c r="K607" s="62">
        <v>1000</v>
      </c>
      <c r="L607" s="62">
        <v>1000</v>
      </c>
      <c r="M607" s="232">
        <v>1270</v>
      </c>
      <c r="N607" s="55" t="s">
        <v>1590</v>
      </c>
      <c r="O607" s="61" t="s">
        <v>52</v>
      </c>
      <c r="P607" s="200"/>
      <c r="Q607" s="200"/>
      <c r="R607" s="200"/>
      <c r="S607" s="200"/>
      <c r="T607" s="66"/>
      <c r="U607" s="66"/>
      <c r="V607" s="66"/>
    </row>
    <row r="608" spans="1:29" s="64" customFormat="1" x14ac:dyDescent="0.25">
      <c r="A608" s="65" t="s">
        <v>1433</v>
      </c>
      <c r="B608" s="511" t="s">
        <v>1436</v>
      </c>
      <c r="C608" s="511"/>
      <c r="D608" s="511"/>
      <c r="E608" s="61" t="s">
        <v>1437</v>
      </c>
      <c r="F608" s="61" t="s">
        <v>54</v>
      </c>
      <c r="G608" s="61" t="s">
        <v>55</v>
      </c>
      <c r="H608" s="61"/>
      <c r="I608" s="61" t="s">
        <v>1366</v>
      </c>
      <c r="J608" s="62">
        <v>405</v>
      </c>
      <c r="K608" s="62">
        <v>450</v>
      </c>
      <c r="L608" s="62">
        <v>450</v>
      </c>
      <c r="M608" s="232">
        <v>570</v>
      </c>
      <c r="N608" s="55" t="s">
        <v>1590</v>
      </c>
      <c r="O608" s="61" t="s">
        <v>52</v>
      </c>
      <c r="P608" s="200"/>
      <c r="Q608" s="200"/>
      <c r="R608" s="200"/>
      <c r="S608" s="200"/>
      <c r="T608" s="66"/>
      <c r="U608" s="66"/>
      <c r="V608" s="66"/>
    </row>
    <row r="609" spans="1:22" s="64" customFormat="1" x14ac:dyDescent="0.25">
      <c r="A609" s="65" t="s">
        <v>1433</v>
      </c>
      <c r="B609" s="511" t="s">
        <v>1436</v>
      </c>
      <c r="C609" s="511"/>
      <c r="D609" s="511"/>
      <c r="E609" s="61" t="s">
        <v>1438</v>
      </c>
      <c r="F609" s="61" t="s">
        <v>389</v>
      </c>
      <c r="G609" s="61" t="s">
        <v>55</v>
      </c>
      <c r="H609" s="61"/>
      <c r="I609" s="61" t="s">
        <v>1366</v>
      </c>
      <c r="J609" s="62">
        <v>405</v>
      </c>
      <c r="K609" s="62">
        <v>450</v>
      </c>
      <c r="L609" s="62">
        <v>450</v>
      </c>
      <c r="M609" s="232">
        <v>570</v>
      </c>
      <c r="N609" s="55" t="s">
        <v>1590</v>
      </c>
      <c r="O609" s="61" t="s">
        <v>52</v>
      </c>
      <c r="P609" s="200"/>
      <c r="Q609" s="200"/>
      <c r="R609" s="200"/>
      <c r="S609" s="200"/>
      <c r="T609" s="66"/>
      <c r="U609" s="66"/>
      <c r="V609" s="66"/>
    </row>
    <row r="610" spans="1:22" s="64" customFormat="1" x14ac:dyDescent="0.25">
      <c r="A610" s="65" t="s">
        <v>1433</v>
      </c>
      <c r="B610" s="511" t="s">
        <v>1436</v>
      </c>
      <c r="C610" s="511"/>
      <c r="D610" s="511"/>
      <c r="E610" s="61" t="s">
        <v>1437</v>
      </c>
      <c r="F610" s="61" t="s">
        <v>389</v>
      </c>
      <c r="G610" s="61" t="s">
        <v>55</v>
      </c>
      <c r="H610" s="61"/>
      <c r="I610" s="61" t="s">
        <v>1366</v>
      </c>
      <c r="J610" s="62">
        <v>405</v>
      </c>
      <c r="K610" s="62">
        <v>450</v>
      </c>
      <c r="L610" s="62">
        <v>450</v>
      </c>
      <c r="M610" s="232">
        <v>570</v>
      </c>
      <c r="N610" s="55" t="s">
        <v>1590</v>
      </c>
      <c r="O610" s="61" t="s">
        <v>52</v>
      </c>
      <c r="P610" s="200"/>
      <c r="Q610" s="200"/>
      <c r="R610" s="200"/>
      <c r="S610" s="200"/>
      <c r="T610" s="66"/>
      <c r="U610" s="66"/>
      <c r="V610" s="66"/>
    </row>
    <row r="611" spans="1:22" s="64" customFormat="1" x14ac:dyDescent="0.25">
      <c r="A611" s="65" t="s">
        <v>1433</v>
      </c>
      <c r="B611" s="511" t="s">
        <v>1441</v>
      </c>
      <c r="C611" s="511"/>
      <c r="D611" s="511"/>
      <c r="E611" s="61" t="s">
        <v>1437</v>
      </c>
      <c r="F611" s="61" t="s">
        <v>54</v>
      </c>
      <c r="G611" s="61" t="s">
        <v>55</v>
      </c>
      <c r="H611" s="61"/>
      <c r="I611" s="61" t="s">
        <v>1366</v>
      </c>
      <c r="J611" s="62">
        <v>900</v>
      </c>
      <c r="K611" s="62">
        <v>1000</v>
      </c>
      <c r="L611" s="62">
        <v>1000</v>
      </c>
      <c r="M611" s="232">
        <v>1270</v>
      </c>
      <c r="N611" s="55" t="s">
        <v>1590</v>
      </c>
      <c r="O611" s="61" t="s">
        <v>52</v>
      </c>
      <c r="P611" s="200"/>
      <c r="Q611" s="200"/>
      <c r="R611" s="200"/>
      <c r="S611" s="200"/>
      <c r="T611" s="66"/>
      <c r="U611" s="66"/>
      <c r="V611" s="66"/>
    </row>
    <row r="612" spans="1:22" s="64" customFormat="1" x14ac:dyDescent="0.25">
      <c r="A612" s="65" t="s">
        <v>1433</v>
      </c>
      <c r="B612" s="511" t="s">
        <v>1441</v>
      </c>
      <c r="C612" s="511"/>
      <c r="D612" s="511"/>
      <c r="E612" s="61" t="s">
        <v>1437</v>
      </c>
      <c r="F612" s="61" t="s">
        <v>56</v>
      </c>
      <c r="G612" s="61" t="s">
        <v>55</v>
      </c>
      <c r="H612" s="61"/>
      <c r="I612" s="61" t="s">
        <v>1366</v>
      </c>
      <c r="J612" s="62">
        <v>385</v>
      </c>
      <c r="K612" s="62">
        <v>575</v>
      </c>
      <c r="L612" s="62">
        <v>575</v>
      </c>
      <c r="M612" s="232"/>
      <c r="N612" s="55" t="s">
        <v>1590</v>
      </c>
      <c r="O612" s="61" t="s">
        <v>52</v>
      </c>
      <c r="P612" s="200"/>
      <c r="Q612" s="200"/>
      <c r="R612" s="200"/>
      <c r="S612" s="200"/>
      <c r="T612" s="66"/>
      <c r="U612" s="66"/>
      <c r="V612" s="66"/>
    </row>
    <row r="613" spans="1:22" s="64" customFormat="1" x14ac:dyDescent="0.25">
      <c r="A613" s="65" t="s">
        <v>1433</v>
      </c>
      <c r="B613" s="511" t="s">
        <v>1442</v>
      </c>
      <c r="C613" s="511"/>
      <c r="D613" s="511"/>
      <c r="E613" s="61" t="s">
        <v>1437</v>
      </c>
      <c r="F613" s="61" t="s">
        <v>54</v>
      </c>
      <c r="G613" s="61" t="s">
        <v>55</v>
      </c>
      <c r="H613" s="61"/>
      <c r="I613" s="61" t="s">
        <v>1366</v>
      </c>
      <c r="J613" s="62">
        <v>900</v>
      </c>
      <c r="K613" s="62">
        <v>1000</v>
      </c>
      <c r="L613" s="62">
        <v>1000</v>
      </c>
      <c r="M613" s="232">
        <v>1270</v>
      </c>
      <c r="N613" s="55" t="s">
        <v>1590</v>
      </c>
      <c r="O613" s="61" t="s">
        <v>52</v>
      </c>
      <c r="P613" s="200"/>
      <c r="Q613" s="200"/>
      <c r="R613" s="200"/>
      <c r="S613" s="200"/>
      <c r="T613" s="66"/>
      <c r="U613" s="66"/>
      <c r="V613" s="66"/>
    </row>
    <row r="614" spans="1:22" s="64" customFormat="1" x14ac:dyDescent="0.25">
      <c r="A614" s="65" t="s">
        <v>1433</v>
      </c>
      <c r="B614" s="511" t="s">
        <v>1445</v>
      </c>
      <c r="C614" s="511"/>
      <c r="D614" s="511"/>
      <c r="E614" s="61" t="s">
        <v>1437</v>
      </c>
      <c r="F614" s="61" t="s">
        <v>54</v>
      </c>
      <c r="G614" s="61" t="s">
        <v>55</v>
      </c>
      <c r="H614" s="61"/>
      <c r="I614" s="61" t="s">
        <v>1366</v>
      </c>
      <c r="J614" s="62">
        <v>900</v>
      </c>
      <c r="K614" s="62">
        <v>1000</v>
      </c>
      <c r="L614" s="62">
        <v>1000</v>
      </c>
      <c r="M614" s="232">
        <v>1270</v>
      </c>
      <c r="N614" s="55" t="s">
        <v>1590</v>
      </c>
      <c r="O614" s="61" t="s">
        <v>52</v>
      </c>
      <c r="P614" s="200"/>
      <c r="Q614" s="200"/>
      <c r="R614" s="200"/>
      <c r="S614" s="200"/>
      <c r="T614" s="66"/>
      <c r="U614" s="66"/>
      <c r="V614" s="66"/>
    </row>
    <row r="615" spans="1:22" s="64" customFormat="1" x14ac:dyDescent="0.25">
      <c r="A615" s="65" t="s">
        <v>1433</v>
      </c>
      <c r="B615" s="511" t="s">
        <v>1446</v>
      </c>
      <c r="C615" s="511"/>
      <c r="D615" s="511"/>
      <c r="E615" s="61" t="s">
        <v>1437</v>
      </c>
      <c r="F615" s="61" t="s">
        <v>54</v>
      </c>
      <c r="G615" s="61" t="s">
        <v>55</v>
      </c>
      <c r="H615" s="61"/>
      <c r="I615" s="61" t="s">
        <v>1366</v>
      </c>
      <c r="J615" s="62">
        <v>1080</v>
      </c>
      <c r="K615" s="62">
        <v>1200</v>
      </c>
      <c r="L615" s="62">
        <v>1200</v>
      </c>
      <c r="M615" s="232">
        <v>1525</v>
      </c>
      <c r="N615" s="55" t="s">
        <v>1590</v>
      </c>
      <c r="O615" s="61" t="s">
        <v>52</v>
      </c>
      <c r="P615" s="200"/>
      <c r="Q615" s="200"/>
      <c r="R615" s="200"/>
      <c r="S615" s="200"/>
      <c r="T615" s="66"/>
      <c r="U615" s="66"/>
      <c r="V615" s="66"/>
    </row>
    <row r="616" spans="1:22" s="64" customFormat="1" x14ac:dyDescent="0.25">
      <c r="A616" s="65" t="s">
        <v>1433</v>
      </c>
      <c r="B616" s="511" t="s">
        <v>1449</v>
      </c>
      <c r="C616" s="511"/>
      <c r="D616" s="511"/>
      <c r="E616" s="61" t="s">
        <v>1437</v>
      </c>
      <c r="F616" s="61" t="s">
        <v>54</v>
      </c>
      <c r="G616" s="61" t="s">
        <v>55</v>
      </c>
      <c r="H616" s="61"/>
      <c r="I616" s="61" t="s">
        <v>1366</v>
      </c>
      <c r="J616" s="62">
        <v>225</v>
      </c>
      <c r="K616" s="62">
        <v>250</v>
      </c>
      <c r="L616" s="62">
        <v>250</v>
      </c>
      <c r="M616" s="232">
        <v>320</v>
      </c>
      <c r="N616" s="55" t="s">
        <v>1590</v>
      </c>
      <c r="O616" s="61" t="s">
        <v>52</v>
      </c>
      <c r="P616" s="200"/>
      <c r="Q616" s="200"/>
      <c r="R616" s="200"/>
      <c r="S616" s="200"/>
      <c r="T616" s="66"/>
      <c r="U616" s="66"/>
      <c r="V616" s="66"/>
    </row>
    <row r="617" spans="1:22" s="64" customFormat="1" x14ac:dyDescent="0.25">
      <c r="A617" s="65" t="s">
        <v>1433</v>
      </c>
      <c r="B617" s="511" t="s">
        <v>1450</v>
      </c>
      <c r="C617" s="511"/>
      <c r="D617" s="511"/>
      <c r="E617" s="61" t="s">
        <v>1437</v>
      </c>
      <c r="F617" s="61" t="s">
        <v>54</v>
      </c>
      <c r="G617" s="61" t="s">
        <v>55</v>
      </c>
      <c r="H617" s="61"/>
      <c r="I617" s="61" t="s">
        <v>1366</v>
      </c>
      <c r="J617" s="62">
        <v>135</v>
      </c>
      <c r="K617" s="62">
        <v>150</v>
      </c>
      <c r="L617" s="62">
        <v>150</v>
      </c>
      <c r="M617" s="232">
        <v>190</v>
      </c>
      <c r="N617" s="55" t="s">
        <v>1590</v>
      </c>
      <c r="O617" s="61" t="s">
        <v>52</v>
      </c>
      <c r="P617" s="200"/>
      <c r="Q617" s="200"/>
      <c r="R617" s="200"/>
      <c r="S617" s="200"/>
      <c r="T617" s="66"/>
      <c r="U617" s="66"/>
      <c r="V617" s="66"/>
    </row>
    <row r="618" spans="1:22" s="64" customFormat="1" x14ac:dyDescent="0.25">
      <c r="A618" s="65" t="s">
        <v>1433</v>
      </c>
      <c r="B618" s="511" t="s">
        <v>1450</v>
      </c>
      <c r="C618" s="511"/>
      <c r="D618" s="511"/>
      <c r="E618" s="61" t="s">
        <v>1438</v>
      </c>
      <c r="F618" s="61" t="s">
        <v>389</v>
      </c>
      <c r="G618" s="61" t="s">
        <v>55</v>
      </c>
      <c r="H618" s="61"/>
      <c r="I618" s="61" t="s">
        <v>1366</v>
      </c>
      <c r="J618" s="62">
        <v>135</v>
      </c>
      <c r="K618" s="62">
        <v>150</v>
      </c>
      <c r="L618" s="62">
        <v>150</v>
      </c>
      <c r="M618" s="232">
        <v>190</v>
      </c>
      <c r="N618" s="55" t="s">
        <v>1590</v>
      </c>
      <c r="O618" s="61" t="s">
        <v>52</v>
      </c>
      <c r="P618" s="200"/>
      <c r="Q618" s="200"/>
      <c r="R618" s="200"/>
      <c r="S618" s="200"/>
      <c r="T618" s="66"/>
      <c r="U618" s="66"/>
      <c r="V618" s="66"/>
    </row>
    <row r="619" spans="1:22" s="64" customFormat="1" x14ac:dyDescent="0.25">
      <c r="A619" s="65" t="s">
        <v>1433</v>
      </c>
      <c r="B619" s="511" t="s">
        <v>1450</v>
      </c>
      <c r="C619" s="511"/>
      <c r="D619" s="511"/>
      <c r="E619" s="61" t="s">
        <v>1437</v>
      </c>
      <c r="F619" s="61" t="s">
        <v>389</v>
      </c>
      <c r="G619" s="61" t="s">
        <v>55</v>
      </c>
      <c r="H619" s="61"/>
      <c r="I619" s="61" t="s">
        <v>1366</v>
      </c>
      <c r="J619" s="62">
        <v>135</v>
      </c>
      <c r="K619" s="62">
        <v>150</v>
      </c>
      <c r="L619" s="62">
        <v>150</v>
      </c>
      <c r="M619" s="232">
        <v>190</v>
      </c>
      <c r="N619" s="55" t="s">
        <v>1590</v>
      </c>
      <c r="O619" s="61" t="s">
        <v>52</v>
      </c>
      <c r="P619" s="200"/>
      <c r="Q619" s="200"/>
      <c r="R619" s="200"/>
      <c r="S619" s="200"/>
      <c r="T619" s="66"/>
      <c r="U619" s="66"/>
      <c r="V619" s="66"/>
    </row>
    <row r="620" spans="1:22" s="64" customFormat="1" x14ac:dyDescent="0.25">
      <c r="A620" s="65" t="s">
        <v>1433</v>
      </c>
      <c r="B620" s="511" t="s">
        <v>1450</v>
      </c>
      <c r="C620" s="511"/>
      <c r="D620" s="511"/>
      <c r="E620" s="61" t="s">
        <v>1437</v>
      </c>
      <c r="F620" s="61" t="s">
        <v>56</v>
      </c>
      <c r="G620" s="61" t="s">
        <v>55</v>
      </c>
      <c r="H620" s="61"/>
      <c r="I620" s="61" t="s">
        <v>1366</v>
      </c>
      <c r="J620" s="62">
        <v>230</v>
      </c>
      <c r="K620" s="62">
        <v>255</v>
      </c>
      <c r="L620" s="62">
        <v>255</v>
      </c>
      <c r="M620" s="232">
        <v>200</v>
      </c>
      <c r="N620" s="55" t="s">
        <v>1590</v>
      </c>
      <c r="O620" s="61" t="s">
        <v>52</v>
      </c>
      <c r="P620" s="200"/>
      <c r="Q620" s="200"/>
      <c r="R620" s="200"/>
      <c r="S620" s="200"/>
      <c r="T620" s="66"/>
      <c r="U620" s="66"/>
      <c r="V620" s="66"/>
    </row>
    <row r="621" spans="1:22" s="64" customFormat="1" x14ac:dyDescent="0.25">
      <c r="A621" s="65" t="s">
        <v>1433</v>
      </c>
      <c r="B621" s="511" t="s">
        <v>1451</v>
      </c>
      <c r="C621" s="511"/>
      <c r="D621" s="511"/>
      <c r="E621" s="61" t="s">
        <v>1437</v>
      </c>
      <c r="F621" s="61" t="s">
        <v>54</v>
      </c>
      <c r="G621" s="61" t="s">
        <v>55</v>
      </c>
      <c r="H621" s="61"/>
      <c r="I621" s="61" t="s">
        <v>1366</v>
      </c>
      <c r="J621" s="62">
        <v>405</v>
      </c>
      <c r="K621" s="62">
        <v>450</v>
      </c>
      <c r="L621" s="62">
        <v>450</v>
      </c>
      <c r="M621" s="232">
        <v>570</v>
      </c>
      <c r="N621" s="55" t="s">
        <v>1590</v>
      </c>
      <c r="O621" s="61" t="s">
        <v>52</v>
      </c>
      <c r="P621" s="200"/>
      <c r="Q621" s="200"/>
      <c r="R621" s="200"/>
      <c r="S621" s="200"/>
      <c r="T621" s="66"/>
      <c r="U621" s="66"/>
      <c r="V621" s="66"/>
    </row>
    <row r="622" spans="1:22" s="64" customFormat="1" x14ac:dyDescent="0.25">
      <c r="A622" s="65" t="s">
        <v>1433</v>
      </c>
      <c r="B622" s="511" t="s">
        <v>1451</v>
      </c>
      <c r="C622" s="511"/>
      <c r="D622" s="511"/>
      <c r="E622" s="61" t="s">
        <v>1438</v>
      </c>
      <c r="F622" s="61" t="s">
        <v>389</v>
      </c>
      <c r="G622" s="61" t="s">
        <v>55</v>
      </c>
      <c r="H622" s="61"/>
      <c r="I622" s="61" t="s">
        <v>1366</v>
      </c>
      <c r="J622" s="62">
        <v>405</v>
      </c>
      <c r="K622" s="62">
        <v>450</v>
      </c>
      <c r="L622" s="62">
        <v>450</v>
      </c>
      <c r="M622" s="232">
        <v>570</v>
      </c>
      <c r="N622" s="55" t="s">
        <v>1590</v>
      </c>
      <c r="O622" s="61" t="s">
        <v>52</v>
      </c>
      <c r="P622" s="200"/>
      <c r="Q622" s="200"/>
      <c r="R622" s="200"/>
      <c r="S622" s="200"/>
      <c r="T622" s="66"/>
      <c r="U622" s="66"/>
      <c r="V622" s="66"/>
    </row>
    <row r="623" spans="1:22" s="64" customFormat="1" x14ac:dyDescent="0.25">
      <c r="A623" s="65" t="s">
        <v>1433</v>
      </c>
      <c r="B623" s="511" t="s">
        <v>1451</v>
      </c>
      <c r="C623" s="511"/>
      <c r="D623" s="511"/>
      <c r="E623" s="61" t="s">
        <v>1437</v>
      </c>
      <c r="F623" s="61" t="s">
        <v>389</v>
      </c>
      <c r="G623" s="61" t="s">
        <v>55</v>
      </c>
      <c r="H623" s="61"/>
      <c r="I623" s="61" t="s">
        <v>1366</v>
      </c>
      <c r="J623" s="62">
        <v>405</v>
      </c>
      <c r="K623" s="62">
        <v>450</v>
      </c>
      <c r="L623" s="62">
        <v>450</v>
      </c>
      <c r="M623" s="232">
        <v>570</v>
      </c>
      <c r="N623" s="55" t="s">
        <v>1590</v>
      </c>
      <c r="O623" s="61" t="s">
        <v>52</v>
      </c>
      <c r="P623" s="200"/>
      <c r="Q623" s="200"/>
      <c r="R623" s="200"/>
      <c r="S623" s="200"/>
      <c r="T623" s="66"/>
      <c r="U623" s="66"/>
      <c r="V623" s="66"/>
    </row>
    <row r="624" spans="1:22" s="64" customFormat="1" x14ac:dyDescent="0.25">
      <c r="A624" s="65" t="s">
        <v>1433</v>
      </c>
      <c r="B624" s="511" t="s">
        <v>1453</v>
      </c>
      <c r="C624" s="511"/>
      <c r="D624" s="511"/>
      <c r="E624" s="61" t="s">
        <v>1437</v>
      </c>
      <c r="F624" s="61" t="s">
        <v>54</v>
      </c>
      <c r="G624" s="61" t="s">
        <v>55</v>
      </c>
      <c r="H624" s="61"/>
      <c r="I624" s="61" t="s">
        <v>1366</v>
      </c>
      <c r="J624" s="62">
        <v>225</v>
      </c>
      <c r="K624" s="62">
        <v>250</v>
      </c>
      <c r="L624" s="62">
        <v>250</v>
      </c>
      <c r="M624" s="232">
        <v>320</v>
      </c>
      <c r="N624" s="55" t="s">
        <v>1590</v>
      </c>
      <c r="O624" s="61" t="s">
        <v>52</v>
      </c>
      <c r="P624" s="200"/>
      <c r="Q624" s="200"/>
      <c r="R624" s="200"/>
      <c r="S624" s="200"/>
      <c r="T624" s="66"/>
      <c r="U624" s="66"/>
      <c r="V624" s="66"/>
    </row>
    <row r="625" spans="1:22" s="64" customFormat="1" x14ac:dyDescent="0.25">
      <c r="A625" s="65" t="s">
        <v>1433</v>
      </c>
      <c r="B625" s="511" t="s">
        <v>1454</v>
      </c>
      <c r="C625" s="511"/>
      <c r="D625" s="511"/>
      <c r="E625" s="61" t="s">
        <v>1455</v>
      </c>
      <c r="F625" s="61" t="s">
        <v>56</v>
      </c>
      <c r="G625" s="61" t="s">
        <v>55</v>
      </c>
      <c r="H625" s="61"/>
      <c r="I625" s="61" t="s">
        <v>1366</v>
      </c>
      <c r="J625" s="62">
        <v>505</v>
      </c>
      <c r="K625" s="62">
        <v>510</v>
      </c>
      <c r="L625" s="62">
        <v>510</v>
      </c>
      <c r="M625" s="232"/>
      <c r="N625" s="55" t="s">
        <v>1590</v>
      </c>
      <c r="O625" s="61" t="s">
        <v>52</v>
      </c>
      <c r="P625" s="200"/>
      <c r="Q625" s="200"/>
      <c r="R625" s="200"/>
      <c r="S625" s="200"/>
      <c r="T625" s="66"/>
      <c r="U625" s="66"/>
      <c r="V625" s="66"/>
    </row>
    <row r="626" spans="1:22" s="64" customFormat="1" x14ac:dyDescent="0.25">
      <c r="A626" s="65" t="s">
        <v>1433</v>
      </c>
      <c r="B626" s="511" t="s">
        <v>1454</v>
      </c>
      <c r="C626" s="511"/>
      <c r="D626" s="511"/>
      <c r="E626" s="61" t="s">
        <v>1437</v>
      </c>
      <c r="F626" s="61" t="s">
        <v>56</v>
      </c>
      <c r="G626" s="61" t="s">
        <v>55</v>
      </c>
      <c r="H626" s="61"/>
      <c r="I626" s="61" t="s">
        <v>1366</v>
      </c>
      <c r="J626" s="62">
        <v>445</v>
      </c>
      <c r="K626" s="62">
        <v>595</v>
      </c>
      <c r="L626" s="62">
        <v>595</v>
      </c>
      <c r="M626" s="232"/>
      <c r="N626" s="55" t="s">
        <v>1590</v>
      </c>
      <c r="O626" s="61" t="s">
        <v>52</v>
      </c>
      <c r="P626" s="200"/>
      <c r="Q626" s="200"/>
      <c r="R626" s="200"/>
      <c r="S626" s="200"/>
      <c r="T626" s="66"/>
      <c r="U626" s="66"/>
      <c r="V626" s="66"/>
    </row>
    <row r="627" spans="1:22" s="64" customFormat="1" x14ac:dyDescent="0.25">
      <c r="A627" s="65" t="s">
        <v>1433</v>
      </c>
      <c r="B627" s="511" t="s">
        <v>1456</v>
      </c>
      <c r="C627" s="511"/>
      <c r="D627" s="511"/>
      <c r="E627" s="61" t="s">
        <v>1437</v>
      </c>
      <c r="F627" s="61" t="s">
        <v>54</v>
      </c>
      <c r="G627" s="61" t="s">
        <v>55</v>
      </c>
      <c r="H627" s="61"/>
      <c r="I627" s="61" t="s">
        <v>1366</v>
      </c>
      <c r="J627" s="62">
        <v>180</v>
      </c>
      <c r="K627" s="62">
        <v>200</v>
      </c>
      <c r="L627" s="62">
        <v>200</v>
      </c>
      <c r="M627" s="232">
        <v>255</v>
      </c>
      <c r="N627" s="55" t="s">
        <v>1590</v>
      </c>
      <c r="O627" s="61" t="s">
        <v>52</v>
      </c>
      <c r="P627" s="200"/>
      <c r="Q627" s="200"/>
      <c r="R627" s="200"/>
      <c r="S627" s="200"/>
      <c r="T627" s="66"/>
      <c r="U627" s="66"/>
      <c r="V627" s="66"/>
    </row>
    <row r="628" spans="1:22" s="64" customFormat="1" x14ac:dyDescent="0.25">
      <c r="A628" s="65" t="s">
        <v>1433</v>
      </c>
      <c r="B628" s="511" t="s">
        <v>1456</v>
      </c>
      <c r="C628" s="511"/>
      <c r="D628" s="511"/>
      <c r="E628" s="61" t="s">
        <v>1438</v>
      </c>
      <c r="F628" s="61" t="s">
        <v>389</v>
      </c>
      <c r="G628" s="61" t="s">
        <v>55</v>
      </c>
      <c r="H628" s="61"/>
      <c r="I628" s="61" t="s">
        <v>1366</v>
      </c>
      <c r="J628" s="62">
        <v>180</v>
      </c>
      <c r="K628" s="62">
        <v>200</v>
      </c>
      <c r="L628" s="62">
        <v>200</v>
      </c>
      <c r="M628" s="232">
        <v>255</v>
      </c>
      <c r="N628" s="55" t="s">
        <v>1590</v>
      </c>
      <c r="O628" s="61" t="s">
        <v>52</v>
      </c>
      <c r="P628" s="200"/>
      <c r="Q628" s="200"/>
      <c r="R628" s="200"/>
      <c r="S628" s="200"/>
      <c r="T628" s="66"/>
      <c r="U628" s="66"/>
      <c r="V628" s="66"/>
    </row>
    <row r="629" spans="1:22" s="64" customFormat="1" x14ac:dyDescent="0.25">
      <c r="A629" s="65" t="s">
        <v>1433</v>
      </c>
      <c r="B629" s="511" t="s">
        <v>1456</v>
      </c>
      <c r="C629" s="511"/>
      <c r="D629" s="511"/>
      <c r="E629" s="61" t="s">
        <v>1437</v>
      </c>
      <c r="F629" s="61" t="s">
        <v>389</v>
      </c>
      <c r="G629" s="61" t="s">
        <v>55</v>
      </c>
      <c r="H629" s="61"/>
      <c r="I629" s="61" t="s">
        <v>1366</v>
      </c>
      <c r="J629" s="62">
        <v>180</v>
      </c>
      <c r="K629" s="62">
        <v>200</v>
      </c>
      <c r="L629" s="62">
        <v>200</v>
      </c>
      <c r="M629" s="232">
        <v>255</v>
      </c>
      <c r="N629" s="55" t="s">
        <v>1590</v>
      </c>
      <c r="O629" s="61" t="s">
        <v>52</v>
      </c>
      <c r="P629" s="200"/>
      <c r="Q629" s="200"/>
      <c r="R629" s="200"/>
      <c r="S629" s="200"/>
      <c r="T629" s="66"/>
      <c r="U629" s="66"/>
      <c r="V629" s="66"/>
    </row>
    <row r="630" spans="1:22" s="64" customFormat="1" x14ac:dyDescent="0.25">
      <c r="A630" s="65" t="s">
        <v>1433</v>
      </c>
      <c r="B630" s="511" t="s">
        <v>1655</v>
      </c>
      <c r="C630" s="511"/>
      <c r="D630" s="511"/>
      <c r="E630" s="61" t="s">
        <v>1437</v>
      </c>
      <c r="F630" s="61" t="s">
        <v>54</v>
      </c>
      <c r="G630" s="61" t="s">
        <v>55</v>
      </c>
      <c r="H630" s="61"/>
      <c r="I630" s="61" t="s">
        <v>1366</v>
      </c>
      <c r="J630" s="62">
        <v>225</v>
      </c>
      <c r="K630" s="62">
        <v>250</v>
      </c>
      <c r="L630" s="62">
        <v>250</v>
      </c>
      <c r="M630" s="232">
        <v>320</v>
      </c>
      <c r="N630" s="55" t="s">
        <v>1590</v>
      </c>
      <c r="O630" s="61" t="s">
        <v>52</v>
      </c>
      <c r="P630" s="200"/>
      <c r="Q630" s="200"/>
      <c r="R630" s="200"/>
      <c r="S630" s="200"/>
      <c r="T630" s="66"/>
      <c r="U630" s="66"/>
      <c r="V630" s="66"/>
    </row>
    <row r="631" spans="1:22" s="64" customFormat="1" x14ac:dyDescent="0.25">
      <c r="A631" s="65" t="s">
        <v>1433</v>
      </c>
      <c r="B631" s="511" t="s">
        <v>1655</v>
      </c>
      <c r="C631" s="511"/>
      <c r="D631" s="511"/>
      <c r="E631" s="61" t="s">
        <v>1438</v>
      </c>
      <c r="F631" s="61" t="s">
        <v>389</v>
      </c>
      <c r="G631" s="61" t="s">
        <v>55</v>
      </c>
      <c r="H631" s="61"/>
      <c r="I631" s="61" t="s">
        <v>1366</v>
      </c>
      <c r="J631" s="62">
        <v>225</v>
      </c>
      <c r="K631" s="62">
        <v>250</v>
      </c>
      <c r="L631" s="62">
        <v>250</v>
      </c>
      <c r="M631" s="232">
        <v>320</v>
      </c>
      <c r="N631" s="55" t="s">
        <v>1590</v>
      </c>
      <c r="O631" s="61" t="s">
        <v>52</v>
      </c>
      <c r="P631" s="200"/>
      <c r="Q631" s="200"/>
      <c r="R631" s="200"/>
      <c r="S631" s="200"/>
      <c r="T631" s="66"/>
      <c r="U631" s="66"/>
      <c r="V631" s="66"/>
    </row>
    <row r="632" spans="1:22" s="64" customFormat="1" x14ac:dyDescent="0.25">
      <c r="A632" s="65" t="s">
        <v>1433</v>
      </c>
      <c r="B632" s="511" t="s">
        <v>1655</v>
      </c>
      <c r="C632" s="511"/>
      <c r="D632" s="511"/>
      <c r="E632" s="61" t="s">
        <v>1437</v>
      </c>
      <c r="F632" s="61" t="s">
        <v>389</v>
      </c>
      <c r="G632" s="61" t="s">
        <v>55</v>
      </c>
      <c r="H632" s="61"/>
      <c r="I632" s="61" t="s">
        <v>1366</v>
      </c>
      <c r="J632" s="62">
        <v>225</v>
      </c>
      <c r="K632" s="62">
        <v>250</v>
      </c>
      <c r="L632" s="62">
        <v>250</v>
      </c>
      <c r="M632" s="232">
        <v>320</v>
      </c>
      <c r="N632" s="55" t="s">
        <v>1590</v>
      </c>
      <c r="O632" s="61" t="s">
        <v>52</v>
      </c>
      <c r="P632" s="200"/>
      <c r="Q632" s="200"/>
      <c r="R632" s="200"/>
      <c r="S632" s="200"/>
      <c r="T632" s="66"/>
      <c r="U632" s="66"/>
      <c r="V632" s="66"/>
    </row>
    <row r="633" spans="1:22" s="64" customFormat="1" x14ac:dyDescent="0.25">
      <c r="A633" s="65" t="s">
        <v>1433</v>
      </c>
      <c r="B633" s="511" t="s">
        <v>1458</v>
      </c>
      <c r="C633" s="511"/>
      <c r="D633" s="511"/>
      <c r="E633" s="61" t="s">
        <v>1437</v>
      </c>
      <c r="F633" s="61" t="s">
        <v>54</v>
      </c>
      <c r="G633" s="61" t="s">
        <v>55</v>
      </c>
      <c r="H633" s="61"/>
      <c r="I633" s="61" t="s">
        <v>1366</v>
      </c>
      <c r="J633" s="62">
        <v>270</v>
      </c>
      <c r="K633" s="62">
        <v>300</v>
      </c>
      <c r="L633" s="62">
        <v>300</v>
      </c>
      <c r="M633" s="232">
        <v>385</v>
      </c>
      <c r="N633" s="55" t="s">
        <v>1590</v>
      </c>
      <c r="O633" s="61" t="s">
        <v>52</v>
      </c>
      <c r="P633" s="200"/>
      <c r="Q633" s="200"/>
      <c r="R633" s="200"/>
      <c r="S633" s="200"/>
      <c r="T633" s="66"/>
      <c r="U633" s="66"/>
      <c r="V633" s="66"/>
    </row>
    <row r="634" spans="1:22" s="64" customFormat="1" x14ac:dyDescent="0.25">
      <c r="A634" s="65" t="s">
        <v>1433</v>
      </c>
      <c r="B634" s="511" t="s">
        <v>1458</v>
      </c>
      <c r="C634" s="511"/>
      <c r="D634" s="511"/>
      <c r="E634" s="61" t="s">
        <v>1438</v>
      </c>
      <c r="F634" s="61" t="s">
        <v>389</v>
      </c>
      <c r="G634" s="61" t="s">
        <v>55</v>
      </c>
      <c r="H634" s="61"/>
      <c r="I634" s="61" t="s">
        <v>1366</v>
      </c>
      <c r="J634" s="62">
        <v>270</v>
      </c>
      <c r="K634" s="62">
        <v>300</v>
      </c>
      <c r="L634" s="62">
        <v>300</v>
      </c>
      <c r="M634" s="232">
        <v>385</v>
      </c>
      <c r="N634" s="55" t="s">
        <v>1590</v>
      </c>
      <c r="O634" s="61" t="s">
        <v>52</v>
      </c>
      <c r="P634" s="200"/>
      <c r="Q634" s="200"/>
      <c r="R634" s="200"/>
      <c r="S634" s="200"/>
      <c r="T634" s="66"/>
      <c r="U634" s="66"/>
      <c r="V634" s="66"/>
    </row>
    <row r="635" spans="1:22" s="64" customFormat="1" x14ac:dyDescent="0.25">
      <c r="A635" s="65" t="s">
        <v>1433</v>
      </c>
      <c r="B635" s="511" t="s">
        <v>1458</v>
      </c>
      <c r="C635" s="511"/>
      <c r="D635" s="511"/>
      <c r="E635" s="61" t="s">
        <v>1437</v>
      </c>
      <c r="F635" s="61" t="s">
        <v>389</v>
      </c>
      <c r="G635" s="61" t="s">
        <v>55</v>
      </c>
      <c r="H635" s="61"/>
      <c r="I635" s="61" t="s">
        <v>1366</v>
      </c>
      <c r="J635" s="62">
        <v>270</v>
      </c>
      <c r="K635" s="62">
        <v>300</v>
      </c>
      <c r="L635" s="62">
        <v>300</v>
      </c>
      <c r="M635" s="232">
        <v>385</v>
      </c>
      <c r="N635" s="55" t="s">
        <v>1590</v>
      </c>
      <c r="O635" s="61" t="s">
        <v>52</v>
      </c>
      <c r="P635" s="200"/>
      <c r="Q635" s="200"/>
      <c r="R635" s="200"/>
      <c r="S635" s="200"/>
      <c r="T635" s="66"/>
      <c r="U635" s="66"/>
      <c r="V635" s="66"/>
    </row>
    <row r="636" spans="1:22" s="64" customFormat="1" x14ac:dyDescent="0.25">
      <c r="A636" s="65" t="s">
        <v>1433</v>
      </c>
      <c r="B636" s="511" t="s">
        <v>1461</v>
      </c>
      <c r="C636" s="511"/>
      <c r="D636" s="511"/>
      <c r="E636" s="61" t="s">
        <v>1437</v>
      </c>
      <c r="F636" s="61" t="s">
        <v>54</v>
      </c>
      <c r="G636" s="61" t="s">
        <v>55</v>
      </c>
      <c r="H636" s="61"/>
      <c r="I636" s="61" t="s">
        <v>1366</v>
      </c>
      <c r="J636" s="62">
        <v>180</v>
      </c>
      <c r="K636" s="62">
        <v>200</v>
      </c>
      <c r="L636" s="62">
        <v>200</v>
      </c>
      <c r="M636" s="232">
        <v>255</v>
      </c>
      <c r="N636" s="55" t="s">
        <v>1590</v>
      </c>
      <c r="O636" s="61" t="s">
        <v>52</v>
      </c>
      <c r="P636" s="200"/>
      <c r="Q636" s="200"/>
      <c r="R636" s="200"/>
      <c r="S636" s="200"/>
      <c r="T636" s="66"/>
      <c r="U636" s="66"/>
      <c r="V636" s="66"/>
    </row>
    <row r="637" spans="1:22" s="64" customFormat="1" x14ac:dyDescent="0.25">
      <c r="A637" s="65" t="s">
        <v>1433</v>
      </c>
      <c r="B637" s="511" t="s">
        <v>1461</v>
      </c>
      <c r="C637" s="511"/>
      <c r="D637" s="511"/>
      <c r="E637" s="61" t="s">
        <v>1438</v>
      </c>
      <c r="F637" s="61" t="s">
        <v>389</v>
      </c>
      <c r="G637" s="61" t="s">
        <v>55</v>
      </c>
      <c r="H637" s="61"/>
      <c r="I637" s="61" t="s">
        <v>1366</v>
      </c>
      <c r="J637" s="62">
        <v>180</v>
      </c>
      <c r="K637" s="62">
        <v>200</v>
      </c>
      <c r="L637" s="62">
        <v>200</v>
      </c>
      <c r="M637" s="232">
        <v>255</v>
      </c>
      <c r="N637" s="55" t="s">
        <v>1590</v>
      </c>
      <c r="O637" s="61" t="s">
        <v>52</v>
      </c>
      <c r="P637" s="200"/>
      <c r="Q637" s="200"/>
      <c r="R637" s="200"/>
      <c r="S637" s="200"/>
      <c r="T637" s="66"/>
      <c r="U637" s="66"/>
      <c r="V637" s="66"/>
    </row>
    <row r="638" spans="1:22" s="64" customFormat="1" x14ac:dyDescent="0.25">
      <c r="A638" s="65" t="s">
        <v>1433</v>
      </c>
      <c r="B638" s="511" t="s">
        <v>1461</v>
      </c>
      <c r="C638" s="511"/>
      <c r="D638" s="511"/>
      <c r="E638" s="61" t="s">
        <v>1437</v>
      </c>
      <c r="F638" s="61" t="s">
        <v>389</v>
      </c>
      <c r="G638" s="61" t="s">
        <v>55</v>
      </c>
      <c r="H638" s="61"/>
      <c r="I638" s="61" t="s">
        <v>1366</v>
      </c>
      <c r="J638" s="62">
        <v>180</v>
      </c>
      <c r="K638" s="62">
        <v>200</v>
      </c>
      <c r="L638" s="62">
        <v>200</v>
      </c>
      <c r="M638" s="232">
        <v>255</v>
      </c>
      <c r="N638" s="55" t="s">
        <v>1590</v>
      </c>
      <c r="O638" s="61" t="s">
        <v>52</v>
      </c>
      <c r="P638" s="200"/>
      <c r="Q638" s="200"/>
      <c r="R638" s="200"/>
      <c r="S638" s="200"/>
      <c r="T638" s="66"/>
      <c r="U638" s="66"/>
      <c r="V638" s="66"/>
    </row>
    <row r="639" spans="1:22" s="64" customFormat="1" x14ac:dyDescent="0.25">
      <c r="A639" s="65" t="s">
        <v>1433</v>
      </c>
      <c r="B639" s="511" t="s">
        <v>1462</v>
      </c>
      <c r="C639" s="511"/>
      <c r="D639" s="511"/>
      <c r="E639" s="61" t="s">
        <v>1437</v>
      </c>
      <c r="F639" s="61" t="s">
        <v>54</v>
      </c>
      <c r="G639" s="61" t="s">
        <v>55</v>
      </c>
      <c r="H639" s="61"/>
      <c r="I639" s="61" t="s">
        <v>1366</v>
      </c>
      <c r="J639" s="62">
        <v>90</v>
      </c>
      <c r="K639" s="62">
        <v>100</v>
      </c>
      <c r="L639" s="62">
        <v>100</v>
      </c>
      <c r="M639" s="232">
        <v>130</v>
      </c>
      <c r="N639" s="55" t="s">
        <v>1590</v>
      </c>
      <c r="O639" s="61" t="s">
        <v>52</v>
      </c>
      <c r="P639" s="200"/>
      <c r="Q639" s="200"/>
      <c r="R639" s="200"/>
      <c r="S639" s="200"/>
      <c r="T639" s="66"/>
      <c r="U639" s="66"/>
      <c r="V639" s="66"/>
    </row>
    <row r="640" spans="1:22" s="64" customFormat="1" x14ac:dyDescent="0.25">
      <c r="A640" s="65" t="s">
        <v>1433</v>
      </c>
      <c r="B640" s="511" t="s">
        <v>1462</v>
      </c>
      <c r="C640" s="511"/>
      <c r="D640" s="511"/>
      <c r="E640" s="61" t="s">
        <v>1438</v>
      </c>
      <c r="F640" s="61" t="s">
        <v>389</v>
      </c>
      <c r="G640" s="61" t="s">
        <v>55</v>
      </c>
      <c r="H640" s="61"/>
      <c r="I640" s="61" t="s">
        <v>1366</v>
      </c>
      <c r="J640" s="62">
        <v>90</v>
      </c>
      <c r="K640" s="62">
        <v>100</v>
      </c>
      <c r="L640" s="62">
        <v>100</v>
      </c>
      <c r="M640" s="232">
        <v>130</v>
      </c>
      <c r="N640" s="55" t="s">
        <v>1590</v>
      </c>
      <c r="O640" s="61" t="s">
        <v>52</v>
      </c>
      <c r="P640" s="200"/>
      <c r="Q640" s="200"/>
      <c r="R640" s="200"/>
      <c r="S640" s="200"/>
      <c r="T640" s="66"/>
      <c r="U640" s="66"/>
      <c r="V640" s="66"/>
    </row>
    <row r="641" spans="1:22" s="64" customFormat="1" x14ac:dyDescent="0.25">
      <c r="A641" s="65" t="s">
        <v>1433</v>
      </c>
      <c r="B641" s="511" t="s">
        <v>1462</v>
      </c>
      <c r="C641" s="511"/>
      <c r="D641" s="511"/>
      <c r="E641" s="61" t="s">
        <v>1437</v>
      </c>
      <c r="F641" s="61" t="s">
        <v>389</v>
      </c>
      <c r="G641" s="61" t="s">
        <v>55</v>
      </c>
      <c r="H641" s="61"/>
      <c r="I641" s="61" t="s">
        <v>1366</v>
      </c>
      <c r="J641" s="62">
        <v>90</v>
      </c>
      <c r="K641" s="62">
        <v>100</v>
      </c>
      <c r="L641" s="62">
        <v>100</v>
      </c>
      <c r="M641" s="232">
        <v>130</v>
      </c>
      <c r="N641" s="55" t="s">
        <v>1590</v>
      </c>
      <c r="O641" s="61" t="s">
        <v>52</v>
      </c>
      <c r="P641" s="200"/>
      <c r="Q641" s="200"/>
      <c r="R641" s="200"/>
      <c r="S641" s="200"/>
      <c r="T641" s="66"/>
      <c r="U641" s="66"/>
      <c r="V641" s="66"/>
    </row>
    <row r="642" spans="1:22" s="64" customFormat="1" x14ac:dyDescent="0.25">
      <c r="A642" s="65" t="s">
        <v>1433</v>
      </c>
      <c r="B642" s="511" t="s">
        <v>1465</v>
      </c>
      <c r="C642" s="511"/>
      <c r="D642" s="511"/>
      <c r="E642" s="61" t="s">
        <v>1437</v>
      </c>
      <c r="F642" s="61" t="s">
        <v>54</v>
      </c>
      <c r="G642" s="61" t="s">
        <v>55</v>
      </c>
      <c r="H642" s="61"/>
      <c r="I642" s="61" t="s">
        <v>1366</v>
      </c>
      <c r="J642" s="62">
        <v>180</v>
      </c>
      <c r="K642" s="62">
        <v>200</v>
      </c>
      <c r="L642" s="62">
        <v>200</v>
      </c>
      <c r="M642" s="232">
        <v>250</v>
      </c>
      <c r="N642" s="55" t="s">
        <v>1590</v>
      </c>
      <c r="O642" s="61" t="s">
        <v>52</v>
      </c>
      <c r="P642" s="200"/>
      <c r="Q642" s="200"/>
      <c r="R642" s="200"/>
      <c r="S642" s="200"/>
      <c r="T642" s="66"/>
      <c r="U642" s="66"/>
      <c r="V642" s="66"/>
    </row>
    <row r="643" spans="1:22" s="64" customFormat="1" x14ac:dyDescent="0.25">
      <c r="A643" s="65" t="s">
        <v>1433</v>
      </c>
      <c r="B643" s="511" t="s">
        <v>1465</v>
      </c>
      <c r="C643" s="511"/>
      <c r="D643" s="511"/>
      <c r="E643" s="61" t="s">
        <v>1438</v>
      </c>
      <c r="F643" s="61" t="s">
        <v>389</v>
      </c>
      <c r="G643" s="61" t="s">
        <v>55</v>
      </c>
      <c r="H643" s="61"/>
      <c r="I643" s="61" t="s">
        <v>1366</v>
      </c>
      <c r="J643" s="62">
        <v>180</v>
      </c>
      <c r="K643" s="62">
        <v>200</v>
      </c>
      <c r="L643" s="62">
        <v>200</v>
      </c>
      <c r="M643" s="232">
        <v>250</v>
      </c>
      <c r="N643" s="55" t="s">
        <v>1590</v>
      </c>
      <c r="O643" s="61" t="s">
        <v>52</v>
      </c>
      <c r="P643" s="200"/>
      <c r="Q643" s="200"/>
      <c r="R643" s="200"/>
      <c r="S643" s="200"/>
      <c r="T643" s="66"/>
      <c r="U643" s="66"/>
      <c r="V643" s="66"/>
    </row>
    <row r="644" spans="1:22" s="64" customFormat="1" x14ac:dyDescent="0.25">
      <c r="A644" s="65" t="s">
        <v>1433</v>
      </c>
      <c r="B644" s="511" t="s">
        <v>1465</v>
      </c>
      <c r="C644" s="511"/>
      <c r="D644" s="511"/>
      <c r="E644" s="61" t="s">
        <v>1437</v>
      </c>
      <c r="F644" s="61" t="s">
        <v>389</v>
      </c>
      <c r="G644" s="61" t="s">
        <v>55</v>
      </c>
      <c r="H644" s="61"/>
      <c r="I644" s="61" t="s">
        <v>1366</v>
      </c>
      <c r="J644" s="62">
        <v>180</v>
      </c>
      <c r="K644" s="62">
        <v>200</v>
      </c>
      <c r="L644" s="62">
        <v>200</v>
      </c>
      <c r="M644" s="232">
        <v>250</v>
      </c>
      <c r="N644" s="55" t="s">
        <v>1590</v>
      </c>
      <c r="O644" s="61" t="s">
        <v>52</v>
      </c>
      <c r="P644" s="200"/>
      <c r="Q644" s="200"/>
      <c r="R644" s="200"/>
      <c r="S644" s="200"/>
      <c r="T644" s="66"/>
      <c r="U644" s="66"/>
      <c r="V644" s="66"/>
    </row>
    <row r="645" spans="1:22" s="64" customFormat="1" x14ac:dyDescent="0.25">
      <c r="A645" s="65" t="s">
        <v>1433</v>
      </c>
      <c r="B645" s="511" t="s">
        <v>1474</v>
      </c>
      <c r="C645" s="511"/>
      <c r="D645" s="511"/>
      <c r="E645" s="61" t="s">
        <v>1438</v>
      </c>
      <c r="F645" s="61" t="s">
        <v>54</v>
      </c>
      <c r="G645" s="61" t="s">
        <v>55</v>
      </c>
      <c r="H645" s="61"/>
      <c r="I645" s="61" t="s">
        <v>1366</v>
      </c>
      <c r="J645" s="62">
        <v>225</v>
      </c>
      <c r="K645" s="62">
        <v>250</v>
      </c>
      <c r="L645" s="62">
        <v>250</v>
      </c>
      <c r="M645" s="232">
        <v>320</v>
      </c>
      <c r="N645" s="55" t="s">
        <v>1590</v>
      </c>
      <c r="O645" s="61" t="s">
        <v>52</v>
      </c>
      <c r="P645" s="200"/>
      <c r="Q645" s="200"/>
      <c r="R645" s="200"/>
      <c r="S645" s="200"/>
      <c r="T645" s="66"/>
      <c r="U645" s="66"/>
      <c r="V645" s="66"/>
    </row>
    <row r="646" spans="1:22" s="64" customFormat="1" x14ac:dyDescent="0.25">
      <c r="A646" s="65" t="s">
        <v>1433</v>
      </c>
      <c r="B646" s="511" t="s">
        <v>1478</v>
      </c>
      <c r="C646" s="511"/>
      <c r="D646" s="511"/>
      <c r="E646" s="61" t="s">
        <v>1437</v>
      </c>
      <c r="F646" s="61" t="s">
        <v>54</v>
      </c>
      <c r="G646" s="61" t="s">
        <v>55</v>
      </c>
      <c r="H646" s="61"/>
      <c r="I646" s="61" t="s">
        <v>1366</v>
      </c>
      <c r="J646" s="62">
        <v>225</v>
      </c>
      <c r="K646" s="62">
        <v>250</v>
      </c>
      <c r="L646" s="62">
        <v>250</v>
      </c>
      <c r="M646" s="232">
        <v>320</v>
      </c>
      <c r="N646" s="55" t="s">
        <v>1590</v>
      </c>
      <c r="O646" s="61" t="s">
        <v>52</v>
      </c>
      <c r="P646" s="200"/>
      <c r="Q646" s="200"/>
      <c r="R646" s="200"/>
      <c r="S646" s="200"/>
      <c r="T646" s="66"/>
      <c r="U646" s="66"/>
      <c r="V646" s="66"/>
    </row>
    <row r="647" spans="1:22" s="64" customFormat="1" x14ac:dyDescent="0.25">
      <c r="A647" s="65" t="s">
        <v>1433</v>
      </c>
      <c r="B647" s="511" t="s">
        <v>1478</v>
      </c>
      <c r="C647" s="511"/>
      <c r="D647" s="511"/>
      <c r="E647" s="61" t="s">
        <v>1438</v>
      </c>
      <c r="F647" s="61" t="s">
        <v>389</v>
      </c>
      <c r="G647" s="61" t="s">
        <v>55</v>
      </c>
      <c r="H647" s="61"/>
      <c r="I647" s="61" t="s">
        <v>1366</v>
      </c>
      <c r="J647" s="62">
        <v>225</v>
      </c>
      <c r="K647" s="62">
        <v>250</v>
      </c>
      <c r="L647" s="62">
        <v>250</v>
      </c>
      <c r="M647" s="232">
        <v>320</v>
      </c>
      <c r="N647" s="55" t="s">
        <v>1590</v>
      </c>
      <c r="O647" s="61" t="s">
        <v>52</v>
      </c>
      <c r="P647" s="200"/>
      <c r="Q647" s="200"/>
      <c r="R647" s="200"/>
      <c r="S647" s="200"/>
      <c r="T647" s="66"/>
      <c r="U647" s="66"/>
      <c r="V647" s="66"/>
    </row>
    <row r="648" spans="1:22" s="64" customFormat="1" x14ac:dyDescent="0.25">
      <c r="A648" s="65" t="s">
        <v>1433</v>
      </c>
      <c r="B648" s="511" t="s">
        <v>1478</v>
      </c>
      <c r="C648" s="511"/>
      <c r="D648" s="511"/>
      <c r="E648" s="61" t="s">
        <v>1437</v>
      </c>
      <c r="F648" s="61" t="s">
        <v>389</v>
      </c>
      <c r="G648" s="61" t="s">
        <v>55</v>
      </c>
      <c r="H648" s="61"/>
      <c r="I648" s="61" t="s">
        <v>1366</v>
      </c>
      <c r="J648" s="62">
        <v>225</v>
      </c>
      <c r="K648" s="62">
        <v>250</v>
      </c>
      <c r="L648" s="62">
        <v>250</v>
      </c>
      <c r="M648" s="232">
        <v>320</v>
      </c>
      <c r="N648" s="55" t="s">
        <v>1590</v>
      </c>
      <c r="O648" s="61" t="s">
        <v>52</v>
      </c>
      <c r="P648" s="200"/>
      <c r="Q648" s="200"/>
      <c r="R648" s="200"/>
      <c r="S648" s="200"/>
      <c r="T648" s="66"/>
      <c r="U648" s="66"/>
      <c r="V648" s="66"/>
    </row>
    <row r="649" spans="1:22" s="64" customFormat="1" x14ac:dyDescent="0.25">
      <c r="A649" s="65" t="s">
        <v>1433</v>
      </c>
      <c r="B649" s="511" t="s">
        <v>1479</v>
      </c>
      <c r="C649" s="511"/>
      <c r="D649" s="511"/>
      <c r="E649" s="61" t="s">
        <v>1437</v>
      </c>
      <c r="F649" s="61" t="s">
        <v>54</v>
      </c>
      <c r="G649" s="61" t="s">
        <v>55</v>
      </c>
      <c r="H649" s="61"/>
      <c r="I649" s="61" t="s">
        <v>1366</v>
      </c>
      <c r="J649" s="62">
        <v>270</v>
      </c>
      <c r="K649" s="62">
        <v>300</v>
      </c>
      <c r="L649" s="62">
        <v>300</v>
      </c>
      <c r="M649" s="232">
        <v>380</v>
      </c>
      <c r="N649" s="55" t="s">
        <v>1590</v>
      </c>
      <c r="O649" s="61" t="s">
        <v>52</v>
      </c>
      <c r="P649" s="200"/>
      <c r="Q649" s="200"/>
      <c r="R649" s="200"/>
      <c r="S649" s="200"/>
      <c r="T649" s="66"/>
      <c r="U649" s="66"/>
      <c r="V649" s="66"/>
    </row>
    <row r="650" spans="1:22" s="64" customFormat="1" x14ac:dyDescent="0.25">
      <c r="A650" s="65" t="s">
        <v>1433</v>
      </c>
      <c r="B650" s="511" t="s">
        <v>1479</v>
      </c>
      <c r="C650" s="511"/>
      <c r="D650" s="511"/>
      <c r="E650" s="61" t="s">
        <v>1438</v>
      </c>
      <c r="F650" s="61" t="s">
        <v>389</v>
      </c>
      <c r="G650" s="61" t="s">
        <v>55</v>
      </c>
      <c r="H650" s="61"/>
      <c r="I650" s="61" t="s">
        <v>1366</v>
      </c>
      <c r="J650" s="62">
        <v>270</v>
      </c>
      <c r="K650" s="62">
        <v>300</v>
      </c>
      <c r="L650" s="62">
        <v>300</v>
      </c>
      <c r="M650" s="232">
        <v>380</v>
      </c>
      <c r="N650" s="55" t="s">
        <v>1590</v>
      </c>
      <c r="O650" s="61" t="s">
        <v>52</v>
      </c>
      <c r="P650" s="200"/>
      <c r="Q650" s="200"/>
      <c r="R650" s="200"/>
      <c r="S650" s="200"/>
      <c r="T650" s="66"/>
      <c r="U650" s="66"/>
      <c r="V650" s="66"/>
    </row>
    <row r="651" spans="1:22" s="64" customFormat="1" x14ac:dyDescent="0.25">
      <c r="A651" s="65" t="s">
        <v>1433</v>
      </c>
      <c r="B651" s="511" t="s">
        <v>1479</v>
      </c>
      <c r="C651" s="511"/>
      <c r="D651" s="511"/>
      <c r="E651" s="61" t="s">
        <v>1437</v>
      </c>
      <c r="F651" s="61" t="s">
        <v>389</v>
      </c>
      <c r="G651" s="61" t="s">
        <v>55</v>
      </c>
      <c r="H651" s="61"/>
      <c r="I651" s="61" t="s">
        <v>1366</v>
      </c>
      <c r="J651" s="62">
        <v>270</v>
      </c>
      <c r="K651" s="62">
        <v>300</v>
      </c>
      <c r="L651" s="62">
        <v>300</v>
      </c>
      <c r="M651" s="232">
        <v>380</v>
      </c>
      <c r="N651" s="55" t="s">
        <v>1590</v>
      </c>
      <c r="O651" s="61" t="s">
        <v>52</v>
      </c>
      <c r="P651" s="200"/>
      <c r="Q651" s="200"/>
      <c r="R651" s="200"/>
      <c r="S651" s="200"/>
      <c r="T651" s="66"/>
      <c r="U651" s="66"/>
      <c r="V651" s="66"/>
    </row>
    <row r="652" spans="1:22" s="64" customFormat="1" x14ac:dyDescent="0.25">
      <c r="A652" s="65" t="s">
        <v>1433</v>
      </c>
      <c r="B652" s="511" t="s">
        <v>1480</v>
      </c>
      <c r="C652" s="511"/>
      <c r="D652" s="511"/>
      <c r="E652" s="61" t="s">
        <v>1437</v>
      </c>
      <c r="F652" s="61" t="s">
        <v>54</v>
      </c>
      <c r="G652" s="61" t="s">
        <v>55</v>
      </c>
      <c r="H652" s="61"/>
      <c r="I652" s="61" t="s">
        <v>1366</v>
      </c>
      <c r="J652" s="62">
        <v>270</v>
      </c>
      <c r="K652" s="62">
        <v>300</v>
      </c>
      <c r="L652" s="62">
        <v>300</v>
      </c>
      <c r="M652" s="232">
        <v>385</v>
      </c>
      <c r="N652" s="55" t="s">
        <v>1590</v>
      </c>
      <c r="O652" s="61" t="s">
        <v>52</v>
      </c>
      <c r="P652" s="200"/>
      <c r="Q652" s="200"/>
      <c r="R652" s="200"/>
      <c r="S652" s="200"/>
      <c r="T652" s="66"/>
      <c r="U652" s="66"/>
      <c r="V652" s="66"/>
    </row>
    <row r="653" spans="1:22" s="64" customFormat="1" x14ac:dyDescent="0.25">
      <c r="A653" s="65" t="s">
        <v>1433</v>
      </c>
      <c r="B653" s="511" t="s">
        <v>1481</v>
      </c>
      <c r="C653" s="511"/>
      <c r="D653" s="511"/>
      <c r="E653" s="61" t="s">
        <v>1455</v>
      </c>
      <c r="F653" s="61" t="s">
        <v>56</v>
      </c>
      <c r="G653" s="61" t="s">
        <v>55</v>
      </c>
      <c r="H653" s="61"/>
      <c r="I653" s="61" t="s">
        <v>1366</v>
      </c>
      <c r="J653" s="62">
        <v>495</v>
      </c>
      <c r="K653" s="62">
        <v>720</v>
      </c>
      <c r="L653" s="62">
        <v>720</v>
      </c>
      <c r="M653" s="232"/>
      <c r="N653" s="55" t="s">
        <v>1590</v>
      </c>
      <c r="O653" s="61" t="s">
        <v>52</v>
      </c>
      <c r="P653" s="200"/>
      <c r="Q653" s="200"/>
      <c r="R653" s="200"/>
      <c r="S653" s="200"/>
      <c r="T653" s="66"/>
      <c r="U653" s="66"/>
      <c r="V653" s="66"/>
    </row>
    <row r="654" spans="1:22" s="64" customFormat="1" x14ac:dyDescent="0.25">
      <c r="A654" s="65" t="s">
        <v>1433</v>
      </c>
      <c r="B654" s="511" t="s">
        <v>1481</v>
      </c>
      <c r="C654" s="511"/>
      <c r="D654" s="511"/>
      <c r="E654" s="61" t="s">
        <v>1437</v>
      </c>
      <c r="F654" s="61" t="s">
        <v>56</v>
      </c>
      <c r="G654" s="61" t="s">
        <v>55</v>
      </c>
      <c r="H654" s="61"/>
      <c r="I654" s="61" t="s">
        <v>1366</v>
      </c>
      <c r="J654" s="62">
        <v>705</v>
      </c>
      <c r="K654" s="62">
        <v>815</v>
      </c>
      <c r="L654" s="62">
        <v>815</v>
      </c>
      <c r="M654" s="232"/>
      <c r="N654" s="55" t="s">
        <v>1590</v>
      </c>
      <c r="O654" s="61" t="s">
        <v>52</v>
      </c>
      <c r="P654" s="200"/>
      <c r="Q654" s="200"/>
      <c r="R654" s="200"/>
      <c r="S654" s="200"/>
      <c r="T654" s="66"/>
      <c r="U654" s="66"/>
      <c r="V654" s="66"/>
    </row>
    <row r="655" spans="1:22" s="64" customFormat="1" x14ac:dyDescent="0.25">
      <c r="A655" s="65" t="s">
        <v>1433</v>
      </c>
      <c r="B655" s="511" t="s">
        <v>1440</v>
      </c>
      <c r="C655" s="511"/>
      <c r="D655" s="511"/>
      <c r="E655" s="61" t="s">
        <v>1437</v>
      </c>
      <c r="F655" s="61" t="s">
        <v>54</v>
      </c>
      <c r="G655" s="61" t="s">
        <v>55</v>
      </c>
      <c r="H655" s="61"/>
      <c r="I655" s="61" t="s">
        <v>1366</v>
      </c>
      <c r="J655" s="62">
        <v>135</v>
      </c>
      <c r="K655" s="62">
        <v>150</v>
      </c>
      <c r="L655" s="62">
        <v>150</v>
      </c>
      <c r="M655" s="232">
        <v>190</v>
      </c>
      <c r="N655" s="55" t="s">
        <v>1590</v>
      </c>
      <c r="O655" s="61" t="s">
        <v>52</v>
      </c>
      <c r="P655" s="200"/>
      <c r="Q655" s="200"/>
      <c r="R655" s="200"/>
      <c r="S655" s="200"/>
      <c r="T655" s="66"/>
      <c r="U655" s="66"/>
      <c r="V655" s="66"/>
    </row>
    <row r="656" spans="1:22" s="64" customFormat="1" x14ac:dyDescent="0.25">
      <c r="A656" s="65" t="s">
        <v>1433</v>
      </c>
      <c r="B656" s="511" t="s">
        <v>1440</v>
      </c>
      <c r="C656" s="511"/>
      <c r="D656" s="511"/>
      <c r="E656" s="61" t="s">
        <v>1438</v>
      </c>
      <c r="F656" s="61" t="s">
        <v>389</v>
      </c>
      <c r="G656" s="61" t="s">
        <v>55</v>
      </c>
      <c r="H656" s="61"/>
      <c r="I656" s="61" t="s">
        <v>1366</v>
      </c>
      <c r="J656" s="62">
        <v>135</v>
      </c>
      <c r="K656" s="62">
        <v>150</v>
      </c>
      <c r="L656" s="62">
        <v>150</v>
      </c>
      <c r="M656" s="232">
        <v>190</v>
      </c>
      <c r="N656" s="55" t="s">
        <v>1590</v>
      </c>
      <c r="O656" s="61" t="s">
        <v>52</v>
      </c>
      <c r="P656" s="200"/>
      <c r="Q656" s="200"/>
      <c r="R656" s="200"/>
      <c r="S656" s="200"/>
      <c r="T656" s="66"/>
      <c r="U656" s="66"/>
      <c r="V656" s="66"/>
    </row>
    <row r="657" spans="1:22" s="64" customFormat="1" x14ac:dyDescent="0.25">
      <c r="A657" s="65" t="s">
        <v>1433</v>
      </c>
      <c r="B657" s="511" t="s">
        <v>1440</v>
      </c>
      <c r="C657" s="511"/>
      <c r="D657" s="511"/>
      <c r="E657" s="61" t="s">
        <v>1437</v>
      </c>
      <c r="F657" s="61" t="s">
        <v>389</v>
      </c>
      <c r="G657" s="61" t="s">
        <v>55</v>
      </c>
      <c r="H657" s="61"/>
      <c r="I657" s="61" t="s">
        <v>1366</v>
      </c>
      <c r="J657" s="62">
        <v>135</v>
      </c>
      <c r="K657" s="62">
        <v>150</v>
      </c>
      <c r="L657" s="62">
        <v>150</v>
      </c>
      <c r="M657" s="232">
        <v>190</v>
      </c>
      <c r="N657" s="55" t="s">
        <v>1590</v>
      </c>
      <c r="O657" s="61" t="s">
        <v>52</v>
      </c>
      <c r="P657" s="200"/>
      <c r="Q657" s="200"/>
      <c r="R657" s="200"/>
      <c r="S657" s="200"/>
      <c r="T657" s="66"/>
      <c r="U657" s="66"/>
      <c r="V657" s="66"/>
    </row>
    <row r="658" spans="1:22" s="64" customFormat="1" x14ac:dyDescent="0.25">
      <c r="A658" s="65" t="s">
        <v>1433</v>
      </c>
      <c r="B658" s="511" t="s">
        <v>1468</v>
      </c>
      <c r="C658" s="511"/>
      <c r="D658" s="511"/>
      <c r="E658" s="61" t="s">
        <v>1437</v>
      </c>
      <c r="F658" s="61" t="s">
        <v>54</v>
      </c>
      <c r="G658" s="61" t="s">
        <v>55</v>
      </c>
      <c r="H658" s="61"/>
      <c r="I658" s="61" t="s">
        <v>1366</v>
      </c>
      <c r="J658" s="62">
        <v>270</v>
      </c>
      <c r="K658" s="62">
        <v>300</v>
      </c>
      <c r="L658" s="62">
        <v>300</v>
      </c>
      <c r="M658" s="232">
        <v>380</v>
      </c>
      <c r="N658" s="55" t="s">
        <v>1590</v>
      </c>
      <c r="O658" s="61" t="s">
        <v>52</v>
      </c>
      <c r="P658" s="200"/>
      <c r="Q658" s="200"/>
      <c r="R658" s="200"/>
      <c r="S658" s="200"/>
      <c r="T658" s="66"/>
      <c r="U658" s="66"/>
      <c r="V658" s="66"/>
    </row>
    <row r="659" spans="1:22" s="64" customFormat="1" x14ac:dyDescent="0.25">
      <c r="A659" s="65" t="s">
        <v>1433</v>
      </c>
      <c r="B659" s="511" t="s">
        <v>1485</v>
      </c>
      <c r="C659" s="511"/>
      <c r="D659" s="511"/>
      <c r="E659" s="61" t="s">
        <v>1437</v>
      </c>
      <c r="F659" s="61" t="s">
        <v>54</v>
      </c>
      <c r="G659" s="61" t="s">
        <v>55</v>
      </c>
      <c r="H659" s="61"/>
      <c r="I659" s="61" t="s">
        <v>1366</v>
      </c>
      <c r="J659" s="62">
        <v>225</v>
      </c>
      <c r="K659" s="62">
        <v>250</v>
      </c>
      <c r="L659" s="62">
        <v>250</v>
      </c>
      <c r="M659" s="232">
        <v>320</v>
      </c>
      <c r="N659" s="55" t="s">
        <v>1590</v>
      </c>
      <c r="O659" s="61" t="s">
        <v>52</v>
      </c>
      <c r="P659" s="200"/>
      <c r="Q659" s="200"/>
      <c r="R659" s="200"/>
      <c r="S659" s="200"/>
      <c r="T659" s="66"/>
      <c r="U659" s="66"/>
      <c r="V659" s="66"/>
    </row>
    <row r="660" spans="1:22" s="64" customFormat="1" x14ac:dyDescent="0.25">
      <c r="A660" s="65" t="s">
        <v>1433</v>
      </c>
      <c r="B660" s="511" t="s">
        <v>1485</v>
      </c>
      <c r="C660" s="511"/>
      <c r="D660" s="511"/>
      <c r="E660" s="61" t="s">
        <v>1438</v>
      </c>
      <c r="F660" s="61" t="s">
        <v>389</v>
      </c>
      <c r="G660" s="61" t="s">
        <v>55</v>
      </c>
      <c r="H660" s="61"/>
      <c r="I660" s="61" t="s">
        <v>1366</v>
      </c>
      <c r="J660" s="62">
        <v>225</v>
      </c>
      <c r="K660" s="62">
        <v>250</v>
      </c>
      <c r="L660" s="62">
        <v>250</v>
      </c>
      <c r="M660" s="232">
        <v>320</v>
      </c>
      <c r="N660" s="55" t="s">
        <v>1590</v>
      </c>
      <c r="O660" s="61" t="s">
        <v>52</v>
      </c>
      <c r="P660" s="200"/>
      <c r="Q660" s="200"/>
      <c r="R660" s="200"/>
      <c r="S660" s="200"/>
      <c r="T660" s="66"/>
      <c r="U660" s="66"/>
      <c r="V660" s="66"/>
    </row>
    <row r="661" spans="1:22" s="64" customFormat="1" x14ac:dyDescent="0.25">
      <c r="A661" s="65" t="s">
        <v>1433</v>
      </c>
      <c r="B661" s="511" t="s">
        <v>1485</v>
      </c>
      <c r="C661" s="511"/>
      <c r="D661" s="511"/>
      <c r="E661" s="61" t="s">
        <v>1437</v>
      </c>
      <c r="F661" s="61" t="s">
        <v>389</v>
      </c>
      <c r="G661" s="61" t="s">
        <v>55</v>
      </c>
      <c r="H661" s="61"/>
      <c r="I661" s="61" t="s">
        <v>1366</v>
      </c>
      <c r="J661" s="62">
        <v>225</v>
      </c>
      <c r="K661" s="62">
        <v>250</v>
      </c>
      <c r="L661" s="62">
        <v>250</v>
      </c>
      <c r="M661" s="232">
        <v>320</v>
      </c>
      <c r="N661" s="55" t="s">
        <v>1590</v>
      </c>
      <c r="O661" s="61" t="s">
        <v>52</v>
      </c>
      <c r="P661" s="200"/>
      <c r="Q661" s="200"/>
      <c r="R661" s="200"/>
      <c r="S661" s="200"/>
      <c r="T661" s="66"/>
      <c r="U661" s="66"/>
      <c r="V661" s="66"/>
    </row>
    <row r="662" spans="1:22" s="64" customFormat="1" x14ac:dyDescent="0.25">
      <c r="A662" s="65" t="s">
        <v>1433</v>
      </c>
      <c r="B662" s="511" t="s">
        <v>1486</v>
      </c>
      <c r="C662" s="511"/>
      <c r="D662" s="511"/>
      <c r="E662" s="61" t="s">
        <v>1437</v>
      </c>
      <c r="F662" s="61" t="s">
        <v>54</v>
      </c>
      <c r="G662" s="61" t="s">
        <v>55</v>
      </c>
      <c r="H662" s="61"/>
      <c r="I662" s="61" t="s">
        <v>1366</v>
      </c>
      <c r="J662" s="62">
        <v>225</v>
      </c>
      <c r="K662" s="62">
        <v>250</v>
      </c>
      <c r="L662" s="62">
        <v>250</v>
      </c>
      <c r="M662" s="232">
        <v>320</v>
      </c>
      <c r="N662" s="55" t="s">
        <v>1590</v>
      </c>
      <c r="O662" s="61" t="s">
        <v>52</v>
      </c>
      <c r="P662" s="200"/>
      <c r="Q662" s="200"/>
      <c r="R662" s="200"/>
      <c r="S662" s="200"/>
      <c r="T662" s="66"/>
      <c r="U662" s="66"/>
      <c r="V662" s="66"/>
    </row>
    <row r="663" spans="1:22" s="64" customFormat="1" x14ac:dyDescent="0.25">
      <c r="A663" s="65" t="s">
        <v>1433</v>
      </c>
      <c r="B663" s="511" t="s">
        <v>1486</v>
      </c>
      <c r="C663" s="511"/>
      <c r="D663" s="511"/>
      <c r="E663" s="61" t="s">
        <v>1438</v>
      </c>
      <c r="F663" s="61" t="s">
        <v>389</v>
      </c>
      <c r="G663" s="61" t="s">
        <v>55</v>
      </c>
      <c r="H663" s="61"/>
      <c r="I663" s="61" t="s">
        <v>1366</v>
      </c>
      <c r="J663" s="62">
        <v>225</v>
      </c>
      <c r="K663" s="62">
        <v>250</v>
      </c>
      <c r="L663" s="62">
        <v>250</v>
      </c>
      <c r="M663" s="232">
        <v>320</v>
      </c>
      <c r="N663" s="55" t="s">
        <v>1590</v>
      </c>
      <c r="O663" s="61" t="s">
        <v>52</v>
      </c>
      <c r="P663" s="200"/>
      <c r="Q663" s="200"/>
      <c r="R663" s="200"/>
      <c r="S663" s="200"/>
      <c r="T663" s="66"/>
      <c r="U663" s="66"/>
      <c r="V663" s="66"/>
    </row>
    <row r="664" spans="1:22" s="64" customFormat="1" x14ac:dyDescent="0.25">
      <c r="A664" s="65" t="s">
        <v>1433</v>
      </c>
      <c r="B664" s="511" t="s">
        <v>1486</v>
      </c>
      <c r="C664" s="511"/>
      <c r="D664" s="511"/>
      <c r="E664" s="61" t="s">
        <v>1437</v>
      </c>
      <c r="F664" s="61" t="s">
        <v>389</v>
      </c>
      <c r="G664" s="61" t="s">
        <v>55</v>
      </c>
      <c r="H664" s="61"/>
      <c r="I664" s="61" t="s">
        <v>1366</v>
      </c>
      <c r="J664" s="62">
        <v>225</v>
      </c>
      <c r="K664" s="62">
        <v>250</v>
      </c>
      <c r="L664" s="62">
        <v>250</v>
      </c>
      <c r="M664" s="232">
        <v>320</v>
      </c>
      <c r="N664" s="55" t="s">
        <v>1590</v>
      </c>
      <c r="O664" s="61" t="s">
        <v>52</v>
      </c>
      <c r="P664" s="200"/>
      <c r="Q664" s="200"/>
      <c r="R664" s="200"/>
      <c r="S664" s="200"/>
      <c r="T664" s="66"/>
      <c r="U664" s="66"/>
      <c r="V664" s="66"/>
    </row>
    <row r="665" spans="1:22" s="64" customFormat="1" x14ac:dyDescent="0.25">
      <c r="A665" s="65" t="s">
        <v>1433</v>
      </c>
      <c r="B665" s="511" t="s">
        <v>1487</v>
      </c>
      <c r="C665" s="511"/>
      <c r="D665" s="511"/>
      <c r="E665" s="61" t="s">
        <v>1437</v>
      </c>
      <c r="F665" s="61" t="s">
        <v>54</v>
      </c>
      <c r="G665" s="61" t="s">
        <v>55</v>
      </c>
      <c r="H665" s="61"/>
      <c r="I665" s="61" t="s">
        <v>1366</v>
      </c>
      <c r="J665" s="62">
        <v>135</v>
      </c>
      <c r="K665" s="62">
        <v>150</v>
      </c>
      <c r="L665" s="62">
        <v>150</v>
      </c>
      <c r="M665" s="232">
        <v>190</v>
      </c>
      <c r="N665" s="55" t="s">
        <v>1590</v>
      </c>
      <c r="O665" s="61" t="s">
        <v>52</v>
      </c>
      <c r="P665" s="200"/>
      <c r="Q665" s="200"/>
      <c r="R665" s="200"/>
      <c r="S665" s="200"/>
      <c r="T665" s="66"/>
      <c r="U665" s="66"/>
      <c r="V665" s="66"/>
    </row>
    <row r="666" spans="1:22" s="64" customFormat="1" x14ac:dyDescent="0.25">
      <c r="A666" s="65" t="s">
        <v>1433</v>
      </c>
      <c r="B666" s="511" t="s">
        <v>1487</v>
      </c>
      <c r="C666" s="511"/>
      <c r="D666" s="511"/>
      <c r="E666" s="61" t="s">
        <v>1438</v>
      </c>
      <c r="F666" s="61" t="s">
        <v>389</v>
      </c>
      <c r="G666" s="61" t="s">
        <v>55</v>
      </c>
      <c r="H666" s="61"/>
      <c r="I666" s="61" t="s">
        <v>1366</v>
      </c>
      <c r="J666" s="62">
        <v>135</v>
      </c>
      <c r="K666" s="62">
        <v>150</v>
      </c>
      <c r="L666" s="62">
        <v>150</v>
      </c>
      <c r="M666" s="232">
        <v>190</v>
      </c>
      <c r="N666" s="55" t="s">
        <v>1590</v>
      </c>
      <c r="O666" s="61" t="s">
        <v>52</v>
      </c>
      <c r="P666" s="200"/>
      <c r="Q666" s="200"/>
      <c r="R666" s="200"/>
      <c r="S666" s="200"/>
      <c r="T666" s="66"/>
      <c r="U666" s="66"/>
      <c r="V666" s="66"/>
    </row>
    <row r="667" spans="1:22" s="64" customFormat="1" x14ac:dyDescent="0.25">
      <c r="A667" s="65" t="s">
        <v>1433</v>
      </c>
      <c r="B667" s="511" t="s">
        <v>1487</v>
      </c>
      <c r="C667" s="511"/>
      <c r="D667" s="511"/>
      <c r="E667" s="61" t="s">
        <v>1437</v>
      </c>
      <c r="F667" s="61" t="s">
        <v>389</v>
      </c>
      <c r="G667" s="61" t="s">
        <v>55</v>
      </c>
      <c r="H667" s="61"/>
      <c r="I667" s="61" t="s">
        <v>1366</v>
      </c>
      <c r="J667" s="62">
        <v>135</v>
      </c>
      <c r="K667" s="62">
        <v>150</v>
      </c>
      <c r="L667" s="62">
        <v>150</v>
      </c>
      <c r="M667" s="232">
        <v>190</v>
      </c>
      <c r="N667" s="55" t="s">
        <v>1590</v>
      </c>
      <c r="O667" s="61" t="s">
        <v>52</v>
      </c>
      <c r="P667" s="200"/>
      <c r="Q667" s="200"/>
      <c r="R667" s="200"/>
      <c r="S667" s="200"/>
      <c r="T667" s="66"/>
      <c r="U667" s="66"/>
      <c r="V667" s="66"/>
    </row>
    <row r="668" spans="1:22" s="64" customFormat="1" x14ac:dyDescent="0.25">
      <c r="A668" s="65" t="s">
        <v>1433</v>
      </c>
      <c r="B668" s="511" t="s">
        <v>1488</v>
      </c>
      <c r="C668" s="511"/>
      <c r="D668" s="511"/>
      <c r="E668" s="61" t="s">
        <v>1437</v>
      </c>
      <c r="F668" s="61" t="s">
        <v>54</v>
      </c>
      <c r="G668" s="61" t="s">
        <v>55</v>
      </c>
      <c r="H668" s="61"/>
      <c r="I668" s="61" t="s">
        <v>1366</v>
      </c>
      <c r="J668" s="62">
        <v>135</v>
      </c>
      <c r="K668" s="62">
        <v>150</v>
      </c>
      <c r="L668" s="62">
        <v>150</v>
      </c>
      <c r="M668" s="232">
        <v>190</v>
      </c>
      <c r="N668" s="55" t="s">
        <v>1590</v>
      </c>
      <c r="O668" s="61" t="s">
        <v>52</v>
      </c>
      <c r="P668" s="200"/>
      <c r="Q668" s="200"/>
      <c r="R668" s="200"/>
      <c r="S668" s="200"/>
      <c r="T668" s="66"/>
      <c r="U668" s="66"/>
      <c r="V668" s="66"/>
    </row>
    <row r="669" spans="1:22" s="64" customFormat="1" x14ac:dyDescent="0.25">
      <c r="A669" s="65" t="s">
        <v>1433</v>
      </c>
      <c r="B669" s="511" t="s">
        <v>1435</v>
      </c>
      <c r="C669" s="511"/>
      <c r="D669" s="511"/>
      <c r="E669" s="61" t="s">
        <v>1437</v>
      </c>
      <c r="F669" s="61" t="s">
        <v>54</v>
      </c>
      <c r="G669" s="61" t="s">
        <v>55</v>
      </c>
      <c r="H669" s="61"/>
      <c r="I669" s="61" t="s">
        <v>1366</v>
      </c>
      <c r="J669" s="62">
        <v>630</v>
      </c>
      <c r="K669" s="62">
        <v>700</v>
      </c>
      <c r="L669" s="62">
        <v>700</v>
      </c>
      <c r="M669" s="232">
        <v>890</v>
      </c>
      <c r="N669" s="55" t="s">
        <v>1590</v>
      </c>
      <c r="O669" s="61" t="s">
        <v>52</v>
      </c>
      <c r="P669" s="200"/>
      <c r="Q669" s="200"/>
      <c r="R669" s="200"/>
      <c r="S669" s="200"/>
      <c r="T669" s="66"/>
      <c r="U669" s="66"/>
      <c r="V669" s="66"/>
    </row>
    <row r="670" spans="1:22" s="64" customFormat="1" x14ac:dyDescent="0.25">
      <c r="A670" s="65" t="s">
        <v>1433</v>
      </c>
      <c r="B670" s="511" t="s">
        <v>1490</v>
      </c>
      <c r="C670" s="511"/>
      <c r="D670" s="511"/>
      <c r="E670" s="61" t="s">
        <v>1437</v>
      </c>
      <c r="F670" s="61" t="s">
        <v>54</v>
      </c>
      <c r="G670" s="61" t="s">
        <v>55</v>
      </c>
      <c r="H670" s="61"/>
      <c r="I670" s="61" t="s">
        <v>1366</v>
      </c>
      <c r="J670" s="62">
        <v>180</v>
      </c>
      <c r="K670" s="62">
        <v>200</v>
      </c>
      <c r="L670" s="62">
        <v>200</v>
      </c>
      <c r="M670" s="232">
        <v>255</v>
      </c>
      <c r="N670" s="55" t="s">
        <v>1590</v>
      </c>
      <c r="O670" s="61" t="s">
        <v>52</v>
      </c>
      <c r="P670" s="200"/>
      <c r="Q670" s="200"/>
      <c r="R670" s="200"/>
      <c r="S670" s="200"/>
      <c r="T670" s="66"/>
      <c r="U670" s="66"/>
      <c r="V670" s="66"/>
    </row>
    <row r="671" spans="1:22" s="64" customFormat="1" x14ac:dyDescent="0.25">
      <c r="A671" s="65" t="s">
        <v>1433</v>
      </c>
      <c r="B671" s="511" t="s">
        <v>1490</v>
      </c>
      <c r="C671" s="511"/>
      <c r="D671" s="511"/>
      <c r="E671" s="61" t="s">
        <v>1438</v>
      </c>
      <c r="F671" s="61" t="s">
        <v>389</v>
      </c>
      <c r="G671" s="61" t="s">
        <v>55</v>
      </c>
      <c r="H671" s="61"/>
      <c r="I671" s="61" t="s">
        <v>1366</v>
      </c>
      <c r="J671" s="62">
        <v>180</v>
      </c>
      <c r="K671" s="62">
        <v>200</v>
      </c>
      <c r="L671" s="62">
        <v>200</v>
      </c>
      <c r="M671" s="232">
        <v>255</v>
      </c>
      <c r="N671" s="55" t="s">
        <v>1590</v>
      </c>
      <c r="O671" s="61" t="s">
        <v>52</v>
      </c>
      <c r="P671" s="200"/>
      <c r="Q671" s="200"/>
      <c r="R671" s="200"/>
      <c r="S671" s="200"/>
      <c r="T671" s="66"/>
      <c r="U671" s="66"/>
      <c r="V671" s="66"/>
    </row>
    <row r="672" spans="1:22" s="64" customFormat="1" x14ac:dyDescent="0.25">
      <c r="A672" s="65" t="s">
        <v>1433</v>
      </c>
      <c r="B672" s="511" t="s">
        <v>1490</v>
      </c>
      <c r="C672" s="511"/>
      <c r="D672" s="511"/>
      <c r="E672" s="61" t="s">
        <v>1437</v>
      </c>
      <c r="F672" s="61" t="s">
        <v>389</v>
      </c>
      <c r="G672" s="61" t="s">
        <v>55</v>
      </c>
      <c r="H672" s="61"/>
      <c r="I672" s="61" t="s">
        <v>1366</v>
      </c>
      <c r="J672" s="62">
        <v>180</v>
      </c>
      <c r="K672" s="62">
        <v>200</v>
      </c>
      <c r="L672" s="62">
        <v>200</v>
      </c>
      <c r="M672" s="232">
        <v>255</v>
      </c>
      <c r="N672" s="55" t="s">
        <v>1590</v>
      </c>
      <c r="O672" s="61" t="s">
        <v>52</v>
      </c>
      <c r="P672" s="200"/>
      <c r="Q672" s="200"/>
      <c r="R672" s="200"/>
      <c r="S672" s="200"/>
      <c r="T672" s="66"/>
      <c r="U672" s="66"/>
      <c r="V672" s="66"/>
    </row>
    <row r="673" spans="1:22" s="64" customFormat="1" x14ac:dyDescent="0.25">
      <c r="A673" s="65" t="s">
        <v>1433</v>
      </c>
      <c r="B673" s="511" t="s">
        <v>1493</v>
      </c>
      <c r="C673" s="511"/>
      <c r="D673" s="511"/>
      <c r="E673" s="61" t="s">
        <v>1437</v>
      </c>
      <c r="F673" s="61" t="s">
        <v>54</v>
      </c>
      <c r="G673" s="61" t="s">
        <v>55</v>
      </c>
      <c r="H673" s="61"/>
      <c r="I673" s="61" t="s">
        <v>1366</v>
      </c>
      <c r="J673" s="62">
        <v>180</v>
      </c>
      <c r="K673" s="62">
        <v>200</v>
      </c>
      <c r="L673" s="62">
        <v>200</v>
      </c>
      <c r="M673" s="232">
        <v>255</v>
      </c>
      <c r="N673" s="55" t="s">
        <v>1590</v>
      </c>
      <c r="O673" s="61" t="s">
        <v>52</v>
      </c>
      <c r="P673" s="200"/>
      <c r="Q673" s="200"/>
      <c r="R673" s="200"/>
      <c r="S673" s="200"/>
      <c r="T673" s="66"/>
      <c r="U673" s="66"/>
      <c r="V673" s="66"/>
    </row>
    <row r="674" spans="1:22" s="64" customFormat="1" x14ac:dyDescent="0.25">
      <c r="A674" s="65" t="s">
        <v>1433</v>
      </c>
      <c r="B674" s="511" t="s">
        <v>1493</v>
      </c>
      <c r="C674" s="511"/>
      <c r="D674" s="511"/>
      <c r="E674" s="61" t="s">
        <v>1438</v>
      </c>
      <c r="F674" s="61" t="s">
        <v>389</v>
      </c>
      <c r="G674" s="61" t="s">
        <v>55</v>
      </c>
      <c r="H674" s="61"/>
      <c r="I674" s="61" t="s">
        <v>1366</v>
      </c>
      <c r="J674" s="62">
        <v>180</v>
      </c>
      <c r="K674" s="62">
        <v>200</v>
      </c>
      <c r="L674" s="62">
        <v>200</v>
      </c>
      <c r="M674" s="232">
        <v>255</v>
      </c>
      <c r="N674" s="55" t="s">
        <v>1590</v>
      </c>
      <c r="O674" s="61" t="s">
        <v>52</v>
      </c>
      <c r="P674" s="200"/>
      <c r="Q674" s="200"/>
      <c r="R674" s="200"/>
      <c r="S674" s="200"/>
      <c r="T674" s="66"/>
      <c r="U674" s="66"/>
      <c r="V674" s="66"/>
    </row>
    <row r="675" spans="1:22" s="64" customFormat="1" x14ac:dyDescent="0.25">
      <c r="A675" s="65" t="s">
        <v>1433</v>
      </c>
      <c r="B675" s="511" t="s">
        <v>1493</v>
      </c>
      <c r="C675" s="511"/>
      <c r="D675" s="511"/>
      <c r="E675" s="61" t="s">
        <v>1437</v>
      </c>
      <c r="F675" s="61" t="s">
        <v>389</v>
      </c>
      <c r="G675" s="61" t="s">
        <v>55</v>
      </c>
      <c r="H675" s="61"/>
      <c r="I675" s="61" t="s">
        <v>1366</v>
      </c>
      <c r="J675" s="62">
        <v>180</v>
      </c>
      <c r="K675" s="62">
        <v>200</v>
      </c>
      <c r="L675" s="62">
        <v>200</v>
      </c>
      <c r="M675" s="232">
        <v>255</v>
      </c>
      <c r="N675" s="55" t="s">
        <v>1590</v>
      </c>
      <c r="O675" s="61" t="s">
        <v>52</v>
      </c>
      <c r="P675" s="200"/>
      <c r="Q675" s="200"/>
      <c r="R675" s="200"/>
      <c r="S675" s="200"/>
      <c r="T675" s="66"/>
      <c r="U675" s="66"/>
      <c r="V675" s="66"/>
    </row>
    <row r="676" spans="1:22" s="64" customFormat="1" x14ac:dyDescent="0.25">
      <c r="A676" s="65" t="s">
        <v>1433</v>
      </c>
      <c r="B676" s="511" t="s">
        <v>1406</v>
      </c>
      <c r="C676" s="511"/>
      <c r="D676" s="511"/>
      <c r="E676" s="61" t="s">
        <v>1437</v>
      </c>
      <c r="F676" s="61" t="s">
        <v>54</v>
      </c>
      <c r="G676" s="61" t="s">
        <v>55</v>
      </c>
      <c r="H676" s="61"/>
      <c r="I676" s="61" t="s">
        <v>1366</v>
      </c>
      <c r="J676" s="62">
        <v>225</v>
      </c>
      <c r="K676" s="62">
        <v>250</v>
      </c>
      <c r="L676" s="62">
        <v>250</v>
      </c>
      <c r="M676" s="232">
        <v>320</v>
      </c>
      <c r="N676" s="55" t="s">
        <v>1590</v>
      </c>
      <c r="O676" s="61" t="s">
        <v>52</v>
      </c>
      <c r="P676" s="200"/>
      <c r="Q676" s="200"/>
      <c r="R676" s="200"/>
      <c r="S676" s="200"/>
      <c r="T676" s="66"/>
      <c r="U676" s="66"/>
      <c r="V676" s="66"/>
    </row>
    <row r="677" spans="1:22" s="64" customFormat="1" x14ac:dyDescent="0.25">
      <c r="A677" s="65" t="s">
        <v>1433</v>
      </c>
      <c r="B677" s="511" t="s">
        <v>1501</v>
      </c>
      <c r="C677" s="511"/>
      <c r="D677" s="511"/>
      <c r="E677" s="61" t="s">
        <v>1455</v>
      </c>
      <c r="F677" s="61" t="s">
        <v>56</v>
      </c>
      <c r="G677" s="61" t="s">
        <v>55</v>
      </c>
      <c r="H677" s="61"/>
      <c r="I677" s="61" t="s">
        <v>1366</v>
      </c>
      <c r="J677" s="62">
        <v>485</v>
      </c>
      <c r="K677" s="62">
        <v>505</v>
      </c>
      <c r="L677" s="62">
        <v>505</v>
      </c>
      <c r="M677" s="232"/>
      <c r="N677" s="55" t="s">
        <v>1590</v>
      </c>
      <c r="O677" s="61" t="s">
        <v>52</v>
      </c>
      <c r="P677" s="200"/>
      <c r="Q677" s="200"/>
      <c r="R677" s="200"/>
      <c r="S677" s="200"/>
      <c r="T677" s="66"/>
      <c r="U677" s="66"/>
      <c r="V677" s="66"/>
    </row>
    <row r="678" spans="1:22" s="64" customFormat="1" x14ac:dyDescent="0.25">
      <c r="A678" s="65" t="s">
        <v>1433</v>
      </c>
      <c r="B678" s="511" t="s">
        <v>1505</v>
      </c>
      <c r="C678" s="511"/>
      <c r="D678" s="511"/>
      <c r="E678" s="61" t="s">
        <v>1437</v>
      </c>
      <c r="F678" s="61" t="s">
        <v>54</v>
      </c>
      <c r="G678" s="61" t="s">
        <v>55</v>
      </c>
      <c r="H678" s="61"/>
      <c r="I678" s="61" t="s">
        <v>1366</v>
      </c>
      <c r="J678" s="62">
        <v>180</v>
      </c>
      <c r="K678" s="62">
        <v>200</v>
      </c>
      <c r="L678" s="62">
        <v>200</v>
      </c>
      <c r="M678" s="232">
        <v>255</v>
      </c>
      <c r="N678" s="55" t="s">
        <v>1590</v>
      </c>
      <c r="O678" s="61" t="s">
        <v>52</v>
      </c>
      <c r="P678" s="200"/>
      <c r="Q678" s="200"/>
      <c r="R678" s="200"/>
      <c r="S678" s="200"/>
      <c r="T678" s="66"/>
      <c r="U678" s="66"/>
      <c r="V678" s="66"/>
    </row>
    <row r="679" spans="1:22" s="64" customFormat="1" x14ac:dyDescent="0.25">
      <c r="A679" s="65" t="s">
        <v>1433</v>
      </c>
      <c r="B679" s="511" t="s">
        <v>1505</v>
      </c>
      <c r="C679" s="511"/>
      <c r="D679" s="511"/>
      <c r="E679" s="61" t="s">
        <v>1438</v>
      </c>
      <c r="F679" s="61" t="s">
        <v>389</v>
      </c>
      <c r="G679" s="61" t="s">
        <v>55</v>
      </c>
      <c r="H679" s="61"/>
      <c r="I679" s="61" t="s">
        <v>1366</v>
      </c>
      <c r="J679" s="62">
        <v>180</v>
      </c>
      <c r="K679" s="62">
        <v>200</v>
      </c>
      <c r="L679" s="62">
        <v>200</v>
      </c>
      <c r="M679" s="232">
        <v>255</v>
      </c>
      <c r="N679" s="55" t="s">
        <v>1590</v>
      </c>
      <c r="O679" s="61" t="s">
        <v>52</v>
      </c>
      <c r="P679" s="200"/>
      <c r="Q679" s="200"/>
      <c r="R679" s="200"/>
      <c r="S679" s="200"/>
      <c r="T679" s="66"/>
      <c r="U679" s="66"/>
      <c r="V679" s="66"/>
    </row>
    <row r="680" spans="1:22" s="64" customFormat="1" x14ac:dyDescent="0.25">
      <c r="A680" s="65" t="s">
        <v>1433</v>
      </c>
      <c r="B680" s="511" t="s">
        <v>1505</v>
      </c>
      <c r="C680" s="511"/>
      <c r="D680" s="511"/>
      <c r="E680" s="61" t="s">
        <v>1437</v>
      </c>
      <c r="F680" s="61" t="s">
        <v>389</v>
      </c>
      <c r="G680" s="61" t="s">
        <v>55</v>
      </c>
      <c r="H680" s="61"/>
      <c r="I680" s="61" t="s">
        <v>1366</v>
      </c>
      <c r="J680" s="62">
        <v>180</v>
      </c>
      <c r="K680" s="62">
        <v>200</v>
      </c>
      <c r="L680" s="62">
        <v>200</v>
      </c>
      <c r="M680" s="232">
        <v>255</v>
      </c>
      <c r="N680" s="55" t="s">
        <v>1590</v>
      </c>
      <c r="O680" s="61" t="s">
        <v>52</v>
      </c>
      <c r="P680" s="200"/>
      <c r="Q680" s="200"/>
      <c r="R680" s="200"/>
      <c r="S680" s="200"/>
      <c r="T680" s="66"/>
      <c r="U680" s="66"/>
      <c r="V680" s="66"/>
    </row>
    <row r="681" spans="1:22" s="64" customFormat="1" x14ac:dyDescent="0.25">
      <c r="A681" s="65" t="s">
        <v>1433</v>
      </c>
      <c r="B681" s="511" t="s">
        <v>1505</v>
      </c>
      <c r="C681" s="511"/>
      <c r="D681" s="511"/>
      <c r="E681" s="61" t="s">
        <v>1437</v>
      </c>
      <c r="F681" s="61" t="s">
        <v>56</v>
      </c>
      <c r="G681" s="61" t="s">
        <v>55</v>
      </c>
      <c r="H681" s="61"/>
      <c r="I681" s="61" t="s">
        <v>1366</v>
      </c>
      <c r="J681" s="62">
        <v>255</v>
      </c>
      <c r="K681" s="62">
        <v>295</v>
      </c>
      <c r="L681" s="62">
        <v>295</v>
      </c>
      <c r="M681" s="232">
        <v>205</v>
      </c>
      <c r="N681" s="55" t="s">
        <v>1590</v>
      </c>
      <c r="O681" s="61" t="s">
        <v>52</v>
      </c>
      <c r="P681" s="200"/>
      <c r="Q681" s="200"/>
      <c r="R681" s="200"/>
      <c r="S681" s="200"/>
      <c r="T681" s="66"/>
      <c r="U681" s="66"/>
      <c r="V681" s="66"/>
    </row>
    <row r="682" spans="1:22" s="64" customFormat="1" x14ac:dyDescent="0.25">
      <c r="A682" s="65" t="s">
        <v>1433</v>
      </c>
      <c r="B682" s="511" t="s">
        <v>1510</v>
      </c>
      <c r="C682" s="511"/>
      <c r="D682" s="511"/>
      <c r="E682" s="61" t="s">
        <v>1437</v>
      </c>
      <c r="F682" s="61" t="s">
        <v>56</v>
      </c>
      <c r="G682" s="61" t="s">
        <v>55</v>
      </c>
      <c r="H682" s="61"/>
      <c r="I682" s="61" t="s">
        <v>1366</v>
      </c>
      <c r="J682" s="62">
        <v>475</v>
      </c>
      <c r="K682" s="62">
        <v>645</v>
      </c>
      <c r="L682" s="62">
        <v>645</v>
      </c>
      <c r="M682" s="232"/>
      <c r="N682" s="55" t="s">
        <v>1590</v>
      </c>
      <c r="O682" s="61" t="s">
        <v>52</v>
      </c>
      <c r="P682" s="200"/>
      <c r="Q682" s="200"/>
      <c r="R682" s="200"/>
      <c r="S682" s="200"/>
      <c r="T682" s="66"/>
      <c r="U682" s="66"/>
      <c r="V682" s="66"/>
    </row>
    <row r="683" spans="1:22" s="64" customFormat="1" x14ac:dyDescent="0.25">
      <c r="A683" s="65" t="s">
        <v>1433</v>
      </c>
      <c r="B683" s="511" t="s">
        <v>1511</v>
      </c>
      <c r="C683" s="511"/>
      <c r="D683" s="511"/>
      <c r="E683" s="61" t="s">
        <v>1437</v>
      </c>
      <c r="F683" s="61" t="s">
        <v>54</v>
      </c>
      <c r="G683" s="61" t="s">
        <v>55</v>
      </c>
      <c r="H683" s="61"/>
      <c r="I683" s="61" t="s">
        <v>1366</v>
      </c>
      <c r="J683" s="62">
        <v>135</v>
      </c>
      <c r="K683" s="62">
        <v>150</v>
      </c>
      <c r="L683" s="62">
        <v>150</v>
      </c>
      <c r="M683" s="232">
        <v>190</v>
      </c>
      <c r="N683" s="55" t="s">
        <v>1590</v>
      </c>
      <c r="O683" s="61" t="s">
        <v>52</v>
      </c>
      <c r="P683" s="200"/>
      <c r="Q683" s="200"/>
      <c r="R683" s="200"/>
      <c r="S683" s="200"/>
      <c r="T683" s="66"/>
      <c r="U683" s="66"/>
      <c r="V683" s="66"/>
    </row>
    <row r="684" spans="1:22" s="64" customFormat="1" x14ac:dyDescent="0.25">
      <c r="A684" s="65" t="s">
        <v>1433</v>
      </c>
      <c r="B684" s="511" t="s">
        <v>1511</v>
      </c>
      <c r="C684" s="511"/>
      <c r="D684" s="511"/>
      <c r="E684" s="61" t="s">
        <v>1438</v>
      </c>
      <c r="F684" s="61" t="s">
        <v>389</v>
      </c>
      <c r="G684" s="61" t="s">
        <v>55</v>
      </c>
      <c r="H684" s="61"/>
      <c r="I684" s="61" t="s">
        <v>1366</v>
      </c>
      <c r="J684" s="62">
        <v>135</v>
      </c>
      <c r="K684" s="62">
        <v>150</v>
      </c>
      <c r="L684" s="62">
        <v>150</v>
      </c>
      <c r="M684" s="232">
        <v>190</v>
      </c>
      <c r="N684" s="55" t="s">
        <v>1590</v>
      </c>
      <c r="O684" s="61" t="s">
        <v>52</v>
      </c>
      <c r="P684" s="200"/>
      <c r="Q684" s="200"/>
      <c r="R684" s="200"/>
      <c r="S684" s="200"/>
      <c r="T684" s="66"/>
      <c r="U684" s="66"/>
      <c r="V684" s="66"/>
    </row>
    <row r="685" spans="1:22" s="64" customFormat="1" x14ac:dyDescent="0.25">
      <c r="A685" s="65" t="s">
        <v>1433</v>
      </c>
      <c r="B685" s="511" t="s">
        <v>1511</v>
      </c>
      <c r="C685" s="511"/>
      <c r="D685" s="511"/>
      <c r="E685" s="61" t="s">
        <v>1437</v>
      </c>
      <c r="F685" s="61" t="s">
        <v>389</v>
      </c>
      <c r="G685" s="61" t="s">
        <v>55</v>
      </c>
      <c r="H685" s="61"/>
      <c r="I685" s="61" t="s">
        <v>1366</v>
      </c>
      <c r="J685" s="62">
        <v>135</v>
      </c>
      <c r="K685" s="62">
        <v>150</v>
      </c>
      <c r="L685" s="62">
        <v>150</v>
      </c>
      <c r="M685" s="232">
        <v>190</v>
      </c>
      <c r="N685" s="55" t="s">
        <v>1590</v>
      </c>
      <c r="O685" s="61" t="s">
        <v>52</v>
      </c>
      <c r="P685" s="200"/>
      <c r="Q685" s="200"/>
      <c r="R685" s="200"/>
      <c r="S685" s="200"/>
      <c r="T685" s="66"/>
      <c r="U685" s="66"/>
      <c r="V685" s="66"/>
    </row>
    <row r="686" spans="1:22" s="64" customFormat="1" x14ac:dyDescent="0.25">
      <c r="A686" s="65" t="s">
        <v>1433</v>
      </c>
      <c r="B686" s="511" t="s">
        <v>1513</v>
      </c>
      <c r="C686" s="511"/>
      <c r="D686" s="511"/>
      <c r="E686" s="61" t="s">
        <v>1437</v>
      </c>
      <c r="F686" s="61" t="s">
        <v>54</v>
      </c>
      <c r="G686" s="61" t="s">
        <v>55</v>
      </c>
      <c r="H686" s="61"/>
      <c r="I686" s="61" t="s">
        <v>1366</v>
      </c>
      <c r="J686" s="62">
        <v>225</v>
      </c>
      <c r="K686" s="62">
        <v>250</v>
      </c>
      <c r="L686" s="62">
        <v>250</v>
      </c>
      <c r="M686" s="232">
        <v>320</v>
      </c>
      <c r="N686" s="55" t="s">
        <v>1590</v>
      </c>
      <c r="O686" s="61" t="s">
        <v>52</v>
      </c>
      <c r="P686" s="200"/>
      <c r="Q686" s="200"/>
      <c r="R686" s="200"/>
      <c r="S686" s="200"/>
      <c r="T686" s="66"/>
      <c r="U686" s="66"/>
      <c r="V686" s="66"/>
    </row>
    <row r="687" spans="1:22" s="64" customFormat="1" x14ac:dyDescent="0.25">
      <c r="A687" s="65" t="s">
        <v>1433</v>
      </c>
      <c r="B687" s="511" t="s">
        <v>1513</v>
      </c>
      <c r="C687" s="511"/>
      <c r="D687" s="511"/>
      <c r="E687" s="61" t="s">
        <v>1438</v>
      </c>
      <c r="F687" s="61" t="s">
        <v>389</v>
      </c>
      <c r="G687" s="61" t="s">
        <v>55</v>
      </c>
      <c r="H687" s="61"/>
      <c r="I687" s="61" t="s">
        <v>1366</v>
      </c>
      <c r="J687" s="62">
        <v>225</v>
      </c>
      <c r="K687" s="62">
        <v>250</v>
      </c>
      <c r="L687" s="62">
        <v>250</v>
      </c>
      <c r="M687" s="232">
        <v>320</v>
      </c>
      <c r="N687" s="55" t="s">
        <v>1590</v>
      </c>
      <c r="O687" s="61" t="s">
        <v>52</v>
      </c>
      <c r="P687" s="200"/>
      <c r="Q687" s="200"/>
      <c r="R687" s="200"/>
      <c r="S687" s="200"/>
      <c r="T687" s="66"/>
      <c r="U687" s="66"/>
      <c r="V687" s="66"/>
    </row>
    <row r="688" spans="1:22" s="64" customFormat="1" x14ac:dyDescent="0.25">
      <c r="A688" s="65" t="s">
        <v>1433</v>
      </c>
      <c r="B688" s="511" t="s">
        <v>1513</v>
      </c>
      <c r="C688" s="511"/>
      <c r="D688" s="511"/>
      <c r="E688" s="61" t="s">
        <v>1437</v>
      </c>
      <c r="F688" s="61" t="s">
        <v>389</v>
      </c>
      <c r="G688" s="61" t="s">
        <v>55</v>
      </c>
      <c r="H688" s="61"/>
      <c r="I688" s="61" t="s">
        <v>1366</v>
      </c>
      <c r="J688" s="62">
        <v>225</v>
      </c>
      <c r="K688" s="62">
        <v>250</v>
      </c>
      <c r="L688" s="62">
        <v>250</v>
      </c>
      <c r="M688" s="232">
        <v>320</v>
      </c>
      <c r="N688" s="55" t="s">
        <v>1590</v>
      </c>
      <c r="O688" s="61" t="s">
        <v>52</v>
      </c>
      <c r="P688" s="200"/>
      <c r="Q688" s="200"/>
      <c r="R688" s="200"/>
      <c r="S688" s="200"/>
      <c r="T688" s="66"/>
      <c r="U688" s="66"/>
      <c r="V688" s="66"/>
    </row>
    <row r="689" spans="1:22" s="64" customFormat="1" x14ac:dyDescent="0.25">
      <c r="A689" s="65" t="s">
        <v>1433</v>
      </c>
      <c r="B689" s="511" t="s">
        <v>1513</v>
      </c>
      <c r="C689" s="511"/>
      <c r="D689" s="511"/>
      <c r="E689" s="61" t="s">
        <v>1437</v>
      </c>
      <c r="F689" s="61" t="s">
        <v>56</v>
      </c>
      <c r="G689" s="61" t="s">
        <v>55</v>
      </c>
      <c r="H689" s="61"/>
      <c r="I689" s="61" t="s">
        <v>1366</v>
      </c>
      <c r="J689" s="62">
        <v>135</v>
      </c>
      <c r="K689" s="62">
        <v>475</v>
      </c>
      <c r="L689" s="62">
        <v>475</v>
      </c>
      <c r="M689" s="232">
        <v>405</v>
      </c>
      <c r="N689" s="55" t="s">
        <v>1590</v>
      </c>
      <c r="O689" s="61" t="s">
        <v>52</v>
      </c>
      <c r="P689" s="200"/>
      <c r="Q689" s="200"/>
      <c r="R689" s="200"/>
      <c r="S689" s="200"/>
      <c r="T689" s="66"/>
      <c r="U689" s="66"/>
      <c r="V689" s="66"/>
    </row>
    <row r="690" spans="1:22" s="64" customFormat="1" x14ac:dyDescent="0.25">
      <c r="A690" s="65" t="s">
        <v>1433</v>
      </c>
      <c r="B690" s="511" t="s">
        <v>1514</v>
      </c>
      <c r="C690" s="511"/>
      <c r="D690" s="511"/>
      <c r="E690" s="61" t="s">
        <v>1437</v>
      </c>
      <c r="F690" s="61" t="s">
        <v>54</v>
      </c>
      <c r="G690" s="61" t="s">
        <v>55</v>
      </c>
      <c r="H690" s="61"/>
      <c r="I690" s="61" t="s">
        <v>1366</v>
      </c>
      <c r="J690" s="62">
        <v>180</v>
      </c>
      <c r="K690" s="62">
        <v>200</v>
      </c>
      <c r="L690" s="62">
        <v>200</v>
      </c>
      <c r="M690" s="232">
        <v>255</v>
      </c>
      <c r="N690" s="55" t="s">
        <v>1590</v>
      </c>
      <c r="O690" s="61" t="s">
        <v>52</v>
      </c>
      <c r="P690" s="200"/>
      <c r="Q690" s="200"/>
      <c r="R690" s="200"/>
      <c r="S690" s="200"/>
      <c r="T690" s="66"/>
      <c r="U690" s="66"/>
      <c r="V690" s="66"/>
    </row>
    <row r="691" spans="1:22" s="64" customFormat="1" x14ac:dyDescent="0.25">
      <c r="A691" s="65" t="s">
        <v>1433</v>
      </c>
      <c r="B691" s="511" t="s">
        <v>1514</v>
      </c>
      <c r="C691" s="511"/>
      <c r="D691" s="511"/>
      <c r="E691" s="61" t="s">
        <v>1438</v>
      </c>
      <c r="F691" s="61" t="s">
        <v>389</v>
      </c>
      <c r="G691" s="61" t="s">
        <v>55</v>
      </c>
      <c r="H691" s="61"/>
      <c r="I691" s="61" t="s">
        <v>1366</v>
      </c>
      <c r="J691" s="62">
        <v>180</v>
      </c>
      <c r="K691" s="62">
        <v>200</v>
      </c>
      <c r="L691" s="62">
        <v>200</v>
      </c>
      <c r="M691" s="232">
        <v>255</v>
      </c>
      <c r="N691" s="55" t="s">
        <v>1590</v>
      </c>
      <c r="O691" s="61" t="s">
        <v>52</v>
      </c>
      <c r="P691" s="200"/>
      <c r="Q691" s="200"/>
      <c r="R691" s="200"/>
      <c r="S691" s="200"/>
      <c r="T691" s="66"/>
      <c r="U691" s="66"/>
      <c r="V691" s="66"/>
    </row>
    <row r="692" spans="1:22" s="64" customFormat="1" x14ac:dyDescent="0.25">
      <c r="A692" s="65" t="s">
        <v>1433</v>
      </c>
      <c r="B692" s="511" t="s">
        <v>1514</v>
      </c>
      <c r="C692" s="511"/>
      <c r="D692" s="511"/>
      <c r="E692" s="61" t="s">
        <v>1437</v>
      </c>
      <c r="F692" s="61" t="s">
        <v>389</v>
      </c>
      <c r="G692" s="61" t="s">
        <v>55</v>
      </c>
      <c r="H692" s="61"/>
      <c r="I692" s="61" t="s">
        <v>1366</v>
      </c>
      <c r="J692" s="62">
        <v>180</v>
      </c>
      <c r="K692" s="62">
        <v>200</v>
      </c>
      <c r="L692" s="62">
        <v>200</v>
      </c>
      <c r="M692" s="232">
        <v>255</v>
      </c>
      <c r="N692" s="55" t="s">
        <v>1590</v>
      </c>
      <c r="O692" s="61" t="s">
        <v>52</v>
      </c>
      <c r="P692" s="200"/>
      <c r="Q692" s="200"/>
      <c r="R692" s="200"/>
      <c r="S692" s="200"/>
      <c r="T692" s="66"/>
      <c r="U692" s="66"/>
      <c r="V692" s="66"/>
    </row>
    <row r="693" spans="1:22" s="64" customFormat="1" x14ac:dyDescent="0.25">
      <c r="A693" s="65" t="s">
        <v>1433</v>
      </c>
      <c r="B693" s="511" t="s">
        <v>1518</v>
      </c>
      <c r="C693" s="511"/>
      <c r="D693" s="511"/>
      <c r="E693" s="61" t="s">
        <v>1437</v>
      </c>
      <c r="F693" s="61" t="s">
        <v>54</v>
      </c>
      <c r="G693" s="61" t="s">
        <v>55</v>
      </c>
      <c r="H693" s="61"/>
      <c r="I693" s="61" t="s">
        <v>1366</v>
      </c>
      <c r="J693" s="62">
        <v>180</v>
      </c>
      <c r="K693" s="62">
        <v>200</v>
      </c>
      <c r="L693" s="62">
        <v>200</v>
      </c>
      <c r="M693" s="232">
        <v>255</v>
      </c>
      <c r="N693" s="55" t="s">
        <v>1590</v>
      </c>
      <c r="O693" s="61" t="s">
        <v>52</v>
      </c>
      <c r="P693" s="200"/>
      <c r="Q693" s="200"/>
      <c r="R693" s="200"/>
      <c r="S693" s="200"/>
      <c r="T693" s="66"/>
      <c r="U693" s="66"/>
      <c r="V693" s="66"/>
    </row>
    <row r="694" spans="1:22" s="64" customFormat="1" x14ac:dyDescent="0.25">
      <c r="A694" s="65" t="s">
        <v>1433</v>
      </c>
      <c r="B694" s="511" t="s">
        <v>1518</v>
      </c>
      <c r="C694" s="511"/>
      <c r="D694" s="511"/>
      <c r="E694" s="61" t="s">
        <v>1438</v>
      </c>
      <c r="F694" s="61" t="s">
        <v>389</v>
      </c>
      <c r="G694" s="61" t="s">
        <v>55</v>
      </c>
      <c r="H694" s="61"/>
      <c r="I694" s="61" t="s">
        <v>1366</v>
      </c>
      <c r="J694" s="62">
        <v>180</v>
      </c>
      <c r="K694" s="62">
        <v>200</v>
      </c>
      <c r="L694" s="62">
        <v>200</v>
      </c>
      <c r="M694" s="232">
        <v>255</v>
      </c>
      <c r="N694" s="55" t="s">
        <v>1590</v>
      </c>
      <c r="O694" s="61" t="s">
        <v>52</v>
      </c>
      <c r="P694" s="200"/>
      <c r="Q694" s="200"/>
      <c r="R694" s="200"/>
      <c r="S694" s="200"/>
      <c r="T694" s="66"/>
      <c r="U694" s="66"/>
      <c r="V694" s="66"/>
    </row>
    <row r="695" spans="1:22" s="64" customFormat="1" x14ac:dyDescent="0.25">
      <c r="A695" s="65" t="s">
        <v>1433</v>
      </c>
      <c r="B695" s="511" t="s">
        <v>1518</v>
      </c>
      <c r="C695" s="511"/>
      <c r="D695" s="511"/>
      <c r="E695" s="61" t="s">
        <v>1437</v>
      </c>
      <c r="F695" s="61" t="s">
        <v>389</v>
      </c>
      <c r="G695" s="61" t="s">
        <v>55</v>
      </c>
      <c r="H695" s="61"/>
      <c r="I695" s="61" t="s">
        <v>1366</v>
      </c>
      <c r="J695" s="62">
        <v>180</v>
      </c>
      <c r="K695" s="62">
        <v>200</v>
      </c>
      <c r="L695" s="62">
        <v>200</v>
      </c>
      <c r="M695" s="232">
        <v>255</v>
      </c>
      <c r="N695" s="55" t="s">
        <v>1590</v>
      </c>
      <c r="O695" s="61" t="s">
        <v>52</v>
      </c>
      <c r="P695" s="200"/>
      <c r="Q695" s="200"/>
      <c r="R695" s="200"/>
      <c r="S695" s="200"/>
      <c r="T695" s="66"/>
      <c r="U695" s="66"/>
      <c r="V695" s="66"/>
    </row>
    <row r="696" spans="1:22" s="64" customFormat="1" x14ac:dyDescent="0.25">
      <c r="A696" s="65" t="s">
        <v>1433</v>
      </c>
      <c r="B696" s="511" t="s">
        <v>1519</v>
      </c>
      <c r="C696" s="511"/>
      <c r="D696" s="511"/>
      <c r="E696" s="61" t="s">
        <v>1437</v>
      </c>
      <c r="F696" s="61" t="s">
        <v>54</v>
      </c>
      <c r="G696" s="61" t="s">
        <v>55</v>
      </c>
      <c r="H696" s="61"/>
      <c r="I696" s="61" t="s">
        <v>1366</v>
      </c>
      <c r="J696" s="62">
        <v>180</v>
      </c>
      <c r="K696" s="62">
        <v>200</v>
      </c>
      <c r="L696" s="62">
        <v>200</v>
      </c>
      <c r="M696" s="232">
        <v>255</v>
      </c>
      <c r="N696" s="55" t="s">
        <v>1590</v>
      </c>
      <c r="O696" s="61" t="s">
        <v>52</v>
      </c>
      <c r="P696" s="200"/>
      <c r="Q696" s="200"/>
      <c r="R696" s="200"/>
      <c r="S696" s="200"/>
      <c r="T696" s="66"/>
      <c r="U696" s="66"/>
      <c r="V696" s="66"/>
    </row>
    <row r="697" spans="1:22" s="64" customFormat="1" x14ac:dyDescent="0.25">
      <c r="A697" s="65" t="s">
        <v>1433</v>
      </c>
      <c r="B697" s="511" t="s">
        <v>1519</v>
      </c>
      <c r="C697" s="511"/>
      <c r="D697" s="511"/>
      <c r="E697" s="61" t="s">
        <v>1438</v>
      </c>
      <c r="F697" s="61" t="s">
        <v>389</v>
      </c>
      <c r="G697" s="61" t="s">
        <v>55</v>
      </c>
      <c r="H697" s="61"/>
      <c r="I697" s="61" t="s">
        <v>1366</v>
      </c>
      <c r="J697" s="62">
        <v>180</v>
      </c>
      <c r="K697" s="62">
        <v>200</v>
      </c>
      <c r="L697" s="62">
        <v>200</v>
      </c>
      <c r="M697" s="232">
        <v>255</v>
      </c>
      <c r="N697" s="55" t="s">
        <v>1590</v>
      </c>
      <c r="O697" s="61" t="s">
        <v>52</v>
      </c>
      <c r="P697" s="200"/>
      <c r="Q697" s="200"/>
      <c r="R697" s="200"/>
      <c r="S697" s="200"/>
      <c r="T697" s="66"/>
      <c r="U697" s="66"/>
      <c r="V697" s="66"/>
    </row>
    <row r="698" spans="1:22" s="64" customFormat="1" x14ac:dyDescent="0.25">
      <c r="A698" s="65" t="s">
        <v>1433</v>
      </c>
      <c r="B698" s="511" t="s">
        <v>1519</v>
      </c>
      <c r="C698" s="511"/>
      <c r="D698" s="511"/>
      <c r="E698" s="61" t="s">
        <v>1437</v>
      </c>
      <c r="F698" s="61" t="s">
        <v>389</v>
      </c>
      <c r="G698" s="61" t="s">
        <v>55</v>
      </c>
      <c r="H698" s="61"/>
      <c r="I698" s="61" t="s">
        <v>1366</v>
      </c>
      <c r="J698" s="62">
        <v>180</v>
      </c>
      <c r="K698" s="62">
        <v>200</v>
      </c>
      <c r="L698" s="62">
        <v>200</v>
      </c>
      <c r="M698" s="232">
        <v>255</v>
      </c>
      <c r="N698" s="55" t="s">
        <v>1590</v>
      </c>
      <c r="O698" s="61" t="s">
        <v>52</v>
      </c>
      <c r="P698" s="200"/>
      <c r="Q698" s="200"/>
      <c r="R698" s="200"/>
      <c r="S698" s="200"/>
      <c r="T698" s="66"/>
      <c r="U698" s="66"/>
      <c r="V698" s="66"/>
    </row>
    <row r="699" spans="1:22" s="64" customFormat="1" x14ac:dyDescent="0.25">
      <c r="A699" s="65" t="s">
        <v>1433</v>
      </c>
      <c r="B699" s="511" t="s">
        <v>1521</v>
      </c>
      <c r="C699" s="511"/>
      <c r="D699" s="511"/>
      <c r="E699" s="61" t="s">
        <v>1437</v>
      </c>
      <c r="F699" s="61" t="s">
        <v>56</v>
      </c>
      <c r="G699" s="61" t="s">
        <v>55</v>
      </c>
      <c r="H699" s="61"/>
      <c r="I699" s="61" t="s">
        <v>1366</v>
      </c>
      <c r="J699" s="62">
        <v>400</v>
      </c>
      <c r="K699" s="62">
        <v>475</v>
      </c>
      <c r="L699" s="62">
        <v>475</v>
      </c>
      <c r="M699" s="232"/>
      <c r="N699" s="55" t="s">
        <v>1590</v>
      </c>
      <c r="O699" s="61" t="s">
        <v>52</v>
      </c>
      <c r="P699" s="200"/>
      <c r="Q699" s="200"/>
      <c r="R699" s="200"/>
      <c r="S699" s="200"/>
      <c r="T699" s="66"/>
      <c r="U699" s="66"/>
      <c r="V699" s="66"/>
    </row>
    <row r="700" spans="1:22" s="64" customFormat="1" x14ac:dyDescent="0.25">
      <c r="A700" s="65" t="s">
        <v>1522</v>
      </c>
      <c r="B700" s="511" t="s">
        <v>1523</v>
      </c>
      <c r="C700" s="511"/>
      <c r="D700" s="511"/>
      <c r="E700" s="61" t="s">
        <v>1437</v>
      </c>
      <c r="F700" s="61" t="s">
        <v>54</v>
      </c>
      <c r="G700" s="61" t="s">
        <v>55</v>
      </c>
      <c r="H700" s="61"/>
      <c r="I700" s="61" t="s">
        <v>1366</v>
      </c>
      <c r="J700" s="62">
        <v>1080</v>
      </c>
      <c r="K700" s="62">
        <v>1200</v>
      </c>
      <c r="L700" s="62">
        <v>1200</v>
      </c>
      <c r="M700" s="232">
        <v>1525</v>
      </c>
      <c r="N700" s="55" t="s">
        <v>1590</v>
      </c>
      <c r="O700" s="61" t="s">
        <v>52</v>
      </c>
      <c r="P700" s="200"/>
      <c r="Q700" s="200"/>
      <c r="R700" s="200"/>
      <c r="S700" s="200"/>
      <c r="T700" s="66"/>
      <c r="U700" s="66"/>
      <c r="V700" s="66"/>
    </row>
    <row r="701" spans="1:22" s="64" customFormat="1" x14ac:dyDescent="0.25">
      <c r="A701" s="65" t="s">
        <v>1522</v>
      </c>
      <c r="B701" s="511" t="s">
        <v>1524</v>
      </c>
      <c r="C701" s="511"/>
      <c r="D701" s="511"/>
      <c r="E701" s="61" t="s">
        <v>1437</v>
      </c>
      <c r="F701" s="61" t="s">
        <v>54</v>
      </c>
      <c r="G701" s="61" t="s">
        <v>55</v>
      </c>
      <c r="H701" s="61"/>
      <c r="I701" s="61" t="s">
        <v>1366</v>
      </c>
      <c r="J701" s="62">
        <v>1035</v>
      </c>
      <c r="K701" s="62">
        <v>1150</v>
      </c>
      <c r="L701" s="62">
        <v>1150</v>
      </c>
      <c r="M701" s="232">
        <v>1460</v>
      </c>
      <c r="N701" s="55" t="s">
        <v>1590</v>
      </c>
      <c r="O701" s="61" t="s">
        <v>52</v>
      </c>
      <c r="P701" s="200"/>
      <c r="Q701" s="200"/>
      <c r="R701" s="200"/>
      <c r="S701" s="200"/>
      <c r="T701" s="66"/>
      <c r="U701" s="66"/>
      <c r="V701" s="66"/>
    </row>
    <row r="702" spans="1:22" s="64" customFormat="1" x14ac:dyDescent="0.25">
      <c r="A702" s="65" t="s">
        <v>1522</v>
      </c>
      <c r="B702" s="511" t="s">
        <v>1525</v>
      </c>
      <c r="C702" s="511"/>
      <c r="D702" s="511"/>
      <c r="E702" s="61" t="s">
        <v>1437</v>
      </c>
      <c r="F702" s="61" t="s">
        <v>54</v>
      </c>
      <c r="G702" s="61" t="s">
        <v>55</v>
      </c>
      <c r="H702" s="61"/>
      <c r="I702" s="61" t="s">
        <v>1366</v>
      </c>
      <c r="J702" s="62">
        <v>405</v>
      </c>
      <c r="K702" s="62">
        <v>450</v>
      </c>
      <c r="L702" s="62">
        <v>450</v>
      </c>
      <c r="M702" s="232">
        <v>570</v>
      </c>
      <c r="N702" s="55" t="s">
        <v>1590</v>
      </c>
      <c r="O702" s="61" t="s">
        <v>52</v>
      </c>
      <c r="P702" s="200"/>
      <c r="Q702" s="200"/>
      <c r="R702" s="200"/>
      <c r="S702" s="200"/>
      <c r="T702" s="66"/>
      <c r="U702" s="66"/>
      <c r="V702" s="66"/>
    </row>
    <row r="703" spans="1:22" s="64" customFormat="1" x14ac:dyDescent="0.25">
      <c r="A703" s="65" t="s">
        <v>1522</v>
      </c>
      <c r="B703" s="511" t="s">
        <v>1526</v>
      </c>
      <c r="C703" s="511"/>
      <c r="D703" s="511"/>
      <c r="E703" s="61" t="s">
        <v>1437</v>
      </c>
      <c r="F703" s="61" t="s">
        <v>54</v>
      </c>
      <c r="G703" s="61" t="s">
        <v>55</v>
      </c>
      <c r="H703" s="61"/>
      <c r="I703" s="61" t="s">
        <v>1366</v>
      </c>
      <c r="J703" s="62">
        <v>450</v>
      </c>
      <c r="K703" s="62">
        <v>500</v>
      </c>
      <c r="L703" s="62">
        <v>500</v>
      </c>
      <c r="M703" s="232">
        <v>635</v>
      </c>
      <c r="N703" s="55" t="s">
        <v>1590</v>
      </c>
      <c r="O703" s="61" t="s">
        <v>52</v>
      </c>
      <c r="P703" s="200"/>
      <c r="Q703" s="200"/>
      <c r="R703" s="200"/>
      <c r="S703" s="200"/>
      <c r="T703" s="66"/>
      <c r="U703" s="66"/>
      <c r="V703" s="66"/>
    </row>
    <row r="704" spans="1:22" s="64" customFormat="1" x14ac:dyDescent="0.25">
      <c r="A704" s="65" t="s">
        <v>1522</v>
      </c>
      <c r="B704" s="511" t="s">
        <v>1527</v>
      </c>
      <c r="C704" s="511"/>
      <c r="D704" s="511"/>
      <c r="E704" s="61" t="s">
        <v>1437</v>
      </c>
      <c r="F704" s="61" t="s">
        <v>54</v>
      </c>
      <c r="G704" s="61" t="s">
        <v>55</v>
      </c>
      <c r="H704" s="61"/>
      <c r="I704" s="61" t="s">
        <v>1366</v>
      </c>
      <c r="J704" s="62">
        <v>1170</v>
      </c>
      <c r="K704" s="62">
        <v>1300</v>
      </c>
      <c r="L704" s="62">
        <v>1300</v>
      </c>
      <c r="M704" s="232">
        <v>1650</v>
      </c>
      <c r="N704" s="55" t="s">
        <v>1590</v>
      </c>
      <c r="O704" s="61" t="s">
        <v>52</v>
      </c>
      <c r="P704" s="200"/>
      <c r="Q704" s="200"/>
      <c r="R704" s="200"/>
      <c r="S704" s="200"/>
      <c r="T704" s="66"/>
      <c r="U704" s="66"/>
      <c r="V704" s="66"/>
    </row>
    <row r="705" spans="1:22" s="64" customFormat="1" x14ac:dyDescent="0.25">
      <c r="A705" s="65" t="s">
        <v>1522</v>
      </c>
      <c r="B705" s="511" t="s">
        <v>1529</v>
      </c>
      <c r="C705" s="511"/>
      <c r="D705" s="511"/>
      <c r="E705" s="61" t="s">
        <v>1437</v>
      </c>
      <c r="F705" s="61" t="s">
        <v>54</v>
      </c>
      <c r="G705" s="61" t="s">
        <v>55</v>
      </c>
      <c r="H705" s="61"/>
      <c r="I705" s="61" t="s">
        <v>1366</v>
      </c>
      <c r="J705" s="62">
        <v>315</v>
      </c>
      <c r="K705" s="62">
        <v>350</v>
      </c>
      <c r="L705" s="62">
        <v>350</v>
      </c>
      <c r="M705" s="232">
        <v>445</v>
      </c>
      <c r="N705" s="55" t="s">
        <v>1590</v>
      </c>
      <c r="O705" s="61" t="s">
        <v>52</v>
      </c>
      <c r="P705" s="200"/>
      <c r="Q705" s="200"/>
      <c r="R705" s="200"/>
      <c r="S705" s="200"/>
      <c r="T705" s="66"/>
      <c r="U705" s="66"/>
      <c r="V705" s="66"/>
    </row>
    <row r="706" spans="1:22" s="64" customFormat="1" x14ac:dyDescent="0.25">
      <c r="A706" s="65" t="s">
        <v>1522</v>
      </c>
      <c r="B706" s="511" t="s">
        <v>1530</v>
      </c>
      <c r="C706" s="511"/>
      <c r="D706" s="511"/>
      <c r="E706" s="61" t="s">
        <v>1437</v>
      </c>
      <c r="F706" s="61" t="s">
        <v>54</v>
      </c>
      <c r="G706" s="61" t="s">
        <v>55</v>
      </c>
      <c r="H706" s="61"/>
      <c r="I706" s="61" t="s">
        <v>1366</v>
      </c>
      <c r="J706" s="62">
        <v>495</v>
      </c>
      <c r="K706" s="62">
        <v>550</v>
      </c>
      <c r="L706" s="62">
        <v>550</v>
      </c>
      <c r="M706" s="232">
        <v>700</v>
      </c>
      <c r="N706" s="55" t="s">
        <v>1590</v>
      </c>
      <c r="O706" s="61" t="s">
        <v>52</v>
      </c>
      <c r="P706" s="200"/>
      <c r="Q706" s="200"/>
      <c r="R706" s="200"/>
      <c r="S706" s="200"/>
      <c r="T706" s="66"/>
      <c r="U706" s="66"/>
      <c r="V706" s="66"/>
    </row>
    <row r="707" spans="1:22" s="64" customFormat="1" x14ac:dyDescent="0.25">
      <c r="A707" s="65" t="s">
        <v>1522</v>
      </c>
      <c r="B707" s="511" t="s">
        <v>1531</v>
      </c>
      <c r="C707" s="511"/>
      <c r="D707" s="511"/>
      <c r="E707" s="61" t="s">
        <v>1437</v>
      </c>
      <c r="F707" s="61" t="s">
        <v>54</v>
      </c>
      <c r="G707" s="61" t="s">
        <v>55</v>
      </c>
      <c r="H707" s="61"/>
      <c r="I707" s="61" t="s">
        <v>1366</v>
      </c>
      <c r="J707" s="62">
        <v>1440</v>
      </c>
      <c r="K707" s="62">
        <v>1600</v>
      </c>
      <c r="L707" s="62">
        <v>1600</v>
      </c>
      <c r="M707" s="232">
        <v>2030</v>
      </c>
      <c r="N707" s="55" t="s">
        <v>1590</v>
      </c>
      <c r="O707" s="61" t="s">
        <v>52</v>
      </c>
      <c r="P707" s="200"/>
      <c r="Q707" s="200"/>
      <c r="R707" s="200"/>
      <c r="S707" s="200"/>
      <c r="T707" s="66"/>
      <c r="U707" s="66"/>
      <c r="V707" s="66"/>
    </row>
    <row r="708" spans="1:22" s="64" customFormat="1" x14ac:dyDescent="0.25">
      <c r="A708" s="65" t="s">
        <v>1522</v>
      </c>
      <c r="B708" s="511" t="s">
        <v>1532</v>
      </c>
      <c r="C708" s="511"/>
      <c r="D708" s="511"/>
      <c r="E708" s="61" t="s">
        <v>1437</v>
      </c>
      <c r="F708" s="61" t="s">
        <v>54</v>
      </c>
      <c r="G708" s="61" t="s">
        <v>55</v>
      </c>
      <c r="H708" s="61"/>
      <c r="I708" s="61" t="s">
        <v>1366</v>
      </c>
      <c r="J708" s="62">
        <v>1170</v>
      </c>
      <c r="K708" s="62">
        <v>1300</v>
      </c>
      <c r="L708" s="62">
        <v>1300</v>
      </c>
      <c r="M708" s="232">
        <v>1650</v>
      </c>
      <c r="N708" s="55" t="s">
        <v>1590</v>
      </c>
      <c r="O708" s="61" t="s">
        <v>52</v>
      </c>
      <c r="P708" s="200"/>
      <c r="Q708" s="200"/>
      <c r="R708" s="200"/>
      <c r="S708" s="200"/>
      <c r="T708" s="66"/>
      <c r="U708" s="66"/>
      <c r="V708" s="66"/>
    </row>
    <row r="709" spans="1:22" s="64" customFormat="1" x14ac:dyDescent="0.25">
      <c r="A709" s="65" t="s">
        <v>1522</v>
      </c>
      <c r="B709" s="511" t="s">
        <v>1533</v>
      </c>
      <c r="C709" s="511"/>
      <c r="D709" s="511"/>
      <c r="E709" s="61" t="s">
        <v>1437</v>
      </c>
      <c r="F709" s="61" t="s">
        <v>54</v>
      </c>
      <c r="G709" s="61" t="s">
        <v>55</v>
      </c>
      <c r="H709" s="61"/>
      <c r="I709" s="61" t="s">
        <v>1366</v>
      </c>
      <c r="J709" s="62">
        <v>1170</v>
      </c>
      <c r="K709" s="62">
        <v>1300</v>
      </c>
      <c r="L709" s="62">
        <v>1300</v>
      </c>
      <c r="M709" s="232">
        <v>1650</v>
      </c>
      <c r="N709" s="55" t="s">
        <v>1590</v>
      </c>
      <c r="O709" s="61" t="s">
        <v>52</v>
      </c>
      <c r="P709" s="200"/>
      <c r="Q709" s="200"/>
      <c r="R709" s="200"/>
      <c r="S709" s="200"/>
      <c r="T709" s="66"/>
      <c r="U709" s="66"/>
      <c r="V709" s="66"/>
    </row>
    <row r="710" spans="1:22" s="64" customFormat="1" x14ac:dyDescent="0.25">
      <c r="A710" s="65" t="s">
        <v>1522</v>
      </c>
      <c r="B710" s="511" t="s">
        <v>1534</v>
      </c>
      <c r="C710" s="511"/>
      <c r="D710" s="511"/>
      <c r="E710" s="61" t="s">
        <v>1437</v>
      </c>
      <c r="F710" s="61" t="s">
        <v>54</v>
      </c>
      <c r="G710" s="61" t="s">
        <v>55</v>
      </c>
      <c r="H710" s="61"/>
      <c r="I710" s="61" t="s">
        <v>1366</v>
      </c>
      <c r="J710" s="62">
        <v>360</v>
      </c>
      <c r="K710" s="62">
        <v>400</v>
      </c>
      <c r="L710" s="62">
        <v>400</v>
      </c>
      <c r="M710" s="232">
        <v>510</v>
      </c>
      <c r="N710" s="55" t="s">
        <v>1590</v>
      </c>
      <c r="O710" s="61" t="s">
        <v>52</v>
      </c>
      <c r="P710" s="200"/>
      <c r="Q710" s="200"/>
      <c r="R710" s="200"/>
      <c r="S710" s="200"/>
      <c r="T710" s="66"/>
      <c r="U710" s="66"/>
      <c r="V710" s="66"/>
    </row>
    <row r="711" spans="1:22" s="64" customFormat="1" x14ac:dyDescent="0.25">
      <c r="A711" s="65" t="s">
        <v>1522</v>
      </c>
      <c r="B711" s="511" t="s">
        <v>1535</v>
      </c>
      <c r="C711" s="511"/>
      <c r="D711" s="511"/>
      <c r="E711" s="61" t="s">
        <v>1437</v>
      </c>
      <c r="F711" s="61" t="s">
        <v>54</v>
      </c>
      <c r="G711" s="61" t="s">
        <v>55</v>
      </c>
      <c r="H711" s="61"/>
      <c r="I711" s="61" t="s">
        <v>1366</v>
      </c>
      <c r="J711" s="62">
        <v>450</v>
      </c>
      <c r="K711" s="62">
        <v>500</v>
      </c>
      <c r="L711" s="62">
        <v>500</v>
      </c>
      <c r="M711" s="232">
        <v>635</v>
      </c>
      <c r="N711" s="55" t="s">
        <v>1590</v>
      </c>
      <c r="O711" s="61" t="s">
        <v>52</v>
      </c>
      <c r="P711" s="200"/>
      <c r="Q711" s="200"/>
      <c r="R711" s="200"/>
      <c r="S711" s="200"/>
      <c r="T711" s="66"/>
      <c r="U711" s="66"/>
      <c r="V711" s="66"/>
    </row>
    <row r="712" spans="1:22" s="64" customFormat="1" x14ac:dyDescent="0.25">
      <c r="A712" s="65" t="s">
        <v>1522</v>
      </c>
      <c r="B712" s="511" t="s">
        <v>1536</v>
      </c>
      <c r="C712" s="511"/>
      <c r="D712" s="511"/>
      <c r="E712" s="61" t="s">
        <v>1437</v>
      </c>
      <c r="F712" s="61" t="s">
        <v>54</v>
      </c>
      <c r="G712" s="61" t="s">
        <v>55</v>
      </c>
      <c r="H712" s="61"/>
      <c r="I712" s="61" t="s">
        <v>1366</v>
      </c>
      <c r="J712" s="62">
        <v>360</v>
      </c>
      <c r="K712" s="62">
        <v>400</v>
      </c>
      <c r="L712" s="62">
        <v>400</v>
      </c>
      <c r="M712" s="232">
        <v>510</v>
      </c>
      <c r="N712" s="55" t="s">
        <v>1590</v>
      </c>
      <c r="O712" s="61" t="s">
        <v>52</v>
      </c>
      <c r="P712" s="200"/>
      <c r="Q712" s="200"/>
      <c r="R712" s="200"/>
      <c r="S712" s="200"/>
      <c r="T712" s="66"/>
      <c r="U712" s="66"/>
      <c r="V712" s="66"/>
    </row>
    <row r="713" spans="1:22" s="64" customFormat="1" x14ac:dyDescent="0.25">
      <c r="A713" s="65" t="s">
        <v>1522</v>
      </c>
      <c r="B713" s="511" t="s">
        <v>1537</v>
      </c>
      <c r="C713" s="511"/>
      <c r="D713" s="511"/>
      <c r="E713" s="61" t="s">
        <v>1437</v>
      </c>
      <c r="F713" s="61" t="s">
        <v>54</v>
      </c>
      <c r="G713" s="61" t="s">
        <v>55</v>
      </c>
      <c r="H713" s="61"/>
      <c r="I713" s="61" t="s">
        <v>1366</v>
      </c>
      <c r="J713" s="62">
        <v>675</v>
      </c>
      <c r="K713" s="62">
        <v>750</v>
      </c>
      <c r="L713" s="62">
        <v>750</v>
      </c>
      <c r="M713" s="232">
        <v>955</v>
      </c>
      <c r="N713" s="55" t="s">
        <v>1590</v>
      </c>
      <c r="O713" s="61" t="s">
        <v>52</v>
      </c>
      <c r="P713" s="200"/>
      <c r="Q713" s="200"/>
      <c r="R713" s="200"/>
      <c r="S713" s="200"/>
      <c r="T713" s="66"/>
      <c r="U713" s="66"/>
      <c r="V713" s="66"/>
    </row>
    <row r="714" spans="1:22" s="64" customFormat="1" x14ac:dyDescent="0.25">
      <c r="A714" s="65" t="s">
        <v>1522</v>
      </c>
      <c r="B714" s="511" t="s">
        <v>1538</v>
      </c>
      <c r="C714" s="511"/>
      <c r="D714" s="511"/>
      <c r="E714" s="61" t="s">
        <v>1437</v>
      </c>
      <c r="F714" s="61" t="s">
        <v>54</v>
      </c>
      <c r="G714" s="61" t="s">
        <v>55</v>
      </c>
      <c r="H714" s="61"/>
      <c r="I714" s="61" t="s">
        <v>1366</v>
      </c>
      <c r="J714" s="62">
        <v>1215</v>
      </c>
      <c r="K714" s="62">
        <v>1350</v>
      </c>
      <c r="L714" s="62">
        <v>1350</v>
      </c>
      <c r="M714" s="232">
        <v>1710</v>
      </c>
      <c r="N714" s="55" t="s">
        <v>1590</v>
      </c>
      <c r="O714" s="61" t="s">
        <v>52</v>
      </c>
      <c r="P714" s="200"/>
      <c r="Q714" s="200"/>
      <c r="R714" s="200"/>
      <c r="S714" s="200"/>
      <c r="T714" s="66"/>
      <c r="U714" s="66"/>
      <c r="V714" s="66"/>
    </row>
    <row r="715" spans="1:22" s="64" customFormat="1" x14ac:dyDescent="0.25">
      <c r="A715" s="65" t="s">
        <v>1522</v>
      </c>
      <c r="B715" s="511" t="s">
        <v>1539</v>
      </c>
      <c r="C715" s="511"/>
      <c r="D715" s="511"/>
      <c r="E715" s="61" t="s">
        <v>1437</v>
      </c>
      <c r="F715" s="61" t="s">
        <v>54</v>
      </c>
      <c r="G715" s="61" t="s">
        <v>55</v>
      </c>
      <c r="H715" s="61"/>
      <c r="I715" s="61" t="s">
        <v>1366</v>
      </c>
      <c r="J715" s="62">
        <v>225</v>
      </c>
      <c r="K715" s="62">
        <v>250</v>
      </c>
      <c r="L715" s="62">
        <v>250</v>
      </c>
      <c r="M715" s="232">
        <v>320</v>
      </c>
      <c r="N715" s="55" t="s">
        <v>1590</v>
      </c>
      <c r="O715" s="61" t="s">
        <v>52</v>
      </c>
      <c r="P715" s="200"/>
      <c r="Q715" s="200"/>
      <c r="R715" s="200"/>
      <c r="S715" s="200"/>
      <c r="T715" s="66"/>
      <c r="U715" s="66"/>
      <c r="V715" s="66"/>
    </row>
    <row r="716" spans="1:22" s="64" customFormat="1" x14ac:dyDescent="0.25">
      <c r="A716" s="65" t="s">
        <v>1522</v>
      </c>
      <c r="B716" s="511" t="s">
        <v>1540</v>
      </c>
      <c r="C716" s="511"/>
      <c r="D716" s="511"/>
      <c r="E716" s="61" t="s">
        <v>1437</v>
      </c>
      <c r="F716" s="61" t="s">
        <v>54</v>
      </c>
      <c r="G716" s="61" t="s">
        <v>55</v>
      </c>
      <c r="H716" s="61"/>
      <c r="I716" s="61" t="s">
        <v>1366</v>
      </c>
      <c r="J716" s="62">
        <v>180</v>
      </c>
      <c r="K716" s="62">
        <v>200</v>
      </c>
      <c r="L716" s="62">
        <v>200</v>
      </c>
      <c r="M716" s="232">
        <v>255</v>
      </c>
      <c r="N716" s="55" t="s">
        <v>1590</v>
      </c>
      <c r="O716" s="61" t="s">
        <v>52</v>
      </c>
      <c r="P716" s="200"/>
      <c r="Q716" s="200"/>
      <c r="R716" s="200"/>
      <c r="S716" s="200"/>
      <c r="T716" s="66"/>
      <c r="U716" s="66"/>
      <c r="V716" s="66"/>
    </row>
    <row r="717" spans="1:22" s="64" customFormat="1" x14ac:dyDescent="0.25">
      <c r="A717" s="65" t="s">
        <v>1550</v>
      </c>
      <c r="B717" s="511" t="s">
        <v>1551</v>
      </c>
      <c r="C717" s="511"/>
      <c r="D717" s="511"/>
      <c r="E717" s="61" t="s">
        <v>1438</v>
      </c>
      <c r="F717" s="61" t="s">
        <v>54</v>
      </c>
      <c r="G717" s="61" t="s">
        <v>55</v>
      </c>
      <c r="H717" s="61"/>
      <c r="I717" s="61" t="s">
        <v>1366</v>
      </c>
      <c r="J717" s="62">
        <v>540</v>
      </c>
      <c r="K717" s="62">
        <v>600</v>
      </c>
      <c r="L717" s="62">
        <v>600</v>
      </c>
      <c r="M717" s="232">
        <v>765</v>
      </c>
      <c r="N717" s="55" t="s">
        <v>1590</v>
      </c>
      <c r="O717" s="61" t="s">
        <v>52</v>
      </c>
      <c r="P717" s="200"/>
      <c r="Q717" s="200"/>
      <c r="R717" s="200"/>
      <c r="S717" s="200"/>
      <c r="T717" s="66"/>
      <c r="U717" s="66"/>
      <c r="V717" s="66"/>
    </row>
    <row r="718" spans="1:22" s="64" customFormat="1" x14ac:dyDescent="0.25">
      <c r="A718" s="65" t="s">
        <v>1550</v>
      </c>
      <c r="B718" s="511" t="s">
        <v>1551</v>
      </c>
      <c r="C718" s="511"/>
      <c r="D718" s="511"/>
      <c r="E718" s="61" t="s">
        <v>1438</v>
      </c>
      <c r="F718" s="61" t="s">
        <v>389</v>
      </c>
      <c r="G718" s="61" t="s">
        <v>55</v>
      </c>
      <c r="H718" s="61"/>
      <c r="I718" s="61" t="s">
        <v>1366</v>
      </c>
      <c r="J718" s="62">
        <v>540</v>
      </c>
      <c r="K718" s="62">
        <v>600</v>
      </c>
      <c r="L718" s="62">
        <v>600</v>
      </c>
      <c r="M718" s="232">
        <v>765</v>
      </c>
      <c r="N718" s="55" t="s">
        <v>1590</v>
      </c>
      <c r="O718" s="61" t="s">
        <v>52</v>
      </c>
      <c r="P718" s="200"/>
      <c r="Q718" s="200"/>
      <c r="R718" s="200"/>
      <c r="S718" s="200"/>
      <c r="T718" s="66"/>
      <c r="U718" s="66"/>
      <c r="V718" s="66"/>
    </row>
    <row r="719" spans="1:22" s="64" customFormat="1" x14ac:dyDescent="0.25">
      <c r="A719" s="65" t="s">
        <v>1552</v>
      </c>
      <c r="B719" s="511" t="s">
        <v>1555</v>
      </c>
      <c r="C719" s="511"/>
      <c r="D719" s="511"/>
      <c r="E719" s="61" t="s">
        <v>1437</v>
      </c>
      <c r="F719" s="61" t="s">
        <v>54</v>
      </c>
      <c r="G719" s="61" t="s">
        <v>55</v>
      </c>
      <c r="H719" s="61"/>
      <c r="I719" s="61" t="s">
        <v>1366</v>
      </c>
      <c r="J719" s="62">
        <v>225</v>
      </c>
      <c r="K719" s="62">
        <v>250</v>
      </c>
      <c r="L719" s="62">
        <v>250</v>
      </c>
      <c r="M719" s="232">
        <v>320</v>
      </c>
      <c r="N719" s="55" t="s">
        <v>1590</v>
      </c>
      <c r="O719" s="61" t="s">
        <v>52</v>
      </c>
      <c r="P719" s="200"/>
      <c r="Q719" s="200"/>
      <c r="R719" s="200"/>
      <c r="S719" s="200"/>
      <c r="T719" s="66"/>
      <c r="U719" s="66"/>
      <c r="V719" s="66"/>
    </row>
    <row r="720" spans="1:22" s="64" customFormat="1" x14ac:dyDescent="0.25">
      <c r="A720" s="65" t="s">
        <v>1552</v>
      </c>
      <c r="B720" s="511" t="s">
        <v>1556</v>
      </c>
      <c r="C720" s="511"/>
      <c r="D720" s="511"/>
      <c r="E720" s="61" t="s">
        <v>1437</v>
      </c>
      <c r="F720" s="61" t="s">
        <v>54</v>
      </c>
      <c r="G720" s="61" t="s">
        <v>55</v>
      </c>
      <c r="H720" s="61"/>
      <c r="I720" s="61" t="s">
        <v>1366</v>
      </c>
      <c r="J720" s="62">
        <v>270</v>
      </c>
      <c r="K720" s="62">
        <v>300</v>
      </c>
      <c r="L720" s="62">
        <v>300</v>
      </c>
      <c r="M720" s="232">
        <v>385</v>
      </c>
      <c r="N720" s="55" t="s">
        <v>1590</v>
      </c>
      <c r="O720" s="61" t="s">
        <v>52</v>
      </c>
      <c r="P720" s="200"/>
      <c r="Q720" s="200"/>
      <c r="R720" s="200"/>
      <c r="S720" s="200"/>
      <c r="T720" s="66"/>
      <c r="U720" s="66"/>
      <c r="V720" s="66"/>
    </row>
    <row r="721" spans="1:22" s="64" customFormat="1" x14ac:dyDescent="0.25">
      <c r="A721" s="65" t="s">
        <v>1552</v>
      </c>
      <c r="B721" s="511" t="s">
        <v>1554</v>
      </c>
      <c r="C721" s="511"/>
      <c r="D721" s="511"/>
      <c r="E721" s="61" t="s">
        <v>1437</v>
      </c>
      <c r="F721" s="61" t="s">
        <v>54</v>
      </c>
      <c r="G721" s="61" t="s">
        <v>55</v>
      </c>
      <c r="H721" s="61"/>
      <c r="I721" s="61" t="s">
        <v>1366</v>
      </c>
      <c r="J721" s="62">
        <v>90</v>
      </c>
      <c r="K721" s="62">
        <v>100</v>
      </c>
      <c r="L721" s="62">
        <v>100</v>
      </c>
      <c r="M721" s="232">
        <v>130</v>
      </c>
      <c r="N721" s="55" t="s">
        <v>1590</v>
      </c>
      <c r="O721" s="61" t="s">
        <v>52</v>
      </c>
      <c r="P721" s="200"/>
      <c r="Q721" s="200"/>
      <c r="R721" s="200"/>
      <c r="S721" s="200"/>
      <c r="T721" s="66"/>
      <c r="U721" s="66"/>
      <c r="V721" s="66"/>
    </row>
    <row r="722" spans="1:22" s="64" customFormat="1" x14ac:dyDescent="0.25">
      <c r="A722" s="65" t="s">
        <v>1552</v>
      </c>
      <c r="B722" s="511" t="s">
        <v>1557</v>
      </c>
      <c r="C722" s="511"/>
      <c r="D722" s="511"/>
      <c r="E722" s="61" t="s">
        <v>1437</v>
      </c>
      <c r="F722" s="61" t="s">
        <v>54</v>
      </c>
      <c r="G722" s="61" t="s">
        <v>55</v>
      </c>
      <c r="H722" s="61"/>
      <c r="I722" s="61" t="s">
        <v>1366</v>
      </c>
      <c r="J722" s="62">
        <v>180</v>
      </c>
      <c r="K722" s="62">
        <v>200</v>
      </c>
      <c r="L722" s="62">
        <v>200</v>
      </c>
      <c r="M722" s="232">
        <v>255</v>
      </c>
      <c r="N722" s="55" t="s">
        <v>1590</v>
      </c>
      <c r="O722" s="61" t="s">
        <v>52</v>
      </c>
      <c r="P722" s="200"/>
      <c r="Q722" s="200"/>
      <c r="R722" s="200"/>
      <c r="S722" s="200"/>
      <c r="T722" s="66"/>
      <c r="U722" s="66"/>
      <c r="V722" s="66"/>
    </row>
    <row r="723" spans="1:22" s="64" customFormat="1" x14ac:dyDescent="0.25">
      <c r="A723" s="65" t="s">
        <v>1560</v>
      </c>
      <c r="B723" s="511" t="s">
        <v>1563</v>
      </c>
      <c r="C723" s="511"/>
      <c r="D723" s="511"/>
      <c r="E723" s="61" t="s">
        <v>1437</v>
      </c>
      <c r="F723" s="61" t="s">
        <v>54</v>
      </c>
      <c r="G723" s="61" t="s">
        <v>55</v>
      </c>
      <c r="H723" s="61"/>
      <c r="I723" s="61" t="s">
        <v>1366</v>
      </c>
      <c r="J723" s="62">
        <v>270</v>
      </c>
      <c r="K723" s="62">
        <v>300</v>
      </c>
      <c r="L723" s="62">
        <v>300</v>
      </c>
      <c r="M723" s="232">
        <v>385</v>
      </c>
      <c r="N723" s="55" t="s">
        <v>1590</v>
      </c>
      <c r="O723" s="61" t="s">
        <v>52</v>
      </c>
      <c r="P723" s="200"/>
      <c r="Q723" s="200"/>
      <c r="R723" s="200"/>
      <c r="S723" s="200"/>
      <c r="T723" s="66"/>
      <c r="U723" s="66"/>
      <c r="V723" s="66"/>
    </row>
    <row r="724" spans="1:22" s="64" customFormat="1" x14ac:dyDescent="0.25">
      <c r="A724" s="65" t="s">
        <v>1560</v>
      </c>
      <c r="B724" s="511" t="s">
        <v>1564</v>
      </c>
      <c r="C724" s="511"/>
      <c r="D724" s="511"/>
      <c r="E724" s="61" t="s">
        <v>1437</v>
      </c>
      <c r="F724" s="61" t="s">
        <v>54</v>
      </c>
      <c r="G724" s="61" t="s">
        <v>55</v>
      </c>
      <c r="H724" s="61"/>
      <c r="I724" s="61" t="s">
        <v>1366</v>
      </c>
      <c r="J724" s="62">
        <v>540</v>
      </c>
      <c r="K724" s="62">
        <v>600</v>
      </c>
      <c r="L724" s="62">
        <v>600</v>
      </c>
      <c r="M724" s="232">
        <v>760</v>
      </c>
      <c r="N724" s="55" t="s">
        <v>1590</v>
      </c>
      <c r="O724" s="61" t="s">
        <v>52</v>
      </c>
      <c r="P724" s="200"/>
      <c r="Q724" s="200"/>
      <c r="R724" s="200"/>
      <c r="S724" s="200"/>
      <c r="T724" s="66"/>
      <c r="U724" s="66"/>
      <c r="V724" s="66"/>
    </row>
    <row r="725" spans="1:22" s="64" customFormat="1" x14ac:dyDescent="0.25">
      <c r="A725" s="65" t="s">
        <v>1560</v>
      </c>
      <c r="B725" s="511" t="s">
        <v>1565</v>
      </c>
      <c r="C725" s="511"/>
      <c r="D725" s="511"/>
      <c r="E725" s="61" t="s">
        <v>1437</v>
      </c>
      <c r="F725" s="61" t="s">
        <v>54</v>
      </c>
      <c r="G725" s="61" t="s">
        <v>55</v>
      </c>
      <c r="H725" s="61"/>
      <c r="I725" s="61" t="s">
        <v>1366</v>
      </c>
      <c r="J725" s="62">
        <v>630</v>
      </c>
      <c r="K725" s="62">
        <v>700</v>
      </c>
      <c r="L725" s="62">
        <v>700</v>
      </c>
      <c r="M725" s="232">
        <v>890</v>
      </c>
      <c r="N725" s="55" t="s">
        <v>1590</v>
      </c>
      <c r="O725" s="61" t="s">
        <v>52</v>
      </c>
      <c r="P725" s="200"/>
      <c r="Q725" s="200"/>
      <c r="R725" s="200"/>
      <c r="S725" s="200"/>
      <c r="T725" s="66"/>
      <c r="U725" s="66"/>
      <c r="V725" s="66"/>
    </row>
    <row r="726" spans="1:22" s="64" customFormat="1" x14ac:dyDescent="0.25">
      <c r="A726" s="65" t="s">
        <v>1560</v>
      </c>
      <c r="B726" s="511" t="s">
        <v>1566</v>
      </c>
      <c r="C726" s="511"/>
      <c r="D726" s="511"/>
      <c r="E726" s="61" t="s">
        <v>1437</v>
      </c>
      <c r="F726" s="61" t="s">
        <v>54</v>
      </c>
      <c r="G726" s="61" t="s">
        <v>55</v>
      </c>
      <c r="H726" s="61"/>
      <c r="I726" s="61" t="s">
        <v>1366</v>
      </c>
      <c r="J726" s="62">
        <v>270</v>
      </c>
      <c r="K726" s="62">
        <v>300</v>
      </c>
      <c r="L726" s="62">
        <v>300</v>
      </c>
      <c r="M726" s="232">
        <v>385</v>
      </c>
      <c r="N726" s="55" t="s">
        <v>1590</v>
      </c>
      <c r="O726" s="61" t="s">
        <v>52</v>
      </c>
      <c r="P726" s="200"/>
      <c r="Q726" s="200"/>
      <c r="R726" s="200"/>
      <c r="S726" s="200"/>
      <c r="T726" s="66"/>
      <c r="U726" s="66"/>
      <c r="V726" s="66"/>
    </row>
    <row r="727" spans="1:22" s="64" customFormat="1" x14ac:dyDescent="0.25">
      <c r="A727" s="65" t="s">
        <v>1572</v>
      </c>
      <c r="B727" s="511" t="s">
        <v>1575</v>
      </c>
      <c r="C727" s="511"/>
      <c r="D727" s="511"/>
      <c r="E727" s="61" t="s">
        <v>1573</v>
      </c>
      <c r="F727" s="61" t="s">
        <v>54</v>
      </c>
      <c r="G727" s="61" t="s">
        <v>55</v>
      </c>
      <c r="H727" s="61"/>
      <c r="I727" s="61" t="s">
        <v>1366</v>
      </c>
      <c r="J727" s="62">
        <v>135</v>
      </c>
      <c r="K727" s="62">
        <v>150</v>
      </c>
      <c r="L727" s="62">
        <v>150</v>
      </c>
      <c r="M727" s="232">
        <v>190</v>
      </c>
      <c r="N727" s="55" t="s">
        <v>1590</v>
      </c>
      <c r="O727" s="61" t="s">
        <v>52</v>
      </c>
      <c r="P727" s="200"/>
      <c r="Q727" s="200"/>
      <c r="R727" s="200"/>
      <c r="S727" s="200"/>
      <c r="T727" s="66"/>
      <c r="U727" s="66"/>
      <c r="V727" s="66"/>
    </row>
    <row r="728" spans="1:22" s="64" customFormat="1" x14ac:dyDescent="0.25">
      <c r="A728" s="65" t="s">
        <v>1572</v>
      </c>
      <c r="B728" s="511" t="s">
        <v>1575</v>
      </c>
      <c r="C728" s="511"/>
      <c r="D728" s="511"/>
      <c r="E728" s="61" t="s">
        <v>1573</v>
      </c>
      <c r="F728" s="61" t="s">
        <v>481</v>
      </c>
      <c r="G728" s="61" t="s">
        <v>55</v>
      </c>
      <c r="H728" s="61"/>
      <c r="I728" s="61" t="s">
        <v>1366</v>
      </c>
      <c r="J728" s="62">
        <v>135</v>
      </c>
      <c r="K728" s="62">
        <v>150</v>
      </c>
      <c r="L728" s="62">
        <v>150</v>
      </c>
      <c r="M728" s="232">
        <v>190</v>
      </c>
      <c r="N728" s="55" t="s">
        <v>1590</v>
      </c>
      <c r="O728" s="61" t="s">
        <v>52</v>
      </c>
      <c r="P728" s="200"/>
      <c r="Q728" s="200"/>
      <c r="R728" s="200"/>
      <c r="S728" s="200"/>
      <c r="T728" s="66"/>
      <c r="U728" s="66"/>
      <c r="V728" s="66"/>
    </row>
    <row r="729" spans="1:22" s="64" customFormat="1" x14ac:dyDescent="0.25">
      <c r="A729" s="65" t="s">
        <v>1572</v>
      </c>
      <c r="B729" s="511" t="s">
        <v>1576</v>
      </c>
      <c r="C729" s="511"/>
      <c r="D729" s="511"/>
      <c r="E729" s="61" t="s">
        <v>1573</v>
      </c>
      <c r="F729" s="61" t="s">
        <v>54</v>
      </c>
      <c r="G729" s="61" t="s">
        <v>55</v>
      </c>
      <c r="H729" s="61"/>
      <c r="I729" s="61" t="s">
        <v>1366</v>
      </c>
      <c r="J729" s="62">
        <v>90</v>
      </c>
      <c r="K729" s="62">
        <v>100</v>
      </c>
      <c r="L729" s="62">
        <v>100</v>
      </c>
      <c r="M729" s="232">
        <v>130</v>
      </c>
      <c r="N729" s="55" t="s">
        <v>1590</v>
      </c>
      <c r="O729" s="61" t="s">
        <v>52</v>
      </c>
      <c r="P729" s="200"/>
      <c r="Q729" s="200"/>
      <c r="R729" s="200"/>
      <c r="S729" s="200"/>
      <c r="T729" s="66"/>
      <c r="U729" s="66"/>
      <c r="V729" s="66"/>
    </row>
    <row r="730" spans="1:22" s="64" customFormat="1" x14ac:dyDescent="0.25">
      <c r="A730" s="65" t="s">
        <v>1572</v>
      </c>
      <c r="B730" s="511" t="s">
        <v>1576</v>
      </c>
      <c r="C730" s="511"/>
      <c r="D730" s="511"/>
      <c r="E730" s="61" t="s">
        <v>1573</v>
      </c>
      <c r="F730" s="61" t="s">
        <v>481</v>
      </c>
      <c r="G730" s="61" t="s">
        <v>55</v>
      </c>
      <c r="H730" s="61"/>
      <c r="I730" s="61" t="s">
        <v>1366</v>
      </c>
      <c r="J730" s="62">
        <v>90</v>
      </c>
      <c r="K730" s="62">
        <v>100</v>
      </c>
      <c r="L730" s="62">
        <v>100</v>
      </c>
      <c r="M730" s="232">
        <v>130</v>
      </c>
      <c r="N730" s="55" t="s">
        <v>1590</v>
      </c>
      <c r="O730" s="61" t="s">
        <v>52</v>
      </c>
      <c r="P730" s="200"/>
      <c r="Q730" s="200"/>
      <c r="R730" s="200"/>
      <c r="S730" s="200"/>
      <c r="T730" s="66"/>
      <c r="U730" s="66"/>
      <c r="V730" s="66"/>
    </row>
    <row r="731" spans="1:22" s="64" customFormat="1" x14ac:dyDescent="0.25">
      <c r="A731" s="65" t="s">
        <v>1572</v>
      </c>
      <c r="B731" s="511" t="s">
        <v>1577</v>
      </c>
      <c r="C731" s="511"/>
      <c r="D731" s="511"/>
      <c r="E731" s="61" t="s">
        <v>1573</v>
      </c>
      <c r="F731" s="61" t="s">
        <v>481</v>
      </c>
      <c r="G731" s="61" t="s">
        <v>55</v>
      </c>
      <c r="H731" s="61"/>
      <c r="I731" s="61" t="s">
        <v>1366</v>
      </c>
      <c r="J731" s="62">
        <v>135</v>
      </c>
      <c r="K731" s="62">
        <v>150</v>
      </c>
      <c r="L731" s="62">
        <v>150</v>
      </c>
      <c r="M731" s="232">
        <v>190</v>
      </c>
      <c r="N731" s="55" t="s">
        <v>1590</v>
      </c>
      <c r="O731" s="61" t="s">
        <v>52</v>
      </c>
      <c r="P731" s="200"/>
      <c r="Q731" s="200"/>
      <c r="R731" s="200"/>
      <c r="S731" s="200"/>
      <c r="T731" s="66"/>
      <c r="U731" s="66"/>
      <c r="V731" s="66"/>
    </row>
    <row r="732" spans="1:22" s="64" customFormat="1" x14ac:dyDescent="0.25">
      <c r="A732" s="65" t="s">
        <v>1578</v>
      </c>
      <c r="B732" s="511" t="s">
        <v>1579</v>
      </c>
      <c r="C732" s="511"/>
      <c r="D732" s="511"/>
      <c r="E732" s="61" t="s">
        <v>1437</v>
      </c>
      <c r="F732" s="61" t="s">
        <v>54</v>
      </c>
      <c r="G732" s="61" t="s">
        <v>55</v>
      </c>
      <c r="H732" s="61"/>
      <c r="I732" s="61" t="s">
        <v>1366</v>
      </c>
      <c r="J732" s="62">
        <v>360</v>
      </c>
      <c r="K732" s="62">
        <v>400</v>
      </c>
      <c r="L732" s="62">
        <v>400</v>
      </c>
      <c r="M732" s="232">
        <v>510</v>
      </c>
      <c r="N732" s="55" t="s">
        <v>1590</v>
      </c>
      <c r="O732" s="61" t="s">
        <v>52</v>
      </c>
      <c r="P732" s="200"/>
      <c r="Q732" s="200"/>
      <c r="R732" s="200"/>
      <c r="S732" s="200"/>
      <c r="T732" s="66"/>
      <c r="U732" s="66"/>
      <c r="V732" s="66"/>
    </row>
    <row r="733" spans="1:22" s="64" customFormat="1" x14ac:dyDescent="0.25">
      <c r="A733" s="65" t="s">
        <v>1578</v>
      </c>
      <c r="B733" s="511" t="s">
        <v>1416</v>
      </c>
      <c r="C733" s="511"/>
      <c r="D733" s="511"/>
      <c r="E733" s="61" t="s">
        <v>1580</v>
      </c>
      <c r="F733" s="61" t="s">
        <v>481</v>
      </c>
      <c r="G733" s="61" t="s">
        <v>55</v>
      </c>
      <c r="H733" s="61"/>
      <c r="I733" s="61" t="s">
        <v>1366</v>
      </c>
      <c r="J733" s="62">
        <v>180</v>
      </c>
      <c r="K733" s="62">
        <v>200</v>
      </c>
      <c r="L733" s="62">
        <v>200</v>
      </c>
      <c r="M733" s="232">
        <v>255</v>
      </c>
      <c r="N733" s="55" t="s">
        <v>1590</v>
      </c>
      <c r="O733" s="61" t="s">
        <v>52</v>
      </c>
      <c r="P733" s="200"/>
      <c r="Q733" s="200"/>
      <c r="R733" s="200"/>
      <c r="S733" s="200"/>
      <c r="T733" s="66"/>
      <c r="U733" s="66"/>
      <c r="V733" s="66"/>
    </row>
    <row r="734" spans="1:22" s="64" customFormat="1" x14ac:dyDescent="0.25">
      <c r="A734" s="65" t="s">
        <v>1578</v>
      </c>
      <c r="B734" s="511" t="s">
        <v>1416</v>
      </c>
      <c r="C734" s="511"/>
      <c r="D734" s="511"/>
      <c r="E734" s="61" t="s">
        <v>1580</v>
      </c>
      <c r="F734" s="61" t="s">
        <v>58</v>
      </c>
      <c r="G734" s="61" t="s">
        <v>55</v>
      </c>
      <c r="H734" s="61"/>
      <c r="I734" s="61" t="s">
        <v>1366</v>
      </c>
      <c r="J734" s="62">
        <v>180</v>
      </c>
      <c r="K734" s="62">
        <v>200</v>
      </c>
      <c r="L734" s="62">
        <v>200</v>
      </c>
      <c r="M734" s="232">
        <v>255</v>
      </c>
      <c r="N734" s="55" t="s">
        <v>1590</v>
      </c>
      <c r="O734" s="61" t="s">
        <v>52</v>
      </c>
      <c r="P734" s="200"/>
      <c r="Q734" s="200"/>
      <c r="R734" s="200"/>
      <c r="S734" s="200"/>
      <c r="T734" s="66"/>
      <c r="U734" s="66"/>
      <c r="V734" s="66"/>
    </row>
    <row r="735" spans="1:22" s="64" customFormat="1" x14ac:dyDescent="0.25">
      <c r="A735" s="65" t="s">
        <v>1578</v>
      </c>
      <c r="B735" s="511" t="s">
        <v>1581</v>
      </c>
      <c r="C735" s="511"/>
      <c r="D735" s="511"/>
      <c r="E735" s="61" t="s">
        <v>1437</v>
      </c>
      <c r="F735" s="61" t="s">
        <v>54</v>
      </c>
      <c r="G735" s="61" t="s">
        <v>55</v>
      </c>
      <c r="H735" s="61"/>
      <c r="I735" s="61" t="s">
        <v>1366</v>
      </c>
      <c r="J735" s="62">
        <v>630</v>
      </c>
      <c r="K735" s="62">
        <v>700</v>
      </c>
      <c r="L735" s="62">
        <v>700</v>
      </c>
      <c r="M735" s="232">
        <v>890</v>
      </c>
      <c r="N735" s="55" t="s">
        <v>1590</v>
      </c>
      <c r="O735" s="61" t="s">
        <v>52</v>
      </c>
      <c r="P735" s="200"/>
      <c r="Q735" s="200"/>
      <c r="R735" s="200"/>
      <c r="S735" s="200"/>
      <c r="T735" s="66"/>
      <c r="U735" s="66"/>
      <c r="V735" s="66"/>
    </row>
    <row r="736" spans="1:22" s="64" customFormat="1" x14ac:dyDescent="0.25">
      <c r="A736" s="65" t="s">
        <v>1582</v>
      </c>
      <c r="B736" s="511" t="s">
        <v>1583</v>
      </c>
      <c r="C736" s="511"/>
      <c r="D736" s="511"/>
      <c r="E736" s="61" t="s">
        <v>1437</v>
      </c>
      <c r="F736" s="61" t="s">
        <v>54</v>
      </c>
      <c r="G736" s="61" t="s">
        <v>55</v>
      </c>
      <c r="H736" s="61"/>
      <c r="I736" s="61" t="s">
        <v>1366</v>
      </c>
      <c r="J736" s="62">
        <v>630</v>
      </c>
      <c r="K736" s="62">
        <v>700</v>
      </c>
      <c r="L736" s="62">
        <v>700</v>
      </c>
      <c r="M736" s="232">
        <v>890</v>
      </c>
      <c r="N736" s="55" t="s">
        <v>1590</v>
      </c>
      <c r="O736" s="61" t="s">
        <v>52</v>
      </c>
      <c r="P736" s="200"/>
      <c r="Q736" s="200"/>
      <c r="R736" s="200"/>
      <c r="S736" s="200"/>
      <c r="T736" s="66"/>
      <c r="U736" s="66"/>
      <c r="V736" s="66"/>
    </row>
    <row r="737" spans="1:22" s="64" customFormat="1" x14ac:dyDescent="0.25">
      <c r="A737" s="65" t="s">
        <v>1582</v>
      </c>
      <c r="B737" s="511" t="s">
        <v>1584</v>
      </c>
      <c r="C737" s="511"/>
      <c r="D737" s="511"/>
      <c r="E737" s="61" t="s">
        <v>1437</v>
      </c>
      <c r="F737" s="61" t="s">
        <v>54</v>
      </c>
      <c r="G737" s="61" t="s">
        <v>55</v>
      </c>
      <c r="H737" s="61"/>
      <c r="I737" s="61" t="s">
        <v>1366</v>
      </c>
      <c r="J737" s="62">
        <v>90</v>
      </c>
      <c r="K737" s="62">
        <v>100</v>
      </c>
      <c r="L737" s="62">
        <v>100</v>
      </c>
      <c r="M737" s="232">
        <v>130</v>
      </c>
      <c r="N737" s="55" t="s">
        <v>1590</v>
      </c>
      <c r="O737" s="61" t="s">
        <v>52</v>
      </c>
      <c r="P737" s="200"/>
      <c r="Q737" s="200"/>
      <c r="R737" s="200"/>
      <c r="S737" s="200"/>
      <c r="T737" s="66"/>
      <c r="U737" s="66"/>
      <c r="V737" s="66"/>
    </row>
    <row r="738" spans="1:22" s="64" customFormat="1" x14ac:dyDescent="0.25">
      <c r="A738" s="65" t="s">
        <v>1582</v>
      </c>
      <c r="B738" s="511" t="s">
        <v>1585</v>
      </c>
      <c r="C738" s="511"/>
      <c r="D738" s="511"/>
      <c r="E738" s="61" t="s">
        <v>1431</v>
      </c>
      <c r="F738" s="61" t="s">
        <v>54</v>
      </c>
      <c r="G738" s="61" t="s">
        <v>55</v>
      </c>
      <c r="H738" s="61"/>
      <c r="I738" s="61" t="s">
        <v>1366</v>
      </c>
      <c r="J738" s="62">
        <v>10</v>
      </c>
      <c r="K738" s="62">
        <v>10</v>
      </c>
      <c r="L738" s="62">
        <v>10</v>
      </c>
      <c r="M738" s="232">
        <v>15</v>
      </c>
      <c r="N738" s="55" t="s">
        <v>1590</v>
      </c>
      <c r="O738" s="61" t="s">
        <v>52</v>
      </c>
      <c r="P738" s="200"/>
      <c r="Q738" s="200"/>
      <c r="R738" s="200"/>
      <c r="S738" s="200"/>
      <c r="T738" s="66"/>
      <c r="U738" s="66"/>
      <c r="V738" s="66"/>
    </row>
    <row r="739" spans="1:22" s="64" customFormat="1" x14ac:dyDescent="0.25">
      <c r="A739" s="65" t="s">
        <v>1582</v>
      </c>
      <c r="B739" s="511" t="s">
        <v>1585</v>
      </c>
      <c r="C739" s="511"/>
      <c r="D739" s="511"/>
      <c r="E739" s="61" t="s">
        <v>1431</v>
      </c>
      <c r="F739" s="61" t="s">
        <v>389</v>
      </c>
      <c r="G739" s="61" t="s">
        <v>55</v>
      </c>
      <c r="H739" s="61"/>
      <c r="I739" s="61" t="s">
        <v>1366</v>
      </c>
      <c r="J739" s="62">
        <v>10</v>
      </c>
      <c r="K739" s="62">
        <v>10</v>
      </c>
      <c r="L739" s="62">
        <v>10</v>
      </c>
      <c r="M739" s="232">
        <v>15</v>
      </c>
      <c r="N739" s="55" t="s">
        <v>1590</v>
      </c>
      <c r="O739" s="61" t="s">
        <v>52</v>
      </c>
      <c r="P739" s="200"/>
      <c r="Q739" s="200"/>
      <c r="R739" s="200"/>
      <c r="S739" s="200"/>
      <c r="T739" s="66"/>
      <c r="U739" s="66"/>
      <c r="V739" s="66"/>
    </row>
    <row r="740" spans="1:22" s="64" customFormat="1" x14ac:dyDescent="0.25">
      <c r="A740" s="65" t="s">
        <v>1582</v>
      </c>
      <c r="B740" s="511" t="s">
        <v>1586</v>
      </c>
      <c r="C740" s="511"/>
      <c r="D740" s="511"/>
      <c r="E740" s="61" t="s">
        <v>1437</v>
      </c>
      <c r="F740" s="61" t="s">
        <v>54</v>
      </c>
      <c r="G740" s="61" t="s">
        <v>55</v>
      </c>
      <c r="H740" s="61"/>
      <c r="I740" s="61" t="s">
        <v>1366</v>
      </c>
      <c r="J740" s="62">
        <v>540</v>
      </c>
      <c r="K740" s="62">
        <v>600</v>
      </c>
      <c r="L740" s="62">
        <v>600</v>
      </c>
      <c r="M740" s="232">
        <v>760</v>
      </c>
      <c r="N740" s="55" t="s">
        <v>1590</v>
      </c>
      <c r="O740" s="61" t="s">
        <v>52</v>
      </c>
      <c r="P740" s="200"/>
      <c r="Q740" s="200"/>
      <c r="R740" s="200"/>
      <c r="S740" s="200"/>
      <c r="T740" s="66"/>
      <c r="U740" s="66"/>
      <c r="V740" s="66"/>
    </row>
    <row r="741" spans="1:22" s="64" customFormat="1" x14ac:dyDescent="0.25">
      <c r="A741" s="65" t="s">
        <v>1428</v>
      </c>
      <c r="B741" s="511" t="s">
        <v>1429</v>
      </c>
      <c r="C741" s="511"/>
      <c r="D741" s="511"/>
      <c r="E741" s="61" t="s">
        <v>1430</v>
      </c>
      <c r="F741" s="61" t="s">
        <v>54</v>
      </c>
      <c r="G741" s="61" t="s">
        <v>55</v>
      </c>
      <c r="H741" s="61"/>
      <c r="I741" s="61" t="s">
        <v>1366</v>
      </c>
      <c r="J741" s="62">
        <v>225</v>
      </c>
      <c r="K741" s="62">
        <v>250</v>
      </c>
      <c r="L741" s="62">
        <v>250</v>
      </c>
      <c r="M741" s="232">
        <v>320</v>
      </c>
      <c r="N741" s="55" t="s">
        <v>1591</v>
      </c>
      <c r="O741" s="61" t="s">
        <v>52</v>
      </c>
      <c r="P741" s="200"/>
      <c r="Q741" s="200"/>
      <c r="R741" s="200"/>
      <c r="S741" s="200"/>
      <c r="T741" s="66"/>
      <c r="U741" s="66"/>
      <c r="V741" s="66"/>
    </row>
    <row r="742" spans="1:22" s="64" customFormat="1" x14ac:dyDescent="0.25">
      <c r="A742" s="65" t="s">
        <v>1428</v>
      </c>
      <c r="B742" s="511" t="s">
        <v>1429</v>
      </c>
      <c r="C742" s="511"/>
      <c r="D742" s="511"/>
      <c r="E742" s="61" t="s">
        <v>1431</v>
      </c>
      <c r="F742" s="61" t="s">
        <v>389</v>
      </c>
      <c r="G742" s="61" t="s">
        <v>55</v>
      </c>
      <c r="H742" s="61"/>
      <c r="I742" s="61" t="s">
        <v>1366</v>
      </c>
      <c r="J742" s="62">
        <v>225</v>
      </c>
      <c r="K742" s="62">
        <v>250</v>
      </c>
      <c r="L742" s="62">
        <v>250</v>
      </c>
      <c r="M742" s="232">
        <v>320</v>
      </c>
      <c r="N742" s="55" t="s">
        <v>1591</v>
      </c>
      <c r="O742" s="61" t="s">
        <v>52</v>
      </c>
      <c r="P742" s="200"/>
      <c r="Q742" s="200"/>
      <c r="R742" s="200"/>
      <c r="S742" s="200"/>
      <c r="T742" s="66"/>
      <c r="U742" s="66"/>
      <c r="V742" s="66"/>
    </row>
    <row r="743" spans="1:22" s="64" customFormat="1" x14ac:dyDescent="0.25">
      <c r="A743" s="65" t="s">
        <v>1428</v>
      </c>
      <c r="B743" s="511" t="s">
        <v>1432</v>
      </c>
      <c r="C743" s="511"/>
      <c r="D743" s="511"/>
      <c r="E743" s="61" t="s">
        <v>1430</v>
      </c>
      <c r="F743" s="61" t="s">
        <v>54</v>
      </c>
      <c r="G743" s="61" t="s">
        <v>55</v>
      </c>
      <c r="H743" s="61"/>
      <c r="I743" s="61" t="s">
        <v>1366</v>
      </c>
      <c r="J743" s="62">
        <v>315</v>
      </c>
      <c r="K743" s="62">
        <v>350</v>
      </c>
      <c r="L743" s="62">
        <v>350</v>
      </c>
      <c r="M743" s="232">
        <v>445</v>
      </c>
      <c r="N743" s="55" t="s">
        <v>1591</v>
      </c>
      <c r="O743" s="61" t="s">
        <v>52</v>
      </c>
      <c r="P743" s="200"/>
      <c r="Q743" s="200"/>
      <c r="R743" s="200"/>
      <c r="S743" s="200"/>
      <c r="T743" s="66"/>
      <c r="U743" s="66"/>
      <c r="V743" s="66"/>
    </row>
    <row r="744" spans="1:22" s="64" customFormat="1" x14ac:dyDescent="0.25">
      <c r="A744" s="65" t="s">
        <v>1433</v>
      </c>
      <c r="B744" s="511" t="s">
        <v>1434</v>
      </c>
      <c r="C744" s="511"/>
      <c r="D744" s="511"/>
      <c r="E744" s="61" t="s">
        <v>1435</v>
      </c>
      <c r="F744" s="61" t="s">
        <v>54</v>
      </c>
      <c r="G744" s="61" t="s">
        <v>55</v>
      </c>
      <c r="H744" s="61"/>
      <c r="I744" s="61" t="s">
        <v>1366</v>
      </c>
      <c r="J744" s="62">
        <v>225</v>
      </c>
      <c r="K744" s="62">
        <v>250</v>
      </c>
      <c r="L744" s="62">
        <v>250</v>
      </c>
      <c r="M744" s="232">
        <v>320</v>
      </c>
      <c r="N744" s="55" t="s">
        <v>1591</v>
      </c>
      <c r="O744" s="61" t="s">
        <v>52</v>
      </c>
      <c r="P744" s="200"/>
      <c r="Q744" s="200"/>
      <c r="R744" s="200"/>
      <c r="S744" s="200"/>
      <c r="T744" s="66"/>
      <c r="U744" s="66"/>
      <c r="V744" s="66"/>
    </row>
    <row r="745" spans="1:22" s="64" customFormat="1" x14ac:dyDescent="0.25">
      <c r="A745" s="65" t="s">
        <v>1433</v>
      </c>
      <c r="B745" s="511" t="s">
        <v>1434</v>
      </c>
      <c r="C745" s="511"/>
      <c r="D745" s="511"/>
      <c r="E745" s="61" t="s">
        <v>1435</v>
      </c>
      <c r="F745" s="61" t="s">
        <v>389</v>
      </c>
      <c r="G745" s="61" t="s">
        <v>55</v>
      </c>
      <c r="H745" s="61"/>
      <c r="I745" s="61" t="s">
        <v>1366</v>
      </c>
      <c r="J745" s="62">
        <v>225</v>
      </c>
      <c r="K745" s="62">
        <v>250</v>
      </c>
      <c r="L745" s="62">
        <v>250</v>
      </c>
      <c r="M745" s="232">
        <v>320</v>
      </c>
      <c r="N745" s="55" t="s">
        <v>1591</v>
      </c>
      <c r="O745" s="61" t="s">
        <v>52</v>
      </c>
      <c r="P745" s="200"/>
      <c r="Q745" s="200"/>
      <c r="R745" s="200"/>
      <c r="S745" s="200"/>
      <c r="T745" s="66"/>
      <c r="U745" s="66"/>
      <c r="V745" s="66"/>
    </row>
    <row r="746" spans="1:22" s="64" customFormat="1" x14ac:dyDescent="0.25">
      <c r="A746" s="65" t="s">
        <v>1433</v>
      </c>
      <c r="B746" s="511" t="s">
        <v>1436</v>
      </c>
      <c r="C746" s="511"/>
      <c r="D746" s="511"/>
      <c r="E746" s="61" t="s">
        <v>1437</v>
      </c>
      <c r="F746" s="61" t="s">
        <v>54</v>
      </c>
      <c r="G746" s="61" t="s">
        <v>55</v>
      </c>
      <c r="H746" s="61"/>
      <c r="I746" s="61" t="s">
        <v>1366</v>
      </c>
      <c r="J746" s="62">
        <v>405</v>
      </c>
      <c r="K746" s="62">
        <v>450</v>
      </c>
      <c r="L746" s="62">
        <v>450</v>
      </c>
      <c r="M746" s="232">
        <v>570</v>
      </c>
      <c r="N746" s="55" t="s">
        <v>1591</v>
      </c>
      <c r="O746" s="61" t="s">
        <v>52</v>
      </c>
      <c r="P746" s="200"/>
      <c r="Q746" s="200"/>
      <c r="R746" s="200"/>
      <c r="S746" s="200"/>
      <c r="T746" s="66"/>
      <c r="U746" s="66"/>
      <c r="V746" s="66"/>
    </row>
    <row r="747" spans="1:22" s="64" customFormat="1" x14ac:dyDescent="0.25">
      <c r="A747" s="65" t="s">
        <v>1433</v>
      </c>
      <c r="B747" s="511" t="s">
        <v>1436</v>
      </c>
      <c r="C747" s="511"/>
      <c r="D747" s="511"/>
      <c r="E747" s="61" t="s">
        <v>1438</v>
      </c>
      <c r="F747" s="61" t="s">
        <v>389</v>
      </c>
      <c r="G747" s="61" t="s">
        <v>55</v>
      </c>
      <c r="H747" s="61"/>
      <c r="I747" s="61" t="s">
        <v>1366</v>
      </c>
      <c r="J747" s="62">
        <v>405</v>
      </c>
      <c r="K747" s="62">
        <v>450</v>
      </c>
      <c r="L747" s="62">
        <v>450</v>
      </c>
      <c r="M747" s="232">
        <v>570</v>
      </c>
      <c r="N747" s="55" t="s">
        <v>1591</v>
      </c>
      <c r="O747" s="61" t="s">
        <v>52</v>
      </c>
      <c r="P747" s="200"/>
      <c r="Q747" s="200"/>
      <c r="R747" s="200"/>
      <c r="S747" s="200"/>
      <c r="T747" s="66"/>
      <c r="U747" s="66"/>
      <c r="V747" s="66"/>
    </row>
    <row r="748" spans="1:22" s="64" customFormat="1" x14ac:dyDescent="0.25">
      <c r="A748" s="65" t="s">
        <v>1433</v>
      </c>
      <c r="B748" s="511" t="s">
        <v>1436</v>
      </c>
      <c r="C748" s="511"/>
      <c r="D748" s="511"/>
      <c r="E748" s="61" t="s">
        <v>1439</v>
      </c>
      <c r="F748" s="61" t="s">
        <v>389</v>
      </c>
      <c r="G748" s="61" t="s">
        <v>55</v>
      </c>
      <c r="H748" s="61"/>
      <c r="I748" s="61" t="s">
        <v>1366</v>
      </c>
      <c r="J748" s="62">
        <v>405</v>
      </c>
      <c r="K748" s="62">
        <v>450</v>
      </c>
      <c r="L748" s="62">
        <v>450</v>
      </c>
      <c r="M748" s="232">
        <v>570</v>
      </c>
      <c r="N748" s="55" t="s">
        <v>1591</v>
      </c>
      <c r="O748" s="61" t="s">
        <v>52</v>
      </c>
      <c r="P748" s="200"/>
      <c r="Q748" s="200"/>
      <c r="R748" s="200"/>
      <c r="S748" s="200"/>
      <c r="T748" s="66"/>
      <c r="U748" s="66"/>
      <c r="V748" s="66"/>
    </row>
    <row r="749" spans="1:22" s="64" customFormat="1" x14ac:dyDescent="0.25">
      <c r="A749" s="65" t="s">
        <v>1433</v>
      </c>
      <c r="B749" s="511" t="s">
        <v>1436</v>
      </c>
      <c r="C749" s="511"/>
      <c r="D749" s="511"/>
      <c r="E749" s="61" t="s">
        <v>1437</v>
      </c>
      <c r="F749" s="61" t="s">
        <v>389</v>
      </c>
      <c r="G749" s="61" t="s">
        <v>55</v>
      </c>
      <c r="H749" s="61"/>
      <c r="I749" s="61" t="s">
        <v>1366</v>
      </c>
      <c r="J749" s="62">
        <v>405</v>
      </c>
      <c r="K749" s="62">
        <v>450</v>
      </c>
      <c r="L749" s="62">
        <v>450</v>
      </c>
      <c r="M749" s="232">
        <v>570</v>
      </c>
      <c r="N749" s="55" t="s">
        <v>1591</v>
      </c>
      <c r="O749" s="61" t="s">
        <v>52</v>
      </c>
      <c r="P749" s="200"/>
      <c r="Q749" s="200"/>
      <c r="R749" s="200"/>
      <c r="S749" s="200"/>
      <c r="T749" s="66"/>
      <c r="U749" s="66"/>
      <c r="V749" s="66"/>
    </row>
    <row r="750" spans="1:22" s="64" customFormat="1" x14ac:dyDescent="0.25">
      <c r="A750" s="65" t="s">
        <v>1433</v>
      </c>
      <c r="B750" s="511" t="s">
        <v>1441</v>
      </c>
      <c r="C750" s="511"/>
      <c r="D750" s="511"/>
      <c r="E750" s="61" t="s">
        <v>1435</v>
      </c>
      <c r="F750" s="61" t="s">
        <v>54</v>
      </c>
      <c r="G750" s="61" t="s">
        <v>55</v>
      </c>
      <c r="H750" s="61"/>
      <c r="I750" s="61" t="s">
        <v>1366</v>
      </c>
      <c r="J750" s="62">
        <v>450</v>
      </c>
      <c r="K750" s="62">
        <v>500</v>
      </c>
      <c r="L750" s="62">
        <v>500</v>
      </c>
      <c r="M750" s="232">
        <v>635</v>
      </c>
      <c r="N750" s="55" t="s">
        <v>1591</v>
      </c>
      <c r="O750" s="61" t="s">
        <v>52</v>
      </c>
      <c r="P750" s="200"/>
      <c r="Q750" s="200"/>
      <c r="R750" s="200"/>
      <c r="S750" s="200"/>
      <c r="T750" s="66"/>
      <c r="U750" s="66"/>
      <c r="V750" s="66"/>
    </row>
    <row r="751" spans="1:22" s="64" customFormat="1" x14ac:dyDescent="0.25">
      <c r="A751" s="65" t="s">
        <v>1433</v>
      </c>
      <c r="B751" s="511" t="s">
        <v>1441</v>
      </c>
      <c r="C751" s="511"/>
      <c r="D751" s="511"/>
      <c r="E751" s="61" t="s">
        <v>1435</v>
      </c>
      <c r="F751" s="61" t="s">
        <v>389</v>
      </c>
      <c r="G751" s="61" t="s">
        <v>55</v>
      </c>
      <c r="H751" s="61"/>
      <c r="I751" s="61" t="s">
        <v>1366</v>
      </c>
      <c r="J751" s="62">
        <v>450</v>
      </c>
      <c r="K751" s="62">
        <v>500</v>
      </c>
      <c r="L751" s="62">
        <v>500</v>
      </c>
      <c r="M751" s="232">
        <v>635</v>
      </c>
      <c r="N751" s="55" t="s">
        <v>1591</v>
      </c>
      <c r="O751" s="61" t="s">
        <v>52</v>
      </c>
      <c r="P751" s="200"/>
      <c r="Q751" s="200"/>
      <c r="R751" s="200"/>
      <c r="S751" s="200"/>
      <c r="T751" s="66"/>
      <c r="U751" s="66"/>
      <c r="V751" s="66"/>
    </row>
    <row r="752" spans="1:22" s="64" customFormat="1" x14ac:dyDescent="0.25">
      <c r="A752" s="65" t="s">
        <v>1433</v>
      </c>
      <c r="B752" s="511" t="s">
        <v>1441</v>
      </c>
      <c r="C752" s="511"/>
      <c r="D752" s="511"/>
      <c r="E752" s="61" t="s">
        <v>1439</v>
      </c>
      <c r="F752" s="61" t="s">
        <v>56</v>
      </c>
      <c r="G752" s="61" t="s">
        <v>55</v>
      </c>
      <c r="H752" s="61"/>
      <c r="I752" s="61" t="s">
        <v>1366</v>
      </c>
      <c r="J752" s="62">
        <v>465</v>
      </c>
      <c r="K752" s="62">
        <v>590</v>
      </c>
      <c r="L752" s="62">
        <v>590</v>
      </c>
      <c r="M752" s="232"/>
      <c r="N752" s="55" t="s">
        <v>1591</v>
      </c>
      <c r="O752" s="61" t="s">
        <v>52</v>
      </c>
      <c r="P752" s="200"/>
      <c r="Q752" s="200"/>
      <c r="R752" s="200"/>
      <c r="S752" s="200"/>
      <c r="T752" s="66"/>
      <c r="U752" s="66"/>
      <c r="V752" s="66"/>
    </row>
    <row r="753" spans="1:22" s="64" customFormat="1" x14ac:dyDescent="0.25">
      <c r="A753" s="65" t="s">
        <v>1433</v>
      </c>
      <c r="B753" s="511" t="s">
        <v>1441</v>
      </c>
      <c r="C753" s="511"/>
      <c r="D753" s="511"/>
      <c r="E753" s="61" t="s">
        <v>1437</v>
      </c>
      <c r="F753" s="61" t="s">
        <v>56</v>
      </c>
      <c r="G753" s="61" t="s">
        <v>55</v>
      </c>
      <c r="H753" s="61"/>
      <c r="I753" s="61" t="s">
        <v>1366</v>
      </c>
      <c r="J753" s="62">
        <v>385</v>
      </c>
      <c r="K753" s="62">
        <v>575</v>
      </c>
      <c r="L753" s="62">
        <v>575</v>
      </c>
      <c r="M753" s="232"/>
      <c r="N753" s="55" t="s">
        <v>1591</v>
      </c>
      <c r="O753" s="61" t="s">
        <v>52</v>
      </c>
      <c r="P753" s="200"/>
      <c r="Q753" s="200"/>
      <c r="R753" s="200"/>
      <c r="S753" s="200"/>
      <c r="T753" s="66"/>
      <c r="U753" s="66"/>
      <c r="V753" s="66"/>
    </row>
    <row r="754" spans="1:22" s="64" customFormat="1" x14ac:dyDescent="0.25">
      <c r="A754" s="65" t="s">
        <v>1433</v>
      </c>
      <c r="B754" s="511" t="s">
        <v>1442</v>
      </c>
      <c r="C754" s="511"/>
      <c r="D754" s="511"/>
      <c r="E754" s="61" t="s">
        <v>1435</v>
      </c>
      <c r="F754" s="61" t="s">
        <v>54</v>
      </c>
      <c r="G754" s="61" t="s">
        <v>55</v>
      </c>
      <c r="H754" s="61"/>
      <c r="I754" s="61" t="s">
        <v>1366</v>
      </c>
      <c r="J754" s="62">
        <v>225</v>
      </c>
      <c r="K754" s="62">
        <v>250</v>
      </c>
      <c r="L754" s="62">
        <v>250</v>
      </c>
      <c r="M754" s="232">
        <v>320</v>
      </c>
      <c r="N754" s="55" t="s">
        <v>1591</v>
      </c>
      <c r="O754" s="61" t="s">
        <v>52</v>
      </c>
      <c r="P754" s="200"/>
      <c r="Q754" s="200"/>
      <c r="R754" s="200"/>
      <c r="S754" s="200"/>
      <c r="T754" s="66"/>
      <c r="U754" s="66"/>
      <c r="V754" s="66"/>
    </row>
    <row r="755" spans="1:22" s="64" customFormat="1" x14ac:dyDescent="0.25">
      <c r="A755" s="65" t="s">
        <v>1433</v>
      </c>
      <c r="B755" s="511" t="s">
        <v>1442</v>
      </c>
      <c r="C755" s="511"/>
      <c r="D755" s="511"/>
      <c r="E755" s="61" t="s">
        <v>1435</v>
      </c>
      <c r="F755" s="61" t="s">
        <v>389</v>
      </c>
      <c r="G755" s="61" t="s">
        <v>55</v>
      </c>
      <c r="H755" s="61"/>
      <c r="I755" s="61" t="s">
        <v>1366</v>
      </c>
      <c r="J755" s="62">
        <v>225</v>
      </c>
      <c r="K755" s="62">
        <v>250</v>
      </c>
      <c r="L755" s="62">
        <v>250</v>
      </c>
      <c r="M755" s="232">
        <v>320</v>
      </c>
      <c r="N755" s="55" t="s">
        <v>1591</v>
      </c>
      <c r="O755" s="61" t="s">
        <v>52</v>
      </c>
      <c r="P755" s="200"/>
      <c r="Q755" s="200"/>
      <c r="R755" s="200"/>
      <c r="S755" s="200"/>
      <c r="T755" s="66"/>
      <c r="U755" s="66"/>
      <c r="V755" s="66"/>
    </row>
    <row r="756" spans="1:22" s="64" customFormat="1" x14ac:dyDescent="0.25">
      <c r="A756" s="65" t="s">
        <v>1433</v>
      </c>
      <c r="B756" s="511" t="s">
        <v>1443</v>
      </c>
      <c r="C756" s="511"/>
      <c r="D756" s="511"/>
      <c r="E756" s="61" t="s">
        <v>1435</v>
      </c>
      <c r="F756" s="61" t="s">
        <v>54</v>
      </c>
      <c r="G756" s="61" t="s">
        <v>55</v>
      </c>
      <c r="H756" s="61"/>
      <c r="I756" s="61" t="s">
        <v>1366</v>
      </c>
      <c r="J756" s="62">
        <v>225</v>
      </c>
      <c r="K756" s="62">
        <v>250</v>
      </c>
      <c r="L756" s="62">
        <v>250</v>
      </c>
      <c r="M756" s="232">
        <v>320</v>
      </c>
      <c r="N756" s="55" t="s">
        <v>1591</v>
      </c>
      <c r="O756" s="61" t="s">
        <v>52</v>
      </c>
      <c r="P756" s="200"/>
      <c r="Q756" s="200"/>
      <c r="R756" s="200"/>
      <c r="S756" s="200"/>
      <c r="T756" s="66"/>
      <c r="U756" s="66"/>
      <c r="V756" s="66"/>
    </row>
    <row r="757" spans="1:22" s="64" customFormat="1" x14ac:dyDescent="0.25">
      <c r="A757" s="65" t="s">
        <v>1433</v>
      </c>
      <c r="B757" s="511" t="s">
        <v>1443</v>
      </c>
      <c r="C757" s="511"/>
      <c r="D757" s="511"/>
      <c r="E757" s="61" t="s">
        <v>1435</v>
      </c>
      <c r="F757" s="61" t="s">
        <v>389</v>
      </c>
      <c r="G757" s="61" t="s">
        <v>55</v>
      </c>
      <c r="H757" s="61"/>
      <c r="I757" s="61" t="s">
        <v>1366</v>
      </c>
      <c r="J757" s="62">
        <v>225</v>
      </c>
      <c r="K757" s="62">
        <v>250</v>
      </c>
      <c r="L757" s="62">
        <v>250</v>
      </c>
      <c r="M757" s="232">
        <v>320</v>
      </c>
      <c r="N757" s="55" t="s">
        <v>1591</v>
      </c>
      <c r="O757" s="61" t="s">
        <v>52</v>
      </c>
      <c r="P757" s="200"/>
      <c r="Q757" s="200"/>
      <c r="R757" s="200"/>
      <c r="S757" s="200"/>
      <c r="T757" s="66"/>
      <c r="U757" s="66"/>
      <c r="V757" s="66"/>
    </row>
    <row r="758" spans="1:22" s="64" customFormat="1" x14ac:dyDescent="0.25">
      <c r="A758" s="65" t="s">
        <v>1433</v>
      </c>
      <c r="B758" s="511" t="s">
        <v>1443</v>
      </c>
      <c r="C758" s="511"/>
      <c r="D758" s="511"/>
      <c r="E758" s="61" t="s">
        <v>1435</v>
      </c>
      <c r="F758" s="61" t="s">
        <v>56</v>
      </c>
      <c r="G758" s="61" t="s">
        <v>55</v>
      </c>
      <c r="H758" s="61"/>
      <c r="I758" s="61" t="s">
        <v>1366</v>
      </c>
      <c r="J758" s="62">
        <v>450</v>
      </c>
      <c r="K758" s="62">
        <v>620</v>
      </c>
      <c r="L758" s="62">
        <v>620</v>
      </c>
      <c r="M758" s="232">
        <v>360</v>
      </c>
      <c r="N758" s="55" t="s">
        <v>1591</v>
      </c>
      <c r="O758" s="61" t="s">
        <v>52</v>
      </c>
      <c r="P758" s="200"/>
      <c r="Q758" s="200"/>
      <c r="R758" s="200"/>
      <c r="S758" s="200"/>
      <c r="T758" s="66"/>
      <c r="U758" s="66"/>
      <c r="V758" s="66"/>
    </row>
    <row r="759" spans="1:22" s="64" customFormat="1" x14ac:dyDescent="0.25">
      <c r="A759" s="65" t="s">
        <v>1433</v>
      </c>
      <c r="B759" s="511" t="s">
        <v>1444</v>
      </c>
      <c r="C759" s="511"/>
      <c r="D759" s="511"/>
      <c r="E759" s="61" t="s">
        <v>1435</v>
      </c>
      <c r="F759" s="61" t="s">
        <v>56</v>
      </c>
      <c r="G759" s="61" t="s">
        <v>55</v>
      </c>
      <c r="H759" s="61"/>
      <c r="I759" s="61" t="s">
        <v>1366</v>
      </c>
      <c r="J759" s="62">
        <v>1115</v>
      </c>
      <c r="K759" s="62">
        <v>1970</v>
      </c>
      <c r="L759" s="62">
        <v>1970</v>
      </c>
      <c r="M759" s="232"/>
      <c r="N759" s="55" t="s">
        <v>1591</v>
      </c>
      <c r="O759" s="61" t="s">
        <v>52</v>
      </c>
      <c r="P759" s="200"/>
      <c r="Q759" s="200"/>
      <c r="R759" s="200"/>
      <c r="S759" s="200"/>
      <c r="T759" s="66"/>
      <c r="U759" s="66"/>
      <c r="V759" s="66"/>
    </row>
    <row r="760" spans="1:22" s="64" customFormat="1" x14ac:dyDescent="0.25">
      <c r="A760" s="65" t="s">
        <v>1433</v>
      </c>
      <c r="B760" s="511" t="s">
        <v>1445</v>
      </c>
      <c r="C760" s="511"/>
      <c r="D760" s="511"/>
      <c r="E760" s="61" t="s">
        <v>1435</v>
      </c>
      <c r="F760" s="61" t="s">
        <v>54</v>
      </c>
      <c r="G760" s="61" t="s">
        <v>55</v>
      </c>
      <c r="H760" s="61"/>
      <c r="I760" s="61" t="s">
        <v>1366</v>
      </c>
      <c r="J760" s="62">
        <v>360</v>
      </c>
      <c r="K760" s="62">
        <v>400</v>
      </c>
      <c r="L760" s="62">
        <v>400</v>
      </c>
      <c r="M760" s="232">
        <v>510</v>
      </c>
      <c r="N760" s="55" t="s">
        <v>1591</v>
      </c>
      <c r="O760" s="61" t="s">
        <v>52</v>
      </c>
      <c r="P760" s="200"/>
      <c r="Q760" s="200"/>
      <c r="R760" s="200"/>
      <c r="S760" s="200"/>
      <c r="T760" s="66"/>
      <c r="U760" s="66"/>
      <c r="V760" s="66"/>
    </row>
    <row r="761" spans="1:22" s="64" customFormat="1" x14ac:dyDescent="0.25">
      <c r="A761" s="65" t="s">
        <v>1433</v>
      </c>
      <c r="B761" s="511" t="s">
        <v>1445</v>
      </c>
      <c r="C761" s="511"/>
      <c r="D761" s="511"/>
      <c r="E761" s="61" t="s">
        <v>1435</v>
      </c>
      <c r="F761" s="61" t="s">
        <v>389</v>
      </c>
      <c r="G761" s="61" t="s">
        <v>55</v>
      </c>
      <c r="H761" s="61"/>
      <c r="I761" s="61" t="s">
        <v>1366</v>
      </c>
      <c r="J761" s="62">
        <v>360</v>
      </c>
      <c r="K761" s="62">
        <v>400</v>
      </c>
      <c r="L761" s="62">
        <v>400</v>
      </c>
      <c r="M761" s="232">
        <v>510</v>
      </c>
      <c r="N761" s="55" t="s">
        <v>1591</v>
      </c>
      <c r="O761" s="61" t="s">
        <v>52</v>
      </c>
      <c r="P761" s="200"/>
      <c r="Q761" s="200"/>
      <c r="R761" s="200"/>
      <c r="S761" s="200"/>
      <c r="T761" s="66"/>
      <c r="U761" s="66"/>
      <c r="V761" s="66"/>
    </row>
    <row r="762" spans="1:22" s="64" customFormat="1" x14ac:dyDescent="0.25">
      <c r="A762" s="65" t="s">
        <v>1433</v>
      </c>
      <c r="B762" s="511" t="s">
        <v>1446</v>
      </c>
      <c r="C762" s="511"/>
      <c r="D762" s="511"/>
      <c r="E762" s="61" t="s">
        <v>1435</v>
      </c>
      <c r="F762" s="61" t="s">
        <v>54</v>
      </c>
      <c r="G762" s="61" t="s">
        <v>55</v>
      </c>
      <c r="H762" s="61"/>
      <c r="I762" s="61" t="s">
        <v>1366</v>
      </c>
      <c r="J762" s="62">
        <v>585</v>
      </c>
      <c r="K762" s="62">
        <v>650</v>
      </c>
      <c r="L762" s="62">
        <v>650</v>
      </c>
      <c r="M762" s="232">
        <v>830</v>
      </c>
      <c r="N762" s="55" t="s">
        <v>1591</v>
      </c>
      <c r="O762" s="61" t="s">
        <v>52</v>
      </c>
      <c r="P762" s="200"/>
      <c r="Q762" s="200"/>
      <c r="R762" s="200"/>
      <c r="S762" s="200"/>
      <c r="T762" s="66"/>
      <c r="U762" s="66"/>
      <c r="V762" s="66"/>
    </row>
    <row r="763" spans="1:22" s="64" customFormat="1" x14ac:dyDescent="0.25">
      <c r="A763" s="65" t="s">
        <v>1433</v>
      </c>
      <c r="B763" s="511" t="s">
        <v>1446</v>
      </c>
      <c r="C763" s="511"/>
      <c r="D763" s="511"/>
      <c r="E763" s="61" t="s">
        <v>1435</v>
      </c>
      <c r="F763" s="61" t="s">
        <v>389</v>
      </c>
      <c r="G763" s="61" t="s">
        <v>55</v>
      </c>
      <c r="H763" s="61"/>
      <c r="I763" s="61" t="s">
        <v>1366</v>
      </c>
      <c r="J763" s="62">
        <v>585</v>
      </c>
      <c r="K763" s="62">
        <v>650</v>
      </c>
      <c r="L763" s="62">
        <v>650</v>
      </c>
      <c r="M763" s="232">
        <v>830</v>
      </c>
      <c r="N763" s="55" t="s">
        <v>1591</v>
      </c>
      <c r="O763" s="61" t="s">
        <v>52</v>
      </c>
      <c r="P763" s="200"/>
      <c r="Q763" s="200"/>
      <c r="R763" s="200"/>
      <c r="S763" s="200"/>
      <c r="T763" s="66"/>
      <c r="U763" s="66"/>
      <c r="V763" s="66"/>
    </row>
    <row r="764" spans="1:22" s="64" customFormat="1" x14ac:dyDescent="0.25">
      <c r="A764" s="65" t="s">
        <v>1433</v>
      </c>
      <c r="B764" s="511" t="s">
        <v>1446</v>
      </c>
      <c r="C764" s="511"/>
      <c r="D764" s="511"/>
      <c r="E764" s="61" t="s">
        <v>1447</v>
      </c>
      <c r="F764" s="61" t="s">
        <v>56</v>
      </c>
      <c r="G764" s="61" t="s">
        <v>55</v>
      </c>
      <c r="H764" s="61"/>
      <c r="I764" s="61" t="s">
        <v>1366</v>
      </c>
      <c r="J764" s="62">
        <v>800</v>
      </c>
      <c r="K764" s="62">
        <v>900</v>
      </c>
      <c r="L764" s="62">
        <v>900</v>
      </c>
      <c r="M764" s="232"/>
      <c r="N764" s="55" t="s">
        <v>1591</v>
      </c>
      <c r="O764" s="61" t="s">
        <v>52</v>
      </c>
      <c r="P764" s="200"/>
      <c r="Q764" s="200"/>
      <c r="R764" s="200"/>
      <c r="S764" s="200"/>
      <c r="T764" s="66"/>
      <c r="U764" s="66"/>
      <c r="V764" s="66"/>
    </row>
    <row r="765" spans="1:22" s="64" customFormat="1" x14ac:dyDescent="0.25">
      <c r="A765" s="65" t="s">
        <v>1433</v>
      </c>
      <c r="B765" s="511" t="s">
        <v>1448</v>
      </c>
      <c r="C765" s="511"/>
      <c r="D765" s="511"/>
      <c r="E765" s="61" t="s">
        <v>1435</v>
      </c>
      <c r="F765" s="61" t="s">
        <v>56</v>
      </c>
      <c r="G765" s="61" t="s">
        <v>55</v>
      </c>
      <c r="H765" s="61"/>
      <c r="I765" s="61" t="s">
        <v>1366</v>
      </c>
      <c r="J765" s="62">
        <v>440</v>
      </c>
      <c r="K765" s="62">
        <v>505</v>
      </c>
      <c r="L765" s="62">
        <v>505</v>
      </c>
      <c r="M765" s="232"/>
      <c r="N765" s="55" t="s">
        <v>1591</v>
      </c>
      <c r="O765" s="61" t="s">
        <v>52</v>
      </c>
      <c r="P765" s="200"/>
      <c r="Q765" s="200"/>
      <c r="R765" s="200"/>
      <c r="S765" s="200"/>
      <c r="T765" s="66"/>
      <c r="U765" s="66"/>
      <c r="V765" s="66"/>
    </row>
    <row r="766" spans="1:22" s="64" customFormat="1" x14ac:dyDescent="0.25">
      <c r="A766" s="65" t="s">
        <v>1433</v>
      </c>
      <c r="B766" s="511" t="s">
        <v>1449</v>
      </c>
      <c r="C766" s="511"/>
      <c r="D766" s="511"/>
      <c r="E766" s="61" t="s">
        <v>1435</v>
      </c>
      <c r="F766" s="61" t="s">
        <v>54</v>
      </c>
      <c r="G766" s="61" t="s">
        <v>55</v>
      </c>
      <c r="H766" s="61"/>
      <c r="I766" s="61" t="s">
        <v>1366</v>
      </c>
      <c r="J766" s="62">
        <v>45</v>
      </c>
      <c r="K766" s="62">
        <v>50</v>
      </c>
      <c r="L766" s="62">
        <v>50</v>
      </c>
      <c r="M766" s="232">
        <v>65</v>
      </c>
      <c r="N766" s="55" t="s">
        <v>1591</v>
      </c>
      <c r="O766" s="61" t="s">
        <v>52</v>
      </c>
      <c r="P766" s="200"/>
      <c r="Q766" s="200"/>
      <c r="R766" s="200"/>
      <c r="S766" s="200"/>
      <c r="T766" s="66"/>
      <c r="U766" s="66"/>
      <c r="V766" s="66"/>
    </row>
    <row r="767" spans="1:22" s="64" customFormat="1" x14ac:dyDescent="0.25">
      <c r="A767" s="65" t="s">
        <v>1433</v>
      </c>
      <c r="B767" s="511" t="s">
        <v>1450</v>
      </c>
      <c r="C767" s="511"/>
      <c r="D767" s="511"/>
      <c r="E767" s="61" t="s">
        <v>1437</v>
      </c>
      <c r="F767" s="61" t="s">
        <v>54</v>
      </c>
      <c r="G767" s="61" t="s">
        <v>55</v>
      </c>
      <c r="H767" s="61"/>
      <c r="I767" s="61" t="s">
        <v>1366</v>
      </c>
      <c r="J767" s="62">
        <v>135</v>
      </c>
      <c r="K767" s="62">
        <v>150</v>
      </c>
      <c r="L767" s="62">
        <v>150</v>
      </c>
      <c r="M767" s="232">
        <v>190</v>
      </c>
      <c r="N767" s="55" t="s">
        <v>1591</v>
      </c>
      <c r="O767" s="61" t="s">
        <v>52</v>
      </c>
      <c r="P767" s="200"/>
      <c r="Q767" s="200"/>
      <c r="R767" s="200"/>
      <c r="S767" s="200"/>
      <c r="T767" s="66"/>
      <c r="U767" s="66"/>
      <c r="V767" s="66"/>
    </row>
    <row r="768" spans="1:22" s="64" customFormat="1" x14ac:dyDescent="0.25">
      <c r="A768" s="65" t="s">
        <v>1433</v>
      </c>
      <c r="B768" s="511" t="s">
        <v>1450</v>
      </c>
      <c r="C768" s="511"/>
      <c r="D768" s="511"/>
      <c r="E768" s="61" t="s">
        <v>1438</v>
      </c>
      <c r="F768" s="61" t="s">
        <v>389</v>
      </c>
      <c r="G768" s="61" t="s">
        <v>55</v>
      </c>
      <c r="H768" s="61"/>
      <c r="I768" s="61" t="s">
        <v>1366</v>
      </c>
      <c r="J768" s="62">
        <v>135</v>
      </c>
      <c r="K768" s="62">
        <v>150</v>
      </c>
      <c r="L768" s="62">
        <v>150</v>
      </c>
      <c r="M768" s="232">
        <v>190</v>
      </c>
      <c r="N768" s="55" t="s">
        <v>1591</v>
      </c>
      <c r="O768" s="61" t="s">
        <v>52</v>
      </c>
      <c r="P768" s="200"/>
      <c r="Q768" s="200"/>
      <c r="R768" s="200"/>
      <c r="S768" s="200"/>
      <c r="T768" s="66"/>
      <c r="U768" s="66"/>
      <c r="V768" s="66"/>
    </row>
    <row r="769" spans="1:22" s="64" customFormat="1" x14ac:dyDescent="0.25">
      <c r="A769" s="65" t="s">
        <v>1433</v>
      </c>
      <c r="B769" s="511" t="s">
        <v>1450</v>
      </c>
      <c r="C769" s="511"/>
      <c r="D769" s="511"/>
      <c r="E769" s="61" t="s">
        <v>1439</v>
      </c>
      <c r="F769" s="61" t="s">
        <v>389</v>
      </c>
      <c r="G769" s="61" t="s">
        <v>55</v>
      </c>
      <c r="H769" s="61"/>
      <c r="I769" s="61" t="s">
        <v>1366</v>
      </c>
      <c r="J769" s="62">
        <v>135</v>
      </c>
      <c r="K769" s="62">
        <v>150</v>
      </c>
      <c r="L769" s="62">
        <v>150</v>
      </c>
      <c r="M769" s="232">
        <v>190</v>
      </c>
      <c r="N769" s="55" t="s">
        <v>1591</v>
      </c>
      <c r="O769" s="61" t="s">
        <v>52</v>
      </c>
      <c r="P769" s="200"/>
      <c r="Q769" s="200"/>
      <c r="R769" s="200"/>
      <c r="S769" s="200"/>
      <c r="T769" s="66"/>
      <c r="U769" s="66"/>
      <c r="V769" s="66"/>
    </row>
    <row r="770" spans="1:22" s="64" customFormat="1" x14ac:dyDescent="0.25">
      <c r="A770" s="65" t="s">
        <v>1433</v>
      </c>
      <c r="B770" s="511" t="s">
        <v>1450</v>
      </c>
      <c r="C770" s="511"/>
      <c r="D770" s="511"/>
      <c r="E770" s="61" t="s">
        <v>1437</v>
      </c>
      <c r="F770" s="61" t="s">
        <v>389</v>
      </c>
      <c r="G770" s="61" t="s">
        <v>55</v>
      </c>
      <c r="H770" s="61"/>
      <c r="I770" s="61" t="s">
        <v>1366</v>
      </c>
      <c r="J770" s="62">
        <v>135</v>
      </c>
      <c r="K770" s="62">
        <v>150</v>
      </c>
      <c r="L770" s="62">
        <v>150</v>
      </c>
      <c r="M770" s="232">
        <v>190</v>
      </c>
      <c r="N770" s="55" t="s">
        <v>1591</v>
      </c>
      <c r="O770" s="61" t="s">
        <v>52</v>
      </c>
      <c r="P770" s="200"/>
      <c r="Q770" s="200"/>
      <c r="R770" s="200"/>
      <c r="S770" s="200"/>
      <c r="T770" s="66"/>
      <c r="U770" s="66"/>
      <c r="V770" s="66"/>
    </row>
    <row r="771" spans="1:22" s="64" customFormat="1" x14ac:dyDescent="0.25">
      <c r="A771" s="65" t="s">
        <v>1433</v>
      </c>
      <c r="B771" s="511" t="s">
        <v>1450</v>
      </c>
      <c r="C771" s="511"/>
      <c r="D771" s="511"/>
      <c r="E771" s="61" t="s">
        <v>1437</v>
      </c>
      <c r="F771" s="61" t="s">
        <v>56</v>
      </c>
      <c r="G771" s="61" t="s">
        <v>55</v>
      </c>
      <c r="H771" s="61"/>
      <c r="I771" s="61" t="s">
        <v>1366</v>
      </c>
      <c r="J771" s="62">
        <v>230</v>
      </c>
      <c r="K771" s="62">
        <v>255</v>
      </c>
      <c r="L771" s="62">
        <v>255</v>
      </c>
      <c r="M771" s="232">
        <v>200</v>
      </c>
      <c r="N771" s="55" t="s">
        <v>1591</v>
      </c>
      <c r="O771" s="61" t="s">
        <v>52</v>
      </c>
      <c r="P771" s="200"/>
      <c r="Q771" s="200"/>
      <c r="R771" s="200"/>
      <c r="S771" s="200"/>
      <c r="T771" s="66"/>
      <c r="U771" s="66"/>
      <c r="V771" s="66"/>
    </row>
    <row r="772" spans="1:22" s="64" customFormat="1" x14ac:dyDescent="0.25">
      <c r="A772" s="65" t="s">
        <v>1433</v>
      </c>
      <c r="B772" s="511" t="s">
        <v>1451</v>
      </c>
      <c r="C772" s="511"/>
      <c r="D772" s="511"/>
      <c r="E772" s="61" t="s">
        <v>1437</v>
      </c>
      <c r="F772" s="61" t="s">
        <v>54</v>
      </c>
      <c r="G772" s="61" t="s">
        <v>55</v>
      </c>
      <c r="H772" s="61"/>
      <c r="I772" s="61" t="s">
        <v>1366</v>
      </c>
      <c r="J772" s="62">
        <v>405</v>
      </c>
      <c r="K772" s="62">
        <v>450</v>
      </c>
      <c r="L772" s="62">
        <v>450</v>
      </c>
      <c r="M772" s="232">
        <v>570</v>
      </c>
      <c r="N772" s="55" t="s">
        <v>1591</v>
      </c>
      <c r="O772" s="61" t="s">
        <v>52</v>
      </c>
      <c r="P772" s="200"/>
      <c r="Q772" s="200"/>
      <c r="R772" s="200"/>
      <c r="S772" s="200"/>
      <c r="T772" s="66"/>
      <c r="U772" s="66"/>
      <c r="V772" s="66"/>
    </row>
    <row r="773" spans="1:22" s="64" customFormat="1" x14ac:dyDescent="0.25">
      <c r="A773" s="65" t="s">
        <v>1433</v>
      </c>
      <c r="B773" s="511" t="s">
        <v>1451</v>
      </c>
      <c r="C773" s="511"/>
      <c r="D773" s="511"/>
      <c r="E773" s="61" t="s">
        <v>1438</v>
      </c>
      <c r="F773" s="61" t="s">
        <v>389</v>
      </c>
      <c r="G773" s="61" t="s">
        <v>55</v>
      </c>
      <c r="H773" s="61"/>
      <c r="I773" s="61" t="s">
        <v>1366</v>
      </c>
      <c r="J773" s="62">
        <v>405</v>
      </c>
      <c r="K773" s="62">
        <v>450</v>
      </c>
      <c r="L773" s="62">
        <v>450</v>
      </c>
      <c r="M773" s="232">
        <v>570</v>
      </c>
      <c r="N773" s="55" t="s">
        <v>1591</v>
      </c>
      <c r="O773" s="61" t="s">
        <v>52</v>
      </c>
      <c r="P773" s="200"/>
      <c r="Q773" s="200"/>
      <c r="R773" s="200"/>
      <c r="S773" s="200"/>
      <c r="T773" s="66"/>
      <c r="U773" s="66"/>
      <c r="V773" s="66"/>
    </row>
    <row r="774" spans="1:22" s="64" customFormat="1" x14ac:dyDescent="0.25">
      <c r="A774" s="65" t="s">
        <v>1433</v>
      </c>
      <c r="B774" s="511" t="s">
        <v>1451</v>
      </c>
      <c r="C774" s="511"/>
      <c r="D774" s="511"/>
      <c r="E774" s="61" t="s">
        <v>1439</v>
      </c>
      <c r="F774" s="61" t="s">
        <v>389</v>
      </c>
      <c r="G774" s="61" t="s">
        <v>55</v>
      </c>
      <c r="H774" s="61"/>
      <c r="I774" s="61" t="s">
        <v>1366</v>
      </c>
      <c r="J774" s="62">
        <v>405</v>
      </c>
      <c r="K774" s="62">
        <v>450</v>
      </c>
      <c r="L774" s="62">
        <v>450</v>
      </c>
      <c r="M774" s="232">
        <v>570</v>
      </c>
      <c r="N774" s="55" t="s">
        <v>1591</v>
      </c>
      <c r="O774" s="61" t="s">
        <v>52</v>
      </c>
      <c r="P774" s="200"/>
      <c r="Q774" s="200"/>
      <c r="R774" s="200"/>
      <c r="S774" s="200"/>
      <c r="T774" s="66"/>
      <c r="U774" s="66"/>
      <c r="V774" s="66"/>
    </row>
    <row r="775" spans="1:22" s="64" customFormat="1" x14ac:dyDescent="0.25">
      <c r="A775" s="65" t="s">
        <v>1433</v>
      </c>
      <c r="B775" s="511" t="s">
        <v>1451</v>
      </c>
      <c r="C775" s="511"/>
      <c r="D775" s="511"/>
      <c r="E775" s="61" t="s">
        <v>1437</v>
      </c>
      <c r="F775" s="61" t="s">
        <v>389</v>
      </c>
      <c r="G775" s="61" t="s">
        <v>55</v>
      </c>
      <c r="H775" s="61"/>
      <c r="I775" s="61" t="s">
        <v>1366</v>
      </c>
      <c r="J775" s="62">
        <v>405</v>
      </c>
      <c r="K775" s="62">
        <v>450</v>
      </c>
      <c r="L775" s="62">
        <v>450</v>
      </c>
      <c r="M775" s="232">
        <v>570</v>
      </c>
      <c r="N775" s="55" t="s">
        <v>1591</v>
      </c>
      <c r="O775" s="61" t="s">
        <v>52</v>
      </c>
      <c r="P775" s="200"/>
      <c r="Q775" s="200"/>
      <c r="R775" s="200"/>
      <c r="S775" s="200"/>
      <c r="T775" s="66"/>
      <c r="U775" s="66"/>
      <c r="V775" s="66"/>
    </row>
    <row r="776" spans="1:22" s="64" customFormat="1" x14ac:dyDescent="0.25">
      <c r="A776" s="65" t="s">
        <v>1433</v>
      </c>
      <c r="B776" s="511" t="s">
        <v>1452</v>
      </c>
      <c r="C776" s="511"/>
      <c r="D776" s="511"/>
      <c r="E776" s="61" t="s">
        <v>1435</v>
      </c>
      <c r="F776" s="61" t="s">
        <v>54</v>
      </c>
      <c r="G776" s="61" t="s">
        <v>55</v>
      </c>
      <c r="H776" s="61"/>
      <c r="I776" s="61" t="s">
        <v>1366</v>
      </c>
      <c r="J776" s="62">
        <v>675</v>
      </c>
      <c r="K776" s="62">
        <v>750</v>
      </c>
      <c r="L776" s="62">
        <v>750</v>
      </c>
      <c r="M776" s="232">
        <v>955</v>
      </c>
      <c r="N776" s="55" t="s">
        <v>1591</v>
      </c>
      <c r="O776" s="61" t="s">
        <v>52</v>
      </c>
      <c r="P776" s="200"/>
      <c r="Q776" s="200"/>
      <c r="R776" s="200"/>
      <c r="S776" s="200"/>
      <c r="T776" s="66"/>
      <c r="U776" s="66"/>
      <c r="V776" s="66"/>
    </row>
    <row r="777" spans="1:22" s="64" customFormat="1" x14ac:dyDescent="0.25">
      <c r="A777" s="65" t="s">
        <v>1433</v>
      </c>
      <c r="B777" s="511" t="s">
        <v>1452</v>
      </c>
      <c r="C777" s="511"/>
      <c r="D777" s="511"/>
      <c r="E777" s="61" t="s">
        <v>1435</v>
      </c>
      <c r="F777" s="61" t="s">
        <v>389</v>
      </c>
      <c r="G777" s="61" t="s">
        <v>55</v>
      </c>
      <c r="H777" s="61"/>
      <c r="I777" s="61" t="s">
        <v>1366</v>
      </c>
      <c r="J777" s="62">
        <v>675</v>
      </c>
      <c r="K777" s="62">
        <v>750</v>
      </c>
      <c r="L777" s="62">
        <v>750</v>
      </c>
      <c r="M777" s="232">
        <v>955</v>
      </c>
      <c r="N777" s="55" t="s">
        <v>1591</v>
      </c>
      <c r="O777" s="61" t="s">
        <v>52</v>
      </c>
      <c r="P777" s="200"/>
      <c r="Q777" s="200"/>
      <c r="R777" s="200"/>
      <c r="S777" s="200"/>
      <c r="T777" s="66"/>
      <c r="U777" s="66"/>
      <c r="V777" s="66"/>
    </row>
    <row r="778" spans="1:22" s="64" customFormat="1" x14ac:dyDescent="0.25">
      <c r="A778" s="65" t="s">
        <v>1433</v>
      </c>
      <c r="B778" s="511" t="s">
        <v>1453</v>
      </c>
      <c r="C778" s="511"/>
      <c r="D778" s="511"/>
      <c r="E778" s="61" t="s">
        <v>1437</v>
      </c>
      <c r="F778" s="61" t="s">
        <v>54</v>
      </c>
      <c r="G778" s="61" t="s">
        <v>55</v>
      </c>
      <c r="H778" s="61"/>
      <c r="I778" s="61" t="s">
        <v>1366</v>
      </c>
      <c r="J778" s="62">
        <v>90</v>
      </c>
      <c r="K778" s="62">
        <v>100</v>
      </c>
      <c r="L778" s="62">
        <v>100</v>
      </c>
      <c r="M778" s="232">
        <v>130</v>
      </c>
      <c r="N778" s="55" t="s">
        <v>1591</v>
      </c>
      <c r="O778" s="61" t="s">
        <v>52</v>
      </c>
      <c r="P778" s="200"/>
      <c r="Q778" s="200"/>
      <c r="R778" s="200"/>
      <c r="S778" s="200"/>
      <c r="T778" s="66"/>
      <c r="U778" s="66"/>
      <c r="V778" s="66"/>
    </row>
    <row r="779" spans="1:22" s="64" customFormat="1" x14ac:dyDescent="0.25">
      <c r="A779" s="65" t="s">
        <v>1433</v>
      </c>
      <c r="B779" s="511" t="s">
        <v>1454</v>
      </c>
      <c r="C779" s="511"/>
      <c r="D779" s="511"/>
      <c r="E779" s="61" t="s">
        <v>1439</v>
      </c>
      <c r="F779" s="61" t="s">
        <v>56</v>
      </c>
      <c r="G779" s="61" t="s">
        <v>55</v>
      </c>
      <c r="H779" s="61"/>
      <c r="I779" s="61" t="s">
        <v>1366</v>
      </c>
      <c r="J779" s="62">
        <v>535</v>
      </c>
      <c r="K779" s="62">
        <v>685</v>
      </c>
      <c r="L779" s="62">
        <v>685</v>
      </c>
      <c r="M779" s="232"/>
      <c r="N779" s="55" t="s">
        <v>1591</v>
      </c>
      <c r="O779" s="61" t="s">
        <v>52</v>
      </c>
      <c r="P779" s="200"/>
      <c r="Q779" s="200"/>
      <c r="R779" s="200"/>
      <c r="S779" s="200"/>
      <c r="T779" s="66"/>
      <c r="U779" s="66"/>
      <c r="V779" s="66"/>
    </row>
    <row r="780" spans="1:22" s="64" customFormat="1" x14ac:dyDescent="0.25">
      <c r="A780" s="65" t="s">
        <v>1433</v>
      </c>
      <c r="B780" s="511" t="s">
        <v>1454</v>
      </c>
      <c r="C780" s="511"/>
      <c r="D780" s="511"/>
      <c r="E780" s="61" t="s">
        <v>1455</v>
      </c>
      <c r="F780" s="61" t="s">
        <v>56</v>
      </c>
      <c r="G780" s="61" t="s">
        <v>55</v>
      </c>
      <c r="H780" s="61"/>
      <c r="I780" s="61" t="s">
        <v>1366</v>
      </c>
      <c r="J780" s="62">
        <v>505</v>
      </c>
      <c r="K780" s="62">
        <v>510</v>
      </c>
      <c r="L780" s="62">
        <v>510</v>
      </c>
      <c r="M780" s="232"/>
      <c r="N780" s="55" t="s">
        <v>1591</v>
      </c>
      <c r="O780" s="61" t="s">
        <v>52</v>
      </c>
      <c r="P780" s="200"/>
      <c r="Q780" s="200"/>
      <c r="R780" s="200"/>
      <c r="S780" s="200"/>
      <c r="T780" s="66"/>
      <c r="U780" s="66"/>
      <c r="V780" s="66"/>
    </row>
    <row r="781" spans="1:22" s="64" customFormat="1" x14ac:dyDescent="0.25">
      <c r="A781" s="65" t="s">
        <v>1433</v>
      </c>
      <c r="B781" s="511" t="s">
        <v>1454</v>
      </c>
      <c r="C781" s="511"/>
      <c r="D781" s="511"/>
      <c r="E781" s="61" t="s">
        <v>1437</v>
      </c>
      <c r="F781" s="61" t="s">
        <v>56</v>
      </c>
      <c r="G781" s="61" t="s">
        <v>55</v>
      </c>
      <c r="H781" s="61"/>
      <c r="I781" s="61" t="s">
        <v>1366</v>
      </c>
      <c r="J781" s="62">
        <v>445</v>
      </c>
      <c r="K781" s="62">
        <v>595</v>
      </c>
      <c r="L781" s="62">
        <v>595</v>
      </c>
      <c r="M781" s="232"/>
      <c r="N781" s="55" t="s">
        <v>1591</v>
      </c>
      <c r="O781" s="61" t="s">
        <v>52</v>
      </c>
      <c r="P781" s="200"/>
      <c r="Q781" s="200"/>
      <c r="R781" s="200"/>
      <c r="S781" s="200"/>
      <c r="T781" s="66"/>
      <c r="U781" s="66"/>
      <c r="V781" s="66"/>
    </row>
    <row r="782" spans="1:22" s="64" customFormat="1" x14ac:dyDescent="0.25">
      <c r="A782" s="65" t="s">
        <v>1433</v>
      </c>
      <c r="B782" s="511" t="s">
        <v>1456</v>
      </c>
      <c r="C782" s="511"/>
      <c r="D782" s="511"/>
      <c r="E782" s="61" t="s">
        <v>1437</v>
      </c>
      <c r="F782" s="61" t="s">
        <v>54</v>
      </c>
      <c r="G782" s="61" t="s">
        <v>55</v>
      </c>
      <c r="H782" s="61"/>
      <c r="I782" s="61" t="s">
        <v>1366</v>
      </c>
      <c r="J782" s="62">
        <v>180</v>
      </c>
      <c r="K782" s="62">
        <v>200</v>
      </c>
      <c r="L782" s="62">
        <v>200</v>
      </c>
      <c r="M782" s="232">
        <v>255</v>
      </c>
      <c r="N782" s="55" t="s">
        <v>1591</v>
      </c>
      <c r="O782" s="61" t="s">
        <v>52</v>
      </c>
      <c r="P782" s="200"/>
      <c r="Q782" s="200"/>
      <c r="R782" s="200"/>
      <c r="S782" s="200"/>
      <c r="T782" s="66"/>
      <c r="U782" s="66"/>
      <c r="V782" s="66"/>
    </row>
    <row r="783" spans="1:22" s="64" customFormat="1" x14ac:dyDescent="0.25">
      <c r="A783" s="65" t="s">
        <v>1433</v>
      </c>
      <c r="B783" s="511" t="s">
        <v>1456</v>
      </c>
      <c r="C783" s="511"/>
      <c r="D783" s="511"/>
      <c r="E783" s="61" t="s">
        <v>1438</v>
      </c>
      <c r="F783" s="61" t="s">
        <v>389</v>
      </c>
      <c r="G783" s="61" t="s">
        <v>55</v>
      </c>
      <c r="H783" s="61"/>
      <c r="I783" s="61" t="s">
        <v>1366</v>
      </c>
      <c r="J783" s="62">
        <v>180</v>
      </c>
      <c r="K783" s="62">
        <v>200</v>
      </c>
      <c r="L783" s="62">
        <v>200</v>
      </c>
      <c r="M783" s="232">
        <v>255</v>
      </c>
      <c r="N783" s="55" t="s">
        <v>1591</v>
      </c>
      <c r="O783" s="61" t="s">
        <v>52</v>
      </c>
      <c r="P783" s="200"/>
      <c r="Q783" s="200"/>
      <c r="R783" s="200"/>
      <c r="S783" s="200"/>
      <c r="T783" s="66"/>
      <c r="U783" s="66"/>
      <c r="V783" s="66"/>
    </row>
    <row r="784" spans="1:22" s="64" customFormat="1" x14ac:dyDescent="0.25">
      <c r="A784" s="65" t="s">
        <v>1433</v>
      </c>
      <c r="B784" s="511" t="s">
        <v>1456</v>
      </c>
      <c r="C784" s="511"/>
      <c r="D784" s="511"/>
      <c r="E784" s="61" t="s">
        <v>1439</v>
      </c>
      <c r="F784" s="61" t="s">
        <v>389</v>
      </c>
      <c r="G784" s="61" t="s">
        <v>55</v>
      </c>
      <c r="H784" s="61"/>
      <c r="I784" s="61" t="s">
        <v>1366</v>
      </c>
      <c r="J784" s="62">
        <v>180</v>
      </c>
      <c r="K784" s="62">
        <v>200</v>
      </c>
      <c r="L784" s="62">
        <v>200</v>
      </c>
      <c r="M784" s="232">
        <v>255</v>
      </c>
      <c r="N784" s="55" t="s">
        <v>1591</v>
      </c>
      <c r="O784" s="61" t="s">
        <v>52</v>
      </c>
      <c r="P784" s="200"/>
      <c r="Q784" s="200"/>
      <c r="R784" s="200"/>
      <c r="S784" s="200"/>
      <c r="T784" s="66"/>
      <c r="U784" s="66"/>
      <c r="V784" s="66"/>
    </row>
    <row r="785" spans="1:22" s="64" customFormat="1" x14ac:dyDescent="0.25">
      <c r="A785" s="65" t="s">
        <v>1433</v>
      </c>
      <c r="B785" s="511" t="s">
        <v>1456</v>
      </c>
      <c r="C785" s="511"/>
      <c r="D785" s="511"/>
      <c r="E785" s="61" t="s">
        <v>1437</v>
      </c>
      <c r="F785" s="61" t="s">
        <v>389</v>
      </c>
      <c r="G785" s="61" t="s">
        <v>55</v>
      </c>
      <c r="H785" s="61"/>
      <c r="I785" s="61" t="s">
        <v>1366</v>
      </c>
      <c r="J785" s="62">
        <v>180</v>
      </c>
      <c r="K785" s="62">
        <v>200</v>
      </c>
      <c r="L785" s="62">
        <v>200</v>
      </c>
      <c r="M785" s="232">
        <v>255</v>
      </c>
      <c r="N785" s="55" t="s">
        <v>1591</v>
      </c>
      <c r="O785" s="61" t="s">
        <v>52</v>
      </c>
      <c r="P785" s="200"/>
      <c r="Q785" s="200"/>
      <c r="R785" s="200"/>
      <c r="S785" s="200"/>
      <c r="T785" s="66"/>
      <c r="U785" s="66"/>
      <c r="V785" s="66"/>
    </row>
    <row r="786" spans="1:22" s="64" customFormat="1" x14ac:dyDescent="0.25">
      <c r="A786" s="65" t="s">
        <v>1433</v>
      </c>
      <c r="B786" s="511" t="s">
        <v>1655</v>
      </c>
      <c r="C786" s="511"/>
      <c r="D786" s="511"/>
      <c r="E786" s="61" t="s">
        <v>1437</v>
      </c>
      <c r="F786" s="61" t="s">
        <v>54</v>
      </c>
      <c r="G786" s="61" t="s">
        <v>55</v>
      </c>
      <c r="H786" s="61"/>
      <c r="I786" s="61" t="s">
        <v>1366</v>
      </c>
      <c r="J786" s="62">
        <v>225</v>
      </c>
      <c r="K786" s="62">
        <v>250</v>
      </c>
      <c r="L786" s="62">
        <v>250</v>
      </c>
      <c r="M786" s="232">
        <v>320</v>
      </c>
      <c r="N786" s="55" t="s">
        <v>1591</v>
      </c>
      <c r="O786" s="61" t="s">
        <v>52</v>
      </c>
      <c r="P786" s="200"/>
      <c r="Q786" s="200"/>
      <c r="R786" s="200"/>
      <c r="S786" s="200"/>
      <c r="T786" s="66"/>
      <c r="U786" s="66"/>
      <c r="V786" s="66"/>
    </row>
    <row r="787" spans="1:22" s="64" customFormat="1" x14ac:dyDescent="0.25">
      <c r="A787" s="65" t="s">
        <v>1433</v>
      </c>
      <c r="B787" s="511" t="s">
        <v>1655</v>
      </c>
      <c r="C787" s="511"/>
      <c r="D787" s="511"/>
      <c r="E787" s="61" t="s">
        <v>1438</v>
      </c>
      <c r="F787" s="61" t="s">
        <v>389</v>
      </c>
      <c r="G787" s="61" t="s">
        <v>55</v>
      </c>
      <c r="H787" s="61"/>
      <c r="I787" s="61" t="s">
        <v>1366</v>
      </c>
      <c r="J787" s="62">
        <v>225</v>
      </c>
      <c r="K787" s="62">
        <v>250</v>
      </c>
      <c r="L787" s="62">
        <v>250</v>
      </c>
      <c r="M787" s="232">
        <v>320</v>
      </c>
      <c r="N787" s="55" t="s">
        <v>1591</v>
      </c>
      <c r="O787" s="61" t="s">
        <v>52</v>
      </c>
      <c r="P787" s="200"/>
      <c r="Q787" s="200"/>
      <c r="R787" s="200"/>
      <c r="S787" s="200"/>
      <c r="T787" s="66"/>
      <c r="U787" s="66"/>
      <c r="V787" s="66"/>
    </row>
    <row r="788" spans="1:22" s="64" customFormat="1" x14ac:dyDescent="0.25">
      <c r="A788" s="65" t="s">
        <v>1433</v>
      </c>
      <c r="B788" s="511" t="s">
        <v>1655</v>
      </c>
      <c r="C788" s="511"/>
      <c r="D788" s="511"/>
      <c r="E788" s="61" t="s">
        <v>1439</v>
      </c>
      <c r="F788" s="61" t="s">
        <v>389</v>
      </c>
      <c r="G788" s="61" t="s">
        <v>55</v>
      </c>
      <c r="H788" s="61"/>
      <c r="I788" s="61" t="s">
        <v>1366</v>
      </c>
      <c r="J788" s="62">
        <v>225</v>
      </c>
      <c r="K788" s="62">
        <v>250</v>
      </c>
      <c r="L788" s="62">
        <v>250</v>
      </c>
      <c r="M788" s="232">
        <v>320</v>
      </c>
      <c r="N788" s="55" t="s">
        <v>1591</v>
      </c>
      <c r="O788" s="61" t="s">
        <v>52</v>
      </c>
      <c r="P788" s="200"/>
      <c r="Q788" s="200"/>
      <c r="R788" s="200"/>
      <c r="S788" s="200"/>
      <c r="T788" s="66"/>
      <c r="U788" s="66"/>
      <c r="V788" s="66"/>
    </row>
    <row r="789" spans="1:22" s="64" customFormat="1" x14ac:dyDescent="0.25">
      <c r="A789" s="65" t="s">
        <v>1433</v>
      </c>
      <c r="B789" s="511" t="s">
        <v>1655</v>
      </c>
      <c r="C789" s="511"/>
      <c r="D789" s="511"/>
      <c r="E789" s="61" t="s">
        <v>1437</v>
      </c>
      <c r="F789" s="61" t="s">
        <v>389</v>
      </c>
      <c r="G789" s="61" t="s">
        <v>55</v>
      </c>
      <c r="H789" s="61"/>
      <c r="I789" s="61" t="s">
        <v>1366</v>
      </c>
      <c r="J789" s="62">
        <v>225</v>
      </c>
      <c r="K789" s="62">
        <v>250</v>
      </c>
      <c r="L789" s="62">
        <v>250</v>
      </c>
      <c r="M789" s="232">
        <v>320</v>
      </c>
      <c r="N789" s="55" t="s">
        <v>1591</v>
      </c>
      <c r="O789" s="61" t="s">
        <v>52</v>
      </c>
      <c r="P789" s="200"/>
      <c r="Q789" s="200"/>
      <c r="R789" s="200"/>
      <c r="S789" s="200"/>
      <c r="T789" s="66"/>
      <c r="U789" s="66"/>
      <c r="V789" s="66"/>
    </row>
    <row r="790" spans="1:22" s="64" customFormat="1" x14ac:dyDescent="0.25">
      <c r="A790" s="65" t="s">
        <v>1433</v>
      </c>
      <c r="B790" s="511" t="s">
        <v>1458</v>
      </c>
      <c r="C790" s="511"/>
      <c r="D790" s="511"/>
      <c r="E790" s="61" t="s">
        <v>1437</v>
      </c>
      <c r="F790" s="61" t="s">
        <v>54</v>
      </c>
      <c r="G790" s="61" t="s">
        <v>55</v>
      </c>
      <c r="H790" s="61"/>
      <c r="I790" s="61" t="s">
        <v>1366</v>
      </c>
      <c r="J790" s="62">
        <v>0</v>
      </c>
      <c r="K790" s="62">
        <v>0</v>
      </c>
      <c r="L790" s="62">
        <v>0</v>
      </c>
      <c r="M790" s="232">
        <v>0</v>
      </c>
      <c r="N790" s="55" t="s">
        <v>1591</v>
      </c>
      <c r="O790" s="61" t="s">
        <v>52</v>
      </c>
      <c r="P790" s="200"/>
      <c r="Q790" s="200"/>
      <c r="R790" s="200"/>
      <c r="S790" s="200"/>
      <c r="T790" s="66"/>
      <c r="U790" s="66"/>
      <c r="V790" s="66"/>
    </row>
    <row r="791" spans="1:22" s="64" customFormat="1" x14ac:dyDescent="0.25">
      <c r="A791" s="65" t="s">
        <v>1433</v>
      </c>
      <c r="B791" s="511" t="s">
        <v>1458</v>
      </c>
      <c r="C791" s="511"/>
      <c r="D791" s="511"/>
      <c r="E791" s="61" t="s">
        <v>1438</v>
      </c>
      <c r="F791" s="61" t="s">
        <v>389</v>
      </c>
      <c r="G791" s="61" t="s">
        <v>55</v>
      </c>
      <c r="H791" s="61"/>
      <c r="I791" s="61" t="s">
        <v>1366</v>
      </c>
      <c r="J791" s="62">
        <v>315</v>
      </c>
      <c r="K791" s="62">
        <v>350</v>
      </c>
      <c r="L791" s="62">
        <v>350</v>
      </c>
      <c r="M791" s="232">
        <v>445</v>
      </c>
      <c r="N791" s="55" t="s">
        <v>1591</v>
      </c>
      <c r="O791" s="61" t="s">
        <v>52</v>
      </c>
      <c r="P791" s="200"/>
      <c r="Q791" s="200"/>
      <c r="R791" s="200"/>
      <c r="S791" s="200"/>
      <c r="T791" s="66"/>
      <c r="U791" s="66"/>
      <c r="V791" s="66"/>
    </row>
    <row r="792" spans="1:22" s="64" customFormat="1" x14ac:dyDescent="0.25">
      <c r="A792" s="65" t="s">
        <v>1433</v>
      </c>
      <c r="B792" s="511" t="s">
        <v>1458</v>
      </c>
      <c r="C792" s="511"/>
      <c r="D792" s="511"/>
      <c r="E792" s="61" t="s">
        <v>1439</v>
      </c>
      <c r="F792" s="61" t="s">
        <v>389</v>
      </c>
      <c r="G792" s="61" t="s">
        <v>55</v>
      </c>
      <c r="H792" s="61"/>
      <c r="I792" s="61" t="s">
        <v>1366</v>
      </c>
      <c r="J792" s="62">
        <v>315</v>
      </c>
      <c r="K792" s="62">
        <v>350</v>
      </c>
      <c r="L792" s="62">
        <v>350</v>
      </c>
      <c r="M792" s="232">
        <v>445</v>
      </c>
      <c r="N792" s="55" t="s">
        <v>1591</v>
      </c>
      <c r="O792" s="61" t="s">
        <v>52</v>
      </c>
      <c r="P792" s="200"/>
      <c r="Q792" s="200"/>
      <c r="R792" s="200"/>
      <c r="S792" s="200"/>
      <c r="T792" s="66"/>
      <c r="U792" s="66"/>
      <c r="V792" s="66"/>
    </row>
    <row r="793" spans="1:22" s="64" customFormat="1" x14ac:dyDescent="0.25">
      <c r="A793" s="65" t="s">
        <v>1433</v>
      </c>
      <c r="B793" s="511" t="s">
        <v>1458</v>
      </c>
      <c r="C793" s="511"/>
      <c r="D793" s="511"/>
      <c r="E793" s="61" t="s">
        <v>1437</v>
      </c>
      <c r="F793" s="61" t="s">
        <v>389</v>
      </c>
      <c r="G793" s="61" t="s">
        <v>55</v>
      </c>
      <c r="H793" s="61"/>
      <c r="I793" s="61" t="s">
        <v>1366</v>
      </c>
      <c r="J793" s="62">
        <v>315</v>
      </c>
      <c r="K793" s="62">
        <v>350</v>
      </c>
      <c r="L793" s="62">
        <v>350</v>
      </c>
      <c r="M793" s="232">
        <v>445</v>
      </c>
      <c r="N793" s="55" t="s">
        <v>1591</v>
      </c>
      <c r="O793" s="61" t="s">
        <v>52</v>
      </c>
      <c r="P793" s="200"/>
      <c r="Q793" s="200"/>
      <c r="R793" s="200"/>
      <c r="S793" s="200"/>
      <c r="T793" s="66"/>
      <c r="U793" s="66"/>
      <c r="V793" s="66"/>
    </row>
    <row r="794" spans="1:22" s="64" customFormat="1" x14ac:dyDescent="0.25">
      <c r="A794" s="65" t="s">
        <v>1433</v>
      </c>
      <c r="B794" s="511" t="s">
        <v>1459</v>
      </c>
      <c r="C794" s="511"/>
      <c r="D794" s="511"/>
      <c r="E794" s="61" t="s">
        <v>1447</v>
      </c>
      <c r="F794" s="61" t="s">
        <v>56</v>
      </c>
      <c r="G794" s="61" t="s">
        <v>55</v>
      </c>
      <c r="H794" s="61"/>
      <c r="I794" s="61" t="s">
        <v>1366</v>
      </c>
      <c r="J794" s="62">
        <v>195</v>
      </c>
      <c r="K794" s="62">
        <v>220</v>
      </c>
      <c r="L794" s="62">
        <v>220</v>
      </c>
      <c r="M794" s="232"/>
      <c r="N794" s="55" t="s">
        <v>1591</v>
      </c>
      <c r="O794" s="61" t="s">
        <v>52</v>
      </c>
      <c r="P794" s="200"/>
      <c r="Q794" s="200"/>
      <c r="R794" s="200"/>
      <c r="S794" s="200"/>
      <c r="T794" s="66"/>
      <c r="U794" s="66"/>
      <c r="V794" s="66"/>
    </row>
    <row r="795" spans="1:22" s="64" customFormat="1" x14ac:dyDescent="0.25">
      <c r="A795" s="65" t="s">
        <v>1433</v>
      </c>
      <c r="B795" s="511" t="s">
        <v>1460</v>
      </c>
      <c r="C795" s="511"/>
      <c r="D795" s="511"/>
      <c r="E795" s="61" t="s">
        <v>1447</v>
      </c>
      <c r="F795" s="61" t="s">
        <v>56</v>
      </c>
      <c r="G795" s="61" t="s">
        <v>55</v>
      </c>
      <c r="H795" s="61"/>
      <c r="I795" s="61" t="s">
        <v>1366</v>
      </c>
      <c r="J795" s="62">
        <v>360</v>
      </c>
      <c r="K795" s="62">
        <v>330</v>
      </c>
      <c r="L795" s="62">
        <v>330</v>
      </c>
      <c r="M795" s="232"/>
      <c r="N795" s="55" t="s">
        <v>1591</v>
      </c>
      <c r="O795" s="61" t="s">
        <v>52</v>
      </c>
      <c r="P795" s="200"/>
      <c r="Q795" s="200"/>
      <c r="R795" s="200"/>
      <c r="S795" s="200"/>
      <c r="T795" s="66"/>
      <c r="U795" s="66"/>
      <c r="V795" s="66"/>
    </row>
    <row r="796" spans="1:22" s="64" customFormat="1" x14ac:dyDescent="0.25">
      <c r="A796" s="65" t="s">
        <v>1433</v>
      </c>
      <c r="B796" s="511" t="s">
        <v>1461</v>
      </c>
      <c r="C796" s="511"/>
      <c r="D796" s="511"/>
      <c r="E796" s="61" t="s">
        <v>1437</v>
      </c>
      <c r="F796" s="61" t="s">
        <v>54</v>
      </c>
      <c r="G796" s="61" t="s">
        <v>55</v>
      </c>
      <c r="H796" s="61"/>
      <c r="I796" s="61" t="s">
        <v>1366</v>
      </c>
      <c r="J796" s="62">
        <v>180</v>
      </c>
      <c r="K796" s="62">
        <v>200</v>
      </c>
      <c r="L796" s="62">
        <v>200</v>
      </c>
      <c r="M796" s="232">
        <v>255</v>
      </c>
      <c r="N796" s="55" t="s">
        <v>1591</v>
      </c>
      <c r="O796" s="61" t="s">
        <v>52</v>
      </c>
      <c r="P796" s="200"/>
      <c r="Q796" s="200"/>
      <c r="R796" s="200"/>
      <c r="S796" s="200"/>
      <c r="T796" s="66"/>
      <c r="U796" s="66"/>
      <c r="V796" s="66"/>
    </row>
    <row r="797" spans="1:22" s="64" customFormat="1" x14ac:dyDescent="0.25">
      <c r="A797" s="65" t="s">
        <v>1433</v>
      </c>
      <c r="B797" s="511" t="s">
        <v>1461</v>
      </c>
      <c r="C797" s="511"/>
      <c r="D797" s="511"/>
      <c r="E797" s="61" t="s">
        <v>1438</v>
      </c>
      <c r="F797" s="61" t="s">
        <v>389</v>
      </c>
      <c r="G797" s="61" t="s">
        <v>55</v>
      </c>
      <c r="H797" s="61"/>
      <c r="I797" s="61" t="s">
        <v>1366</v>
      </c>
      <c r="J797" s="62">
        <v>180</v>
      </c>
      <c r="K797" s="62">
        <v>200</v>
      </c>
      <c r="L797" s="62">
        <v>200</v>
      </c>
      <c r="M797" s="232">
        <v>255</v>
      </c>
      <c r="N797" s="55" t="s">
        <v>1591</v>
      </c>
      <c r="O797" s="61" t="s">
        <v>52</v>
      </c>
      <c r="P797" s="200"/>
      <c r="Q797" s="200"/>
      <c r="R797" s="200"/>
      <c r="S797" s="200"/>
      <c r="T797" s="66"/>
      <c r="U797" s="66"/>
      <c r="V797" s="66"/>
    </row>
    <row r="798" spans="1:22" s="64" customFormat="1" x14ac:dyDescent="0.25">
      <c r="A798" s="65" t="s">
        <v>1433</v>
      </c>
      <c r="B798" s="511" t="s">
        <v>1461</v>
      </c>
      <c r="C798" s="511"/>
      <c r="D798" s="511"/>
      <c r="E798" s="61" t="s">
        <v>1439</v>
      </c>
      <c r="F798" s="61" t="s">
        <v>389</v>
      </c>
      <c r="G798" s="61" t="s">
        <v>55</v>
      </c>
      <c r="H798" s="61"/>
      <c r="I798" s="61" t="s">
        <v>1366</v>
      </c>
      <c r="J798" s="62">
        <v>180</v>
      </c>
      <c r="K798" s="62">
        <v>200</v>
      </c>
      <c r="L798" s="62">
        <v>200</v>
      </c>
      <c r="M798" s="232">
        <v>255</v>
      </c>
      <c r="N798" s="55" t="s">
        <v>1591</v>
      </c>
      <c r="O798" s="61" t="s">
        <v>52</v>
      </c>
      <c r="P798" s="200"/>
      <c r="Q798" s="200"/>
      <c r="R798" s="200"/>
      <c r="S798" s="200"/>
      <c r="T798" s="66"/>
      <c r="U798" s="66"/>
      <c r="V798" s="66"/>
    </row>
    <row r="799" spans="1:22" s="64" customFormat="1" x14ac:dyDescent="0.25">
      <c r="A799" s="65" t="s">
        <v>1433</v>
      </c>
      <c r="B799" s="511" t="s">
        <v>1461</v>
      </c>
      <c r="C799" s="511"/>
      <c r="D799" s="511"/>
      <c r="E799" s="61" t="s">
        <v>1437</v>
      </c>
      <c r="F799" s="61" t="s">
        <v>389</v>
      </c>
      <c r="G799" s="61" t="s">
        <v>55</v>
      </c>
      <c r="H799" s="61"/>
      <c r="I799" s="61" t="s">
        <v>1366</v>
      </c>
      <c r="J799" s="62">
        <v>180</v>
      </c>
      <c r="K799" s="62">
        <v>200</v>
      </c>
      <c r="L799" s="62">
        <v>200</v>
      </c>
      <c r="M799" s="232">
        <v>255</v>
      </c>
      <c r="N799" s="55" t="s">
        <v>1591</v>
      </c>
      <c r="O799" s="61" t="s">
        <v>52</v>
      </c>
      <c r="P799" s="200"/>
      <c r="Q799" s="200"/>
      <c r="R799" s="200"/>
      <c r="S799" s="200"/>
      <c r="T799" s="66"/>
      <c r="U799" s="66"/>
      <c r="V799" s="66"/>
    </row>
    <row r="800" spans="1:22" s="64" customFormat="1" x14ac:dyDescent="0.25">
      <c r="A800" s="65" t="s">
        <v>1433</v>
      </c>
      <c r="B800" s="511" t="s">
        <v>1462</v>
      </c>
      <c r="C800" s="511"/>
      <c r="D800" s="511"/>
      <c r="E800" s="61" t="s">
        <v>1437</v>
      </c>
      <c r="F800" s="61" t="s">
        <v>54</v>
      </c>
      <c r="G800" s="61" t="s">
        <v>55</v>
      </c>
      <c r="H800" s="61"/>
      <c r="I800" s="61" t="s">
        <v>1366</v>
      </c>
      <c r="J800" s="62">
        <v>90</v>
      </c>
      <c r="K800" s="62">
        <v>100</v>
      </c>
      <c r="L800" s="62">
        <v>100</v>
      </c>
      <c r="M800" s="232">
        <v>130</v>
      </c>
      <c r="N800" s="55" t="s">
        <v>1591</v>
      </c>
      <c r="O800" s="61" t="s">
        <v>52</v>
      </c>
      <c r="P800" s="200"/>
      <c r="Q800" s="200"/>
      <c r="R800" s="200"/>
      <c r="S800" s="200"/>
      <c r="T800" s="66"/>
      <c r="U800" s="66"/>
      <c r="V800" s="66"/>
    </row>
    <row r="801" spans="1:22" s="64" customFormat="1" x14ac:dyDescent="0.25">
      <c r="A801" s="65" t="s">
        <v>1433</v>
      </c>
      <c r="B801" s="511" t="s">
        <v>1462</v>
      </c>
      <c r="C801" s="511"/>
      <c r="D801" s="511"/>
      <c r="E801" s="61" t="s">
        <v>1438</v>
      </c>
      <c r="F801" s="61" t="s">
        <v>389</v>
      </c>
      <c r="G801" s="61" t="s">
        <v>55</v>
      </c>
      <c r="H801" s="61"/>
      <c r="I801" s="61" t="s">
        <v>1366</v>
      </c>
      <c r="J801" s="62">
        <v>90</v>
      </c>
      <c r="K801" s="62">
        <v>100</v>
      </c>
      <c r="L801" s="62">
        <v>100</v>
      </c>
      <c r="M801" s="232">
        <v>130</v>
      </c>
      <c r="N801" s="55" t="s">
        <v>1591</v>
      </c>
      <c r="O801" s="61" t="s">
        <v>52</v>
      </c>
      <c r="P801" s="200"/>
      <c r="Q801" s="200"/>
      <c r="R801" s="200"/>
      <c r="S801" s="200"/>
      <c r="T801" s="66"/>
      <c r="U801" s="66"/>
      <c r="V801" s="66"/>
    </row>
    <row r="802" spans="1:22" s="64" customFormat="1" x14ac:dyDescent="0.25">
      <c r="A802" s="65" t="s">
        <v>1433</v>
      </c>
      <c r="B802" s="511" t="s">
        <v>1462</v>
      </c>
      <c r="C802" s="511"/>
      <c r="D802" s="511"/>
      <c r="E802" s="61" t="s">
        <v>1439</v>
      </c>
      <c r="F802" s="61" t="s">
        <v>389</v>
      </c>
      <c r="G802" s="61" t="s">
        <v>55</v>
      </c>
      <c r="H802" s="61"/>
      <c r="I802" s="61" t="s">
        <v>1366</v>
      </c>
      <c r="J802" s="62">
        <v>90</v>
      </c>
      <c r="K802" s="62">
        <v>100</v>
      </c>
      <c r="L802" s="62">
        <v>100</v>
      </c>
      <c r="M802" s="232">
        <v>130</v>
      </c>
      <c r="N802" s="55" t="s">
        <v>1591</v>
      </c>
      <c r="O802" s="61" t="s">
        <v>52</v>
      </c>
      <c r="P802" s="200"/>
      <c r="Q802" s="200"/>
      <c r="R802" s="200"/>
      <c r="S802" s="200"/>
      <c r="T802" s="66"/>
      <c r="U802" s="66"/>
      <c r="V802" s="66"/>
    </row>
    <row r="803" spans="1:22" s="64" customFormat="1" x14ac:dyDescent="0.25">
      <c r="A803" s="65" t="s">
        <v>1433</v>
      </c>
      <c r="B803" s="511" t="s">
        <v>1462</v>
      </c>
      <c r="C803" s="511"/>
      <c r="D803" s="511"/>
      <c r="E803" s="61" t="s">
        <v>1437</v>
      </c>
      <c r="F803" s="61" t="s">
        <v>389</v>
      </c>
      <c r="G803" s="61" t="s">
        <v>55</v>
      </c>
      <c r="H803" s="61"/>
      <c r="I803" s="61" t="s">
        <v>1366</v>
      </c>
      <c r="J803" s="62">
        <v>90</v>
      </c>
      <c r="K803" s="62">
        <v>100</v>
      </c>
      <c r="L803" s="62">
        <v>100</v>
      </c>
      <c r="M803" s="232">
        <v>130</v>
      </c>
      <c r="N803" s="55" t="s">
        <v>1591</v>
      </c>
      <c r="O803" s="61" t="s">
        <v>52</v>
      </c>
      <c r="P803" s="200"/>
      <c r="Q803" s="200"/>
      <c r="R803" s="200"/>
      <c r="S803" s="200"/>
      <c r="T803" s="66"/>
      <c r="U803" s="66"/>
      <c r="V803" s="66"/>
    </row>
    <row r="804" spans="1:22" s="64" customFormat="1" x14ac:dyDescent="0.25">
      <c r="A804" s="65" t="s">
        <v>1433</v>
      </c>
      <c r="B804" s="511" t="s">
        <v>1463</v>
      </c>
      <c r="C804" s="511"/>
      <c r="D804" s="511"/>
      <c r="E804" s="61" t="s">
        <v>1435</v>
      </c>
      <c r="F804" s="61" t="s">
        <v>54</v>
      </c>
      <c r="G804" s="61" t="s">
        <v>55</v>
      </c>
      <c r="H804" s="61"/>
      <c r="I804" s="61" t="s">
        <v>1366</v>
      </c>
      <c r="J804" s="62">
        <v>270</v>
      </c>
      <c r="K804" s="62">
        <v>300</v>
      </c>
      <c r="L804" s="62">
        <v>300</v>
      </c>
      <c r="M804" s="232">
        <v>385</v>
      </c>
      <c r="N804" s="55" t="s">
        <v>1591</v>
      </c>
      <c r="O804" s="61" t="s">
        <v>52</v>
      </c>
      <c r="P804" s="200"/>
      <c r="Q804" s="200"/>
      <c r="R804" s="200"/>
      <c r="S804" s="200"/>
      <c r="T804" s="66"/>
      <c r="U804" s="66"/>
      <c r="V804" s="66"/>
    </row>
    <row r="805" spans="1:22" s="64" customFormat="1" x14ac:dyDescent="0.25">
      <c r="A805" s="65" t="s">
        <v>1433</v>
      </c>
      <c r="B805" s="511" t="s">
        <v>1463</v>
      </c>
      <c r="C805" s="511"/>
      <c r="D805" s="511"/>
      <c r="E805" s="61" t="s">
        <v>1435</v>
      </c>
      <c r="F805" s="61" t="s">
        <v>389</v>
      </c>
      <c r="G805" s="61" t="s">
        <v>55</v>
      </c>
      <c r="H805" s="61"/>
      <c r="I805" s="61" t="s">
        <v>1366</v>
      </c>
      <c r="J805" s="62">
        <v>270</v>
      </c>
      <c r="K805" s="62">
        <v>300</v>
      </c>
      <c r="L805" s="62">
        <v>300</v>
      </c>
      <c r="M805" s="232">
        <v>385</v>
      </c>
      <c r="N805" s="55" t="s">
        <v>1591</v>
      </c>
      <c r="O805" s="61" t="s">
        <v>52</v>
      </c>
      <c r="P805" s="200"/>
      <c r="Q805" s="200"/>
      <c r="R805" s="200"/>
      <c r="S805" s="200"/>
      <c r="T805" s="66"/>
      <c r="U805" s="66"/>
      <c r="V805" s="66"/>
    </row>
    <row r="806" spans="1:22" s="64" customFormat="1" x14ac:dyDescent="0.25">
      <c r="A806" s="65" t="s">
        <v>1433</v>
      </c>
      <c r="B806" s="511" t="s">
        <v>1464</v>
      </c>
      <c r="C806" s="511"/>
      <c r="D806" s="511"/>
      <c r="E806" s="61" t="s">
        <v>1447</v>
      </c>
      <c r="F806" s="61" t="s">
        <v>56</v>
      </c>
      <c r="G806" s="61" t="s">
        <v>55</v>
      </c>
      <c r="H806" s="61"/>
      <c r="I806" s="61" t="s">
        <v>1366</v>
      </c>
      <c r="J806" s="62">
        <v>235</v>
      </c>
      <c r="K806" s="62">
        <v>240</v>
      </c>
      <c r="L806" s="62">
        <v>240</v>
      </c>
      <c r="M806" s="232"/>
      <c r="N806" s="55" t="s">
        <v>1591</v>
      </c>
      <c r="O806" s="61" t="s">
        <v>52</v>
      </c>
      <c r="P806" s="200"/>
      <c r="Q806" s="200"/>
      <c r="R806" s="200"/>
      <c r="S806" s="200"/>
      <c r="T806" s="66"/>
      <c r="U806" s="66"/>
      <c r="V806" s="66"/>
    </row>
    <row r="807" spans="1:22" s="64" customFormat="1" x14ac:dyDescent="0.25">
      <c r="A807" s="65" t="s">
        <v>1433</v>
      </c>
      <c r="B807" s="511" t="s">
        <v>1465</v>
      </c>
      <c r="C807" s="511"/>
      <c r="D807" s="511"/>
      <c r="E807" s="61" t="s">
        <v>1437</v>
      </c>
      <c r="F807" s="61" t="s">
        <v>54</v>
      </c>
      <c r="G807" s="61" t="s">
        <v>55</v>
      </c>
      <c r="H807" s="61"/>
      <c r="I807" s="61" t="s">
        <v>1366</v>
      </c>
      <c r="J807" s="62">
        <v>180</v>
      </c>
      <c r="K807" s="62">
        <v>200</v>
      </c>
      <c r="L807" s="62">
        <v>200</v>
      </c>
      <c r="M807" s="232">
        <v>250</v>
      </c>
      <c r="N807" s="55" t="s">
        <v>1591</v>
      </c>
      <c r="O807" s="61" t="s">
        <v>52</v>
      </c>
      <c r="P807" s="200"/>
      <c r="Q807" s="200"/>
      <c r="R807" s="200"/>
      <c r="S807" s="200"/>
      <c r="T807" s="66"/>
      <c r="U807" s="66"/>
      <c r="V807" s="66"/>
    </row>
    <row r="808" spans="1:22" s="64" customFormat="1" x14ac:dyDescent="0.25">
      <c r="A808" s="65" t="s">
        <v>1433</v>
      </c>
      <c r="B808" s="511" t="s">
        <v>1465</v>
      </c>
      <c r="C808" s="511"/>
      <c r="D808" s="511"/>
      <c r="E808" s="61" t="s">
        <v>1438</v>
      </c>
      <c r="F808" s="61" t="s">
        <v>389</v>
      </c>
      <c r="G808" s="61" t="s">
        <v>55</v>
      </c>
      <c r="H808" s="61"/>
      <c r="I808" s="61" t="s">
        <v>1366</v>
      </c>
      <c r="J808" s="62">
        <v>180</v>
      </c>
      <c r="K808" s="62">
        <v>200</v>
      </c>
      <c r="L808" s="62">
        <v>200</v>
      </c>
      <c r="M808" s="232">
        <v>250</v>
      </c>
      <c r="N808" s="55" t="s">
        <v>1591</v>
      </c>
      <c r="O808" s="61" t="s">
        <v>52</v>
      </c>
      <c r="P808" s="200"/>
      <c r="Q808" s="200"/>
      <c r="R808" s="200"/>
      <c r="S808" s="200"/>
      <c r="T808" s="66"/>
      <c r="U808" s="66"/>
      <c r="V808" s="66"/>
    </row>
    <row r="809" spans="1:22" s="64" customFormat="1" x14ac:dyDescent="0.25">
      <c r="A809" s="65" t="s">
        <v>1433</v>
      </c>
      <c r="B809" s="511" t="s">
        <v>1465</v>
      </c>
      <c r="C809" s="511"/>
      <c r="D809" s="511"/>
      <c r="E809" s="61" t="s">
        <v>1439</v>
      </c>
      <c r="F809" s="61" t="s">
        <v>389</v>
      </c>
      <c r="G809" s="61" t="s">
        <v>55</v>
      </c>
      <c r="H809" s="61"/>
      <c r="I809" s="61" t="s">
        <v>1366</v>
      </c>
      <c r="J809" s="62">
        <v>180</v>
      </c>
      <c r="K809" s="62">
        <v>200</v>
      </c>
      <c r="L809" s="62">
        <v>200</v>
      </c>
      <c r="M809" s="232">
        <v>250</v>
      </c>
      <c r="N809" s="55" t="s">
        <v>1591</v>
      </c>
      <c r="O809" s="61" t="s">
        <v>52</v>
      </c>
      <c r="P809" s="200"/>
      <c r="Q809" s="200"/>
      <c r="R809" s="200"/>
      <c r="S809" s="200"/>
      <c r="T809" s="66"/>
      <c r="U809" s="66"/>
      <c r="V809" s="66"/>
    </row>
    <row r="810" spans="1:22" s="64" customFormat="1" x14ac:dyDescent="0.25">
      <c r="A810" s="65" t="s">
        <v>1433</v>
      </c>
      <c r="B810" s="511" t="s">
        <v>1465</v>
      </c>
      <c r="C810" s="511"/>
      <c r="D810" s="511"/>
      <c r="E810" s="61" t="s">
        <v>1437</v>
      </c>
      <c r="F810" s="61" t="s">
        <v>389</v>
      </c>
      <c r="G810" s="61" t="s">
        <v>55</v>
      </c>
      <c r="H810" s="61"/>
      <c r="I810" s="61" t="s">
        <v>1366</v>
      </c>
      <c r="J810" s="62">
        <v>180</v>
      </c>
      <c r="K810" s="62">
        <v>200</v>
      </c>
      <c r="L810" s="62">
        <v>200</v>
      </c>
      <c r="M810" s="232">
        <v>250</v>
      </c>
      <c r="N810" s="55" t="s">
        <v>1591</v>
      </c>
      <c r="O810" s="61" t="s">
        <v>52</v>
      </c>
      <c r="P810" s="200"/>
      <c r="Q810" s="200"/>
      <c r="R810" s="200"/>
      <c r="S810" s="200"/>
      <c r="T810" s="66"/>
      <c r="U810" s="66"/>
      <c r="V810" s="66"/>
    </row>
    <row r="811" spans="1:22" s="64" customFormat="1" x14ac:dyDescent="0.25">
      <c r="A811" s="65" t="s">
        <v>1433</v>
      </c>
      <c r="B811" s="511" t="s">
        <v>1466</v>
      </c>
      <c r="C811" s="511"/>
      <c r="D811" s="511"/>
      <c r="E811" s="61" t="s">
        <v>1435</v>
      </c>
      <c r="F811" s="61" t="s">
        <v>54</v>
      </c>
      <c r="G811" s="61" t="s">
        <v>55</v>
      </c>
      <c r="H811" s="61"/>
      <c r="I811" s="61" t="s">
        <v>1366</v>
      </c>
      <c r="J811" s="62">
        <v>270</v>
      </c>
      <c r="K811" s="62">
        <v>300</v>
      </c>
      <c r="L811" s="62">
        <v>300</v>
      </c>
      <c r="M811" s="232">
        <v>385</v>
      </c>
      <c r="N811" s="55" t="s">
        <v>1591</v>
      </c>
      <c r="O811" s="61" t="s">
        <v>52</v>
      </c>
      <c r="P811" s="200"/>
      <c r="Q811" s="200"/>
      <c r="R811" s="200"/>
      <c r="S811" s="200"/>
      <c r="T811" s="66"/>
      <c r="U811" s="66"/>
      <c r="V811" s="66"/>
    </row>
    <row r="812" spans="1:22" s="64" customFormat="1" x14ac:dyDescent="0.25">
      <c r="A812" s="65" t="s">
        <v>1433</v>
      </c>
      <c r="B812" s="511" t="s">
        <v>1466</v>
      </c>
      <c r="C812" s="511"/>
      <c r="D812" s="511"/>
      <c r="E812" s="61" t="s">
        <v>1435</v>
      </c>
      <c r="F812" s="61" t="s">
        <v>389</v>
      </c>
      <c r="G812" s="61" t="s">
        <v>55</v>
      </c>
      <c r="H812" s="61"/>
      <c r="I812" s="61" t="s">
        <v>1366</v>
      </c>
      <c r="J812" s="62">
        <v>270</v>
      </c>
      <c r="K812" s="62">
        <v>300</v>
      </c>
      <c r="L812" s="62">
        <v>300</v>
      </c>
      <c r="M812" s="232">
        <v>385</v>
      </c>
      <c r="N812" s="55" t="s">
        <v>1591</v>
      </c>
      <c r="O812" s="61" t="s">
        <v>52</v>
      </c>
      <c r="P812" s="200"/>
      <c r="Q812" s="200"/>
      <c r="R812" s="200"/>
      <c r="S812" s="200"/>
      <c r="T812" s="66"/>
      <c r="U812" s="66"/>
      <c r="V812" s="66"/>
    </row>
    <row r="813" spans="1:22" s="64" customFormat="1" x14ac:dyDescent="0.25">
      <c r="A813" s="65" t="s">
        <v>1433</v>
      </c>
      <c r="B813" s="511" t="s">
        <v>1467</v>
      </c>
      <c r="C813" s="511"/>
      <c r="D813" s="511"/>
      <c r="E813" s="61" t="s">
        <v>1468</v>
      </c>
      <c r="F813" s="61" t="s">
        <v>56</v>
      </c>
      <c r="G813" s="61" t="s">
        <v>55</v>
      </c>
      <c r="H813" s="61"/>
      <c r="I813" s="61" t="s">
        <v>1366</v>
      </c>
      <c r="J813" s="62">
        <v>30</v>
      </c>
      <c r="K813" s="62">
        <v>55</v>
      </c>
      <c r="L813" s="62">
        <v>55</v>
      </c>
      <c r="M813" s="232"/>
      <c r="N813" s="55" t="s">
        <v>1591</v>
      </c>
      <c r="O813" s="61" t="s">
        <v>52</v>
      </c>
      <c r="P813" s="200"/>
      <c r="Q813" s="200"/>
      <c r="R813" s="200"/>
      <c r="S813" s="200"/>
      <c r="T813" s="66"/>
      <c r="U813" s="66"/>
      <c r="V813" s="66"/>
    </row>
    <row r="814" spans="1:22" s="64" customFormat="1" x14ac:dyDescent="0.25">
      <c r="A814" s="65" t="s">
        <v>1433</v>
      </c>
      <c r="B814" s="511" t="s">
        <v>1469</v>
      </c>
      <c r="C814" s="511"/>
      <c r="D814" s="511"/>
      <c r="E814" s="61" t="s">
        <v>1435</v>
      </c>
      <c r="F814" s="61" t="s">
        <v>54</v>
      </c>
      <c r="G814" s="61" t="s">
        <v>55</v>
      </c>
      <c r="H814" s="61"/>
      <c r="I814" s="61" t="s">
        <v>1366</v>
      </c>
      <c r="J814" s="62">
        <v>360</v>
      </c>
      <c r="K814" s="62">
        <v>400</v>
      </c>
      <c r="L814" s="62">
        <v>400</v>
      </c>
      <c r="M814" s="232">
        <v>510</v>
      </c>
      <c r="N814" s="55" t="s">
        <v>1591</v>
      </c>
      <c r="O814" s="61" t="s">
        <v>52</v>
      </c>
      <c r="P814" s="200"/>
      <c r="Q814" s="200"/>
      <c r="R814" s="200"/>
      <c r="S814" s="200"/>
      <c r="T814" s="66"/>
      <c r="U814" s="66"/>
      <c r="V814" s="66"/>
    </row>
    <row r="815" spans="1:22" s="64" customFormat="1" x14ac:dyDescent="0.25">
      <c r="A815" s="65" t="s">
        <v>1433</v>
      </c>
      <c r="B815" s="511" t="s">
        <v>1469</v>
      </c>
      <c r="C815" s="511"/>
      <c r="D815" s="511"/>
      <c r="E815" s="61" t="s">
        <v>1435</v>
      </c>
      <c r="F815" s="61" t="s">
        <v>389</v>
      </c>
      <c r="G815" s="61" t="s">
        <v>55</v>
      </c>
      <c r="H815" s="61"/>
      <c r="I815" s="61" t="s">
        <v>1366</v>
      </c>
      <c r="J815" s="62">
        <v>360</v>
      </c>
      <c r="K815" s="62">
        <v>400</v>
      </c>
      <c r="L815" s="62">
        <v>400</v>
      </c>
      <c r="M815" s="232">
        <v>510</v>
      </c>
      <c r="N815" s="55" t="s">
        <v>1591</v>
      </c>
      <c r="O815" s="61" t="s">
        <v>52</v>
      </c>
      <c r="P815" s="200"/>
      <c r="Q815" s="200"/>
      <c r="R815" s="200"/>
      <c r="S815" s="200"/>
      <c r="T815" s="66"/>
      <c r="U815" s="66"/>
      <c r="V815" s="66"/>
    </row>
    <row r="816" spans="1:22" s="64" customFormat="1" x14ac:dyDescent="0.25">
      <c r="A816" s="65" t="s">
        <v>1433</v>
      </c>
      <c r="B816" s="511" t="s">
        <v>1470</v>
      </c>
      <c r="C816" s="511"/>
      <c r="D816" s="511"/>
      <c r="E816" s="61" t="s">
        <v>1447</v>
      </c>
      <c r="F816" s="61" t="s">
        <v>56</v>
      </c>
      <c r="G816" s="61" t="s">
        <v>55</v>
      </c>
      <c r="H816" s="61"/>
      <c r="I816" s="61" t="s">
        <v>1366</v>
      </c>
      <c r="J816" s="62">
        <v>255</v>
      </c>
      <c r="K816" s="62">
        <v>270</v>
      </c>
      <c r="L816" s="62">
        <v>270</v>
      </c>
      <c r="M816" s="232">
        <v>320</v>
      </c>
      <c r="N816" s="55" t="s">
        <v>1591</v>
      </c>
      <c r="O816" s="61" t="s">
        <v>52</v>
      </c>
      <c r="P816" s="200"/>
      <c r="Q816" s="200"/>
      <c r="R816" s="200"/>
      <c r="S816" s="200"/>
      <c r="T816" s="66"/>
      <c r="U816" s="66"/>
      <c r="V816" s="66"/>
    </row>
    <row r="817" spans="1:22" s="64" customFormat="1" x14ac:dyDescent="0.25">
      <c r="A817" s="65" t="s">
        <v>1433</v>
      </c>
      <c r="B817" s="511" t="s">
        <v>1471</v>
      </c>
      <c r="C817" s="511"/>
      <c r="D817" s="511"/>
      <c r="E817" s="61" t="s">
        <v>1447</v>
      </c>
      <c r="F817" s="61" t="s">
        <v>56</v>
      </c>
      <c r="G817" s="61" t="s">
        <v>55</v>
      </c>
      <c r="H817" s="61"/>
      <c r="I817" s="61" t="s">
        <v>1366</v>
      </c>
      <c r="J817" s="62">
        <v>245</v>
      </c>
      <c r="K817" s="62">
        <v>280</v>
      </c>
      <c r="L817" s="62">
        <v>280</v>
      </c>
      <c r="M817" s="232"/>
      <c r="N817" s="55" t="s">
        <v>1591</v>
      </c>
      <c r="O817" s="61" t="s">
        <v>52</v>
      </c>
      <c r="P817" s="200"/>
      <c r="Q817" s="200"/>
      <c r="R817" s="200"/>
      <c r="S817" s="200"/>
      <c r="T817" s="66"/>
      <c r="U817" s="66"/>
      <c r="V817" s="66"/>
    </row>
    <row r="818" spans="1:22" s="64" customFormat="1" x14ac:dyDescent="0.25">
      <c r="A818" s="65" t="s">
        <v>1433</v>
      </c>
      <c r="B818" s="511" t="s">
        <v>1472</v>
      </c>
      <c r="C818" s="511"/>
      <c r="D818" s="511"/>
      <c r="E818" s="61" t="s">
        <v>1437</v>
      </c>
      <c r="F818" s="61" t="s">
        <v>54</v>
      </c>
      <c r="G818" s="61" t="s">
        <v>55</v>
      </c>
      <c r="H818" s="61"/>
      <c r="I818" s="61" t="s">
        <v>1366</v>
      </c>
      <c r="J818" s="62">
        <v>225</v>
      </c>
      <c r="K818" s="62">
        <v>250</v>
      </c>
      <c r="L818" s="62">
        <v>250</v>
      </c>
      <c r="M818" s="232">
        <v>320</v>
      </c>
      <c r="N818" s="55" t="s">
        <v>1591</v>
      </c>
      <c r="O818" s="61" t="s">
        <v>52</v>
      </c>
      <c r="P818" s="200"/>
      <c r="Q818" s="200"/>
      <c r="R818" s="200"/>
      <c r="S818" s="200"/>
      <c r="T818" s="66"/>
      <c r="U818" s="66"/>
      <c r="V818" s="66"/>
    </row>
    <row r="819" spans="1:22" s="64" customFormat="1" x14ac:dyDescent="0.25">
      <c r="A819" s="65" t="s">
        <v>1433</v>
      </c>
      <c r="B819" s="511" t="s">
        <v>1472</v>
      </c>
      <c r="C819" s="511"/>
      <c r="D819" s="511"/>
      <c r="E819" s="61" t="s">
        <v>1438</v>
      </c>
      <c r="F819" s="61" t="s">
        <v>389</v>
      </c>
      <c r="G819" s="61" t="s">
        <v>55</v>
      </c>
      <c r="H819" s="61"/>
      <c r="I819" s="61" t="s">
        <v>1366</v>
      </c>
      <c r="J819" s="62">
        <v>225</v>
      </c>
      <c r="K819" s="62">
        <v>250</v>
      </c>
      <c r="L819" s="62">
        <v>250</v>
      </c>
      <c r="M819" s="232">
        <v>320</v>
      </c>
      <c r="N819" s="55" t="s">
        <v>1591</v>
      </c>
      <c r="O819" s="61" t="s">
        <v>52</v>
      </c>
      <c r="P819" s="200"/>
      <c r="Q819" s="200"/>
      <c r="R819" s="200"/>
      <c r="S819" s="200"/>
      <c r="T819" s="66"/>
      <c r="U819" s="66"/>
      <c r="V819" s="66"/>
    </row>
    <row r="820" spans="1:22" s="64" customFormat="1" x14ac:dyDescent="0.25">
      <c r="A820" s="65" t="s">
        <v>1433</v>
      </c>
      <c r="B820" s="511" t="s">
        <v>1472</v>
      </c>
      <c r="C820" s="511"/>
      <c r="D820" s="511"/>
      <c r="E820" s="61" t="s">
        <v>1439</v>
      </c>
      <c r="F820" s="61" t="s">
        <v>389</v>
      </c>
      <c r="G820" s="61" t="s">
        <v>55</v>
      </c>
      <c r="H820" s="61"/>
      <c r="I820" s="61" t="s">
        <v>1366</v>
      </c>
      <c r="J820" s="62">
        <v>225</v>
      </c>
      <c r="K820" s="62">
        <v>250</v>
      </c>
      <c r="L820" s="62">
        <v>250</v>
      </c>
      <c r="M820" s="232">
        <v>320</v>
      </c>
      <c r="N820" s="55" t="s">
        <v>1591</v>
      </c>
      <c r="O820" s="61" t="s">
        <v>52</v>
      </c>
      <c r="P820" s="200"/>
      <c r="Q820" s="200"/>
      <c r="R820" s="200"/>
      <c r="S820" s="200"/>
      <c r="T820" s="66"/>
      <c r="U820" s="66"/>
      <c r="V820" s="66"/>
    </row>
    <row r="821" spans="1:22" s="64" customFormat="1" x14ac:dyDescent="0.25">
      <c r="A821" s="65" t="s">
        <v>1433</v>
      </c>
      <c r="B821" s="511" t="s">
        <v>1472</v>
      </c>
      <c r="C821" s="511"/>
      <c r="D821" s="511"/>
      <c r="E821" s="61" t="s">
        <v>1437</v>
      </c>
      <c r="F821" s="61" t="s">
        <v>389</v>
      </c>
      <c r="G821" s="61" t="s">
        <v>55</v>
      </c>
      <c r="H821" s="61"/>
      <c r="I821" s="61" t="s">
        <v>1366</v>
      </c>
      <c r="J821" s="62">
        <v>225</v>
      </c>
      <c r="K821" s="62">
        <v>250</v>
      </c>
      <c r="L821" s="62">
        <v>250</v>
      </c>
      <c r="M821" s="232">
        <v>320</v>
      </c>
      <c r="N821" s="55" t="s">
        <v>1591</v>
      </c>
      <c r="O821" s="61" t="s">
        <v>52</v>
      </c>
      <c r="P821" s="200"/>
      <c r="Q821" s="200"/>
      <c r="R821" s="200"/>
      <c r="S821" s="200"/>
      <c r="T821" s="66"/>
      <c r="U821" s="66"/>
      <c r="V821" s="66"/>
    </row>
    <row r="822" spans="1:22" s="64" customFormat="1" x14ac:dyDescent="0.25">
      <c r="A822" s="65" t="s">
        <v>1433</v>
      </c>
      <c r="B822" s="511" t="s">
        <v>1473</v>
      </c>
      <c r="C822" s="511"/>
      <c r="D822" s="511"/>
      <c r="E822" s="61" t="s">
        <v>1435</v>
      </c>
      <c r="F822" s="61" t="s">
        <v>54</v>
      </c>
      <c r="G822" s="61" t="s">
        <v>55</v>
      </c>
      <c r="H822" s="61"/>
      <c r="I822" s="61" t="s">
        <v>1366</v>
      </c>
      <c r="J822" s="62">
        <v>225</v>
      </c>
      <c r="K822" s="62">
        <v>250</v>
      </c>
      <c r="L822" s="62">
        <v>250</v>
      </c>
      <c r="M822" s="232">
        <v>320</v>
      </c>
      <c r="N822" s="55" t="s">
        <v>1591</v>
      </c>
      <c r="O822" s="61" t="s">
        <v>52</v>
      </c>
      <c r="P822" s="200"/>
      <c r="Q822" s="200"/>
      <c r="R822" s="200"/>
      <c r="S822" s="200"/>
      <c r="T822" s="66"/>
      <c r="U822" s="66"/>
      <c r="V822" s="66"/>
    </row>
    <row r="823" spans="1:22" s="64" customFormat="1" x14ac:dyDescent="0.25">
      <c r="A823" s="65" t="s">
        <v>1433</v>
      </c>
      <c r="B823" s="511" t="s">
        <v>1473</v>
      </c>
      <c r="C823" s="511"/>
      <c r="D823" s="511"/>
      <c r="E823" s="61" t="s">
        <v>1435</v>
      </c>
      <c r="F823" s="61" t="s">
        <v>389</v>
      </c>
      <c r="G823" s="61" t="s">
        <v>55</v>
      </c>
      <c r="H823" s="61"/>
      <c r="I823" s="61" t="s">
        <v>1366</v>
      </c>
      <c r="J823" s="62">
        <v>225</v>
      </c>
      <c r="K823" s="62">
        <v>250</v>
      </c>
      <c r="L823" s="62">
        <v>250</v>
      </c>
      <c r="M823" s="232">
        <v>320</v>
      </c>
      <c r="N823" s="55" t="s">
        <v>1591</v>
      </c>
      <c r="O823" s="61" t="s">
        <v>52</v>
      </c>
      <c r="P823" s="200"/>
      <c r="Q823" s="200"/>
      <c r="R823" s="200"/>
      <c r="S823" s="200"/>
      <c r="T823" s="66"/>
      <c r="U823" s="66"/>
      <c r="V823" s="66"/>
    </row>
    <row r="824" spans="1:22" s="64" customFormat="1" x14ac:dyDescent="0.25">
      <c r="A824" s="65" t="s">
        <v>1433</v>
      </c>
      <c r="B824" s="511" t="s">
        <v>1474</v>
      </c>
      <c r="C824" s="511"/>
      <c r="D824" s="511"/>
      <c r="E824" s="61" t="s">
        <v>1435</v>
      </c>
      <c r="F824" s="61" t="s">
        <v>54</v>
      </c>
      <c r="G824" s="61" t="s">
        <v>55</v>
      </c>
      <c r="H824" s="61"/>
      <c r="I824" s="61" t="s">
        <v>1366</v>
      </c>
      <c r="J824" s="62">
        <v>90</v>
      </c>
      <c r="K824" s="62">
        <v>100</v>
      </c>
      <c r="L824" s="62">
        <v>100</v>
      </c>
      <c r="M824" s="232">
        <v>130</v>
      </c>
      <c r="N824" s="55" t="s">
        <v>1591</v>
      </c>
      <c r="O824" s="61" t="s">
        <v>52</v>
      </c>
      <c r="P824" s="200"/>
      <c r="Q824" s="200"/>
      <c r="R824" s="200"/>
      <c r="S824" s="200"/>
      <c r="T824" s="66"/>
      <c r="U824" s="66"/>
      <c r="V824" s="66"/>
    </row>
    <row r="825" spans="1:22" s="64" customFormat="1" x14ac:dyDescent="0.25">
      <c r="A825" s="65" t="s">
        <v>1433</v>
      </c>
      <c r="B825" s="511" t="s">
        <v>1475</v>
      </c>
      <c r="C825" s="511"/>
      <c r="D825" s="511"/>
      <c r="E825" s="61" t="s">
        <v>1468</v>
      </c>
      <c r="F825" s="61" t="s">
        <v>56</v>
      </c>
      <c r="G825" s="61" t="s">
        <v>55</v>
      </c>
      <c r="H825" s="61"/>
      <c r="I825" s="61" t="s">
        <v>1366</v>
      </c>
      <c r="J825" s="62">
        <v>500</v>
      </c>
      <c r="K825" s="62">
        <v>735</v>
      </c>
      <c r="L825" s="62">
        <v>735</v>
      </c>
      <c r="M825" s="232"/>
      <c r="N825" s="55" t="s">
        <v>1591</v>
      </c>
      <c r="O825" s="61" t="s">
        <v>52</v>
      </c>
      <c r="P825" s="200"/>
      <c r="Q825" s="200"/>
      <c r="R825" s="200"/>
      <c r="S825" s="200"/>
      <c r="T825" s="66"/>
      <c r="U825" s="66"/>
      <c r="V825" s="66"/>
    </row>
    <row r="826" spans="1:22" s="64" customFormat="1" x14ac:dyDescent="0.25">
      <c r="A826" s="65" t="s">
        <v>1433</v>
      </c>
      <c r="B826" s="511" t="s">
        <v>1476</v>
      </c>
      <c r="C826" s="511"/>
      <c r="D826" s="511"/>
      <c r="E826" s="61" t="s">
        <v>1435</v>
      </c>
      <c r="F826" s="61" t="s">
        <v>54</v>
      </c>
      <c r="G826" s="61" t="s">
        <v>55</v>
      </c>
      <c r="H826" s="61"/>
      <c r="I826" s="61" t="s">
        <v>1366</v>
      </c>
      <c r="J826" s="62">
        <v>630</v>
      </c>
      <c r="K826" s="62">
        <v>700</v>
      </c>
      <c r="L826" s="62">
        <v>700</v>
      </c>
      <c r="M826" s="232">
        <v>890</v>
      </c>
      <c r="N826" s="55" t="s">
        <v>1591</v>
      </c>
      <c r="O826" s="61" t="s">
        <v>52</v>
      </c>
      <c r="P826" s="200"/>
      <c r="Q826" s="200"/>
      <c r="R826" s="200"/>
      <c r="S826" s="200"/>
      <c r="T826" s="66"/>
      <c r="U826" s="66"/>
      <c r="V826" s="66"/>
    </row>
    <row r="827" spans="1:22" s="64" customFormat="1" x14ac:dyDescent="0.25">
      <c r="A827" s="65" t="s">
        <v>1433</v>
      </c>
      <c r="B827" s="511" t="s">
        <v>1476</v>
      </c>
      <c r="C827" s="511"/>
      <c r="D827" s="511"/>
      <c r="E827" s="61" t="s">
        <v>1435</v>
      </c>
      <c r="F827" s="61" t="s">
        <v>389</v>
      </c>
      <c r="G827" s="61" t="s">
        <v>55</v>
      </c>
      <c r="H827" s="61"/>
      <c r="I827" s="61" t="s">
        <v>1366</v>
      </c>
      <c r="J827" s="62">
        <v>630</v>
      </c>
      <c r="K827" s="62">
        <v>700</v>
      </c>
      <c r="L827" s="62">
        <v>700</v>
      </c>
      <c r="M827" s="232">
        <v>890</v>
      </c>
      <c r="N827" s="55" t="s">
        <v>1591</v>
      </c>
      <c r="O827" s="61" t="s">
        <v>52</v>
      </c>
      <c r="P827" s="200"/>
      <c r="Q827" s="200"/>
      <c r="R827" s="200"/>
      <c r="S827" s="200"/>
      <c r="T827" s="66"/>
      <c r="U827" s="66"/>
      <c r="V827" s="66"/>
    </row>
    <row r="828" spans="1:22" s="64" customFormat="1" x14ac:dyDescent="0.25">
      <c r="A828" s="65" t="s">
        <v>1433</v>
      </c>
      <c r="B828" s="511" t="s">
        <v>1477</v>
      </c>
      <c r="C828" s="511"/>
      <c r="D828" s="511"/>
      <c r="E828" s="61" t="s">
        <v>1435</v>
      </c>
      <c r="F828" s="61" t="s">
        <v>54</v>
      </c>
      <c r="G828" s="61" t="s">
        <v>55</v>
      </c>
      <c r="H828" s="61"/>
      <c r="I828" s="61" t="s">
        <v>1366</v>
      </c>
      <c r="J828" s="62">
        <v>270</v>
      </c>
      <c r="K828" s="62">
        <v>300</v>
      </c>
      <c r="L828" s="62">
        <v>300</v>
      </c>
      <c r="M828" s="232">
        <v>385</v>
      </c>
      <c r="N828" s="55" t="s">
        <v>1591</v>
      </c>
      <c r="O828" s="61" t="s">
        <v>52</v>
      </c>
      <c r="P828" s="200"/>
      <c r="Q828" s="200"/>
      <c r="R828" s="200"/>
      <c r="S828" s="200"/>
      <c r="T828" s="66"/>
      <c r="U828" s="66"/>
      <c r="V828" s="66"/>
    </row>
    <row r="829" spans="1:22" s="64" customFormat="1" x14ac:dyDescent="0.25">
      <c r="A829" s="65" t="s">
        <v>1433</v>
      </c>
      <c r="B829" s="511" t="s">
        <v>1477</v>
      </c>
      <c r="C829" s="511"/>
      <c r="D829" s="511"/>
      <c r="E829" s="61" t="s">
        <v>1435</v>
      </c>
      <c r="F829" s="61" t="s">
        <v>389</v>
      </c>
      <c r="G829" s="61" t="s">
        <v>55</v>
      </c>
      <c r="H829" s="61"/>
      <c r="I829" s="61" t="s">
        <v>1366</v>
      </c>
      <c r="J829" s="62">
        <v>270</v>
      </c>
      <c r="K829" s="62">
        <v>300</v>
      </c>
      <c r="L829" s="62">
        <v>300</v>
      </c>
      <c r="M829" s="232">
        <v>385</v>
      </c>
      <c r="N829" s="55" t="s">
        <v>1591</v>
      </c>
      <c r="O829" s="61" t="s">
        <v>52</v>
      </c>
      <c r="P829" s="200"/>
      <c r="Q829" s="200"/>
      <c r="R829" s="200"/>
      <c r="S829" s="200"/>
      <c r="T829" s="66"/>
      <c r="U829" s="66"/>
      <c r="V829" s="66"/>
    </row>
    <row r="830" spans="1:22" s="64" customFormat="1" x14ac:dyDescent="0.25">
      <c r="A830" s="65" t="s">
        <v>1433</v>
      </c>
      <c r="B830" s="511" t="s">
        <v>1478</v>
      </c>
      <c r="C830" s="511"/>
      <c r="D830" s="511"/>
      <c r="E830" s="61" t="s">
        <v>1437</v>
      </c>
      <c r="F830" s="61" t="s">
        <v>54</v>
      </c>
      <c r="G830" s="61" t="s">
        <v>55</v>
      </c>
      <c r="H830" s="61"/>
      <c r="I830" s="61" t="s">
        <v>1366</v>
      </c>
      <c r="J830" s="62">
        <v>225</v>
      </c>
      <c r="K830" s="62">
        <v>250</v>
      </c>
      <c r="L830" s="62">
        <v>250</v>
      </c>
      <c r="M830" s="232">
        <v>320</v>
      </c>
      <c r="N830" s="55" t="s">
        <v>1591</v>
      </c>
      <c r="O830" s="61" t="s">
        <v>52</v>
      </c>
      <c r="P830" s="200"/>
      <c r="Q830" s="200"/>
      <c r="R830" s="200"/>
      <c r="S830" s="200"/>
      <c r="T830" s="66"/>
      <c r="U830" s="66"/>
      <c r="V830" s="66"/>
    </row>
    <row r="831" spans="1:22" s="64" customFormat="1" x14ac:dyDescent="0.25">
      <c r="A831" s="65" t="s">
        <v>1433</v>
      </c>
      <c r="B831" s="511" t="s">
        <v>1478</v>
      </c>
      <c r="C831" s="511"/>
      <c r="D831" s="511"/>
      <c r="E831" s="61" t="s">
        <v>1438</v>
      </c>
      <c r="F831" s="61" t="s">
        <v>389</v>
      </c>
      <c r="G831" s="61" t="s">
        <v>55</v>
      </c>
      <c r="H831" s="61"/>
      <c r="I831" s="61" t="s">
        <v>1366</v>
      </c>
      <c r="J831" s="62">
        <v>225</v>
      </c>
      <c r="K831" s="62">
        <v>250</v>
      </c>
      <c r="L831" s="62">
        <v>250</v>
      </c>
      <c r="M831" s="232">
        <v>320</v>
      </c>
      <c r="N831" s="55" t="s">
        <v>1591</v>
      </c>
      <c r="O831" s="61" t="s">
        <v>52</v>
      </c>
      <c r="P831" s="200"/>
      <c r="Q831" s="200"/>
      <c r="R831" s="200"/>
      <c r="S831" s="200"/>
      <c r="T831" s="66"/>
      <c r="U831" s="66"/>
      <c r="V831" s="66"/>
    </row>
    <row r="832" spans="1:22" s="64" customFormat="1" x14ac:dyDescent="0.25">
      <c r="A832" s="65" t="s">
        <v>1433</v>
      </c>
      <c r="B832" s="511" t="s">
        <v>1478</v>
      </c>
      <c r="C832" s="511"/>
      <c r="D832" s="511"/>
      <c r="E832" s="61" t="s">
        <v>1439</v>
      </c>
      <c r="F832" s="61" t="s">
        <v>389</v>
      </c>
      <c r="G832" s="61" t="s">
        <v>55</v>
      </c>
      <c r="H832" s="61"/>
      <c r="I832" s="61" t="s">
        <v>1366</v>
      </c>
      <c r="J832" s="62">
        <v>225</v>
      </c>
      <c r="K832" s="62">
        <v>250</v>
      </c>
      <c r="L832" s="62">
        <v>250</v>
      </c>
      <c r="M832" s="232">
        <v>320</v>
      </c>
      <c r="N832" s="55" t="s">
        <v>1591</v>
      </c>
      <c r="O832" s="61" t="s">
        <v>52</v>
      </c>
      <c r="P832" s="200"/>
      <c r="Q832" s="200"/>
      <c r="R832" s="200"/>
      <c r="S832" s="200"/>
      <c r="T832" s="66"/>
      <c r="U832" s="66"/>
      <c r="V832" s="66"/>
    </row>
    <row r="833" spans="1:22" s="64" customFormat="1" x14ac:dyDescent="0.25">
      <c r="A833" s="65" t="s">
        <v>1433</v>
      </c>
      <c r="B833" s="511" t="s">
        <v>1478</v>
      </c>
      <c r="C833" s="511"/>
      <c r="D833" s="511"/>
      <c r="E833" s="61" t="s">
        <v>1437</v>
      </c>
      <c r="F833" s="61" t="s">
        <v>389</v>
      </c>
      <c r="G833" s="61" t="s">
        <v>55</v>
      </c>
      <c r="H833" s="61"/>
      <c r="I833" s="61" t="s">
        <v>1366</v>
      </c>
      <c r="J833" s="62">
        <v>225</v>
      </c>
      <c r="K833" s="62">
        <v>250</v>
      </c>
      <c r="L833" s="62">
        <v>250</v>
      </c>
      <c r="M833" s="232">
        <v>320</v>
      </c>
      <c r="N833" s="55" t="s">
        <v>1591</v>
      </c>
      <c r="O833" s="61" t="s">
        <v>52</v>
      </c>
      <c r="P833" s="200"/>
      <c r="Q833" s="200"/>
      <c r="R833" s="200"/>
      <c r="S833" s="200"/>
      <c r="T833" s="66"/>
      <c r="U833" s="66"/>
      <c r="V833" s="66"/>
    </row>
    <row r="834" spans="1:22" s="64" customFormat="1" x14ac:dyDescent="0.25">
      <c r="A834" s="65" t="s">
        <v>1433</v>
      </c>
      <c r="B834" s="511" t="s">
        <v>1479</v>
      </c>
      <c r="C834" s="511"/>
      <c r="D834" s="511"/>
      <c r="E834" s="61" t="s">
        <v>1437</v>
      </c>
      <c r="F834" s="61" t="s">
        <v>54</v>
      </c>
      <c r="G834" s="61" t="s">
        <v>55</v>
      </c>
      <c r="H834" s="61"/>
      <c r="I834" s="61" t="s">
        <v>1366</v>
      </c>
      <c r="J834" s="62">
        <v>270</v>
      </c>
      <c r="K834" s="62">
        <v>300</v>
      </c>
      <c r="L834" s="62">
        <v>300</v>
      </c>
      <c r="M834" s="232">
        <v>380</v>
      </c>
      <c r="N834" s="55" t="s">
        <v>1591</v>
      </c>
      <c r="O834" s="61" t="s">
        <v>52</v>
      </c>
      <c r="P834" s="200"/>
      <c r="Q834" s="200"/>
      <c r="R834" s="200"/>
      <c r="S834" s="200"/>
      <c r="T834" s="66"/>
      <c r="U834" s="66"/>
      <c r="V834" s="66"/>
    </row>
    <row r="835" spans="1:22" s="64" customFormat="1" x14ac:dyDescent="0.25">
      <c r="A835" s="65" t="s">
        <v>1433</v>
      </c>
      <c r="B835" s="511" t="s">
        <v>1479</v>
      </c>
      <c r="C835" s="511"/>
      <c r="D835" s="511"/>
      <c r="E835" s="61" t="s">
        <v>1438</v>
      </c>
      <c r="F835" s="61" t="s">
        <v>389</v>
      </c>
      <c r="G835" s="61" t="s">
        <v>55</v>
      </c>
      <c r="H835" s="61"/>
      <c r="I835" s="61" t="s">
        <v>1366</v>
      </c>
      <c r="J835" s="62">
        <v>270</v>
      </c>
      <c r="K835" s="62">
        <v>300</v>
      </c>
      <c r="L835" s="62">
        <v>300</v>
      </c>
      <c r="M835" s="232">
        <v>380</v>
      </c>
      <c r="N835" s="55" t="s">
        <v>1591</v>
      </c>
      <c r="O835" s="61" t="s">
        <v>52</v>
      </c>
      <c r="P835" s="200"/>
      <c r="Q835" s="200"/>
      <c r="R835" s="200"/>
      <c r="S835" s="200"/>
      <c r="T835" s="66"/>
      <c r="U835" s="66"/>
      <c r="V835" s="66"/>
    </row>
    <row r="836" spans="1:22" s="64" customFormat="1" x14ac:dyDescent="0.25">
      <c r="A836" s="65" t="s">
        <v>1433</v>
      </c>
      <c r="B836" s="511" t="s">
        <v>1479</v>
      </c>
      <c r="C836" s="511"/>
      <c r="D836" s="511"/>
      <c r="E836" s="61" t="s">
        <v>1439</v>
      </c>
      <c r="F836" s="61" t="s">
        <v>389</v>
      </c>
      <c r="G836" s="61" t="s">
        <v>55</v>
      </c>
      <c r="H836" s="61"/>
      <c r="I836" s="61" t="s">
        <v>1366</v>
      </c>
      <c r="J836" s="62">
        <v>270</v>
      </c>
      <c r="K836" s="62">
        <v>300</v>
      </c>
      <c r="L836" s="62">
        <v>300</v>
      </c>
      <c r="M836" s="232">
        <v>380</v>
      </c>
      <c r="N836" s="55" t="s">
        <v>1591</v>
      </c>
      <c r="O836" s="61" t="s">
        <v>52</v>
      </c>
      <c r="P836" s="200"/>
      <c r="Q836" s="200"/>
      <c r="R836" s="200"/>
      <c r="S836" s="200"/>
      <c r="T836" s="66"/>
      <c r="U836" s="66"/>
      <c r="V836" s="66"/>
    </row>
    <row r="837" spans="1:22" s="64" customFormat="1" x14ac:dyDescent="0.25">
      <c r="A837" s="65" t="s">
        <v>1433</v>
      </c>
      <c r="B837" s="511" t="s">
        <v>1479</v>
      </c>
      <c r="C837" s="511"/>
      <c r="D837" s="511"/>
      <c r="E837" s="61" t="s">
        <v>1437</v>
      </c>
      <c r="F837" s="61" t="s">
        <v>389</v>
      </c>
      <c r="G837" s="61" t="s">
        <v>55</v>
      </c>
      <c r="H837" s="61"/>
      <c r="I837" s="61" t="s">
        <v>1366</v>
      </c>
      <c r="J837" s="62">
        <v>270</v>
      </c>
      <c r="K837" s="62">
        <v>300</v>
      </c>
      <c r="L837" s="62">
        <v>300</v>
      </c>
      <c r="M837" s="232">
        <v>380</v>
      </c>
      <c r="N837" s="55" t="s">
        <v>1591</v>
      </c>
      <c r="O837" s="61" t="s">
        <v>52</v>
      </c>
      <c r="P837" s="200"/>
      <c r="Q837" s="200"/>
      <c r="R837" s="200"/>
      <c r="S837" s="200"/>
      <c r="T837" s="66"/>
      <c r="U837" s="66"/>
      <c r="V837" s="66"/>
    </row>
    <row r="838" spans="1:22" s="64" customFormat="1" x14ac:dyDescent="0.25">
      <c r="A838" s="65" t="s">
        <v>1433</v>
      </c>
      <c r="B838" s="511" t="s">
        <v>1480</v>
      </c>
      <c r="C838" s="511"/>
      <c r="D838" s="511"/>
      <c r="E838" s="61" t="s">
        <v>1437</v>
      </c>
      <c r="F838" s="61" t="s">
        <v>54</v>
      </c>
      <c r="G838" s="61" t="s">
        <v>55</v>
      </c>
      <c r="H838" s="61"/>
      <c r="I838" s="61" t="s">
        <v>1366</v>
      </c>
      <c r="J838" s="62">
        <v>90</v>
      </c>
      <c r="K838" s="62">
        <v>100</v>
      </c>
      <c r="L838" s="62">
        <v>100</v>
      </c>
      <c r="M838" s="232">
        <v>130</v>
      </c>
      <c r="N838" s="55" t="s">
        <v>1591</v>
      </c>
      <c r="O838" s="61" t="s">
        <v>52</v>
      </c>
      <c r="P838" s="200"/>
      <c r="Q838" s="200"/>
      <c r="R838" s="200"/>
      <c r="S838" s="200"/>
      <c r="T838" s="66"/>
      <c r="U838" s="66"/>
      <c r="V838" s="66"/>
    </row>
    <row r="839" spans="1:22" s="64" customFormat="1" x14ac:dyDescent="0.25">
      <c r="A839" s="65" t="s">
        <v>1433</v>
      </c>
      <c r="B839" s="511" t="s">
        <v>1481</v>
      </c>
      <c r="C839" s="511"/>
      <c r="D839" s="511"/>
      <c r="E839" s="61" t="s">
        <v>1435</v>
      </c>
      <c r="F839" s="61" t="s">
        <v>54</v>
      </c>
      <c r="G839" s="61" t="s">
        <v>55</v>
      </c>
      <c r="H839" s="61"/>
      <c r="I839" s="61" t="s">
        <v>1366</v>
      </c>
      <c r="J839" s="62">
        <v>450</v>
      </c>
      <c r="K839" s="62">
        <v>500</v>
      </c>
      <c r="L839" s="62">
        <v>500</v>
      </c>
      <c r="M839" s="232">
        <v>635</v>
      </c>
      <c r="N839" s="55" t="s">
        <v>1591</v>
      </c>
      <c r="O839" s="61" t="s">
        <v>52</v>
      </c>
      <c r="P839" s="200"/>
      <c r="Q839" s="200"/>
      <c r="R839" s="200"/>
      <c r="S839" s="200"/>
      <c r="T839" s="66"/>
      <c r="U839" s="66"/>
      <c r="V839" s="66"/>
    </row>
    <row r="840" spans="1:22" s="64" customFormat="1" x14ac:dyDescent="0.25">
      <c r="A840" s="65" t="s">
        <v>1433</v>
      </c>
      <c r="B840" s="511" t="s">
        <v>1481</v>
      </c>
      <c r="C840" s="511"/>
      <c r="D840" s="511"/>
      <c r="E840" s="61" t="s">
        <v>1435</v>
      </c>
      <c r="F840" s="61" t="s">
        <v>389</v>
      </c>
      <c r="G840" s="61" t="s">
        <v>55</v>
      </c>
      <c r="H840" s="61"/>
      <c r="I840" s="61" t="s">
        <v>1366</v>
      </c>
      <c r="J840" s="62">
        <v>450</v>
      </c>
      <c r="K840" s="62">
        <v>500</v>
      </c>
      <c r="L840" s="62">
        <v>500</v>
      </c>
      <c r="M840" s="232">
        <v>635</v>
      </c>
      <c r="N840" s="55" t="s">
        <v>1591</v>
      </c>
      <c r="O840" s="61" t="s">
        <v>52</v>
      </c>
      <c r="P840" s="200"/>
      <c r="Q840" s="200"/>
      <c r="R840" s="200"/>
      <c r="S840" s="200"/>
      <c r="T840" s="66"/>
      <c r="U840" s="66"/>
      <c r="V840" s="66"/>
    </row>
    <row r="841" spans="1:22" s="64" customFormat="1" x14ac:dyDescent="0.25">
      <c r="A841" s="65" t="s">
        <v>1433</v>
      </c>
      <c r="B841" s="511" t="s">
        <v>1481</v>
      </c>
      <c r="C841" s="511"/>
      <c r="D841" s="511"/>
      <c r="E841" s="61" t="s">
        <v>1447</v>
      </c>
      <c r="F841" s="61" t="s">
        <v>56</v>
      </c>
      <c r="G841" s="61" t="s">
        <v>55</v>
      </c>
      <c r="H841" s="61"/>
      <c r="I841" s="61" t="s">
        <v>1366</v>
      </c>
      <c r="J841" s="62">
        <v>620</v>
      </c>
      <c r="K841" s="62">
        <v>815</v>
      </c>
      <c r="L841" s="62">
        <v>815</v>
      </c>
      <c r="M841" s="232"/>
      <c r="N841" s="55" t="s">
        <v>1591</v>
      </c>
      <c r="O841" s="61" t="s">
        <v>52</v>
      </c>
      <c r="P841" s="200"/>
      <c r="Q841" s="200"/>
      <c r="R841" s="200"/>
      <c r="S841" s="200"/>
      <c r="T841" s="66"/>
      <c r="U841" s="66"/>
      <c r="V841" s="66"/>
    </row>
    <row r="842" spans="1:22" s="64" customFormat="1" x14ac:dyDescent="0.25">
      <c r="A842" s="65" t="s">
        <v>1433</v>
      </c>
      <c r="B842" s="511" t="s">
        <v>1481</v>
      </c>
      <c r="C842" s="511"/>
      <c r="D842" s="511"/>
      <c r="E842" s="61" t="s">
        <v>1455</v>
      </c>
      <c r="F842" s="61" t="s">
        <v>56</v>
      </c>
      <c r="G842" s="61" t="s">
        <v>55</v>
      </c>
      <c r="H842" s="61"/>
      <c r="I842" s="61" t="s">
        <v>1366</v>
      </c>
      <c r="J842" s="62">
        <v>495</v>
      </c>
      <c r="K842" s="62">
        <v>720</v>
      </c>
      <c r="L842" s="62">
        <v>720</v>
      </c>
      <c r="M842" s="232"/>
      <c r="N842" s="55" t="s">
        <v>1591</v>
      </c>
      <c r="O842" s="61" t="s">
        <v>52</v>
      </c>
      <c r="P842" s="200"/>
      <c r="Q842" s="200"/>
      <c r="R842" s="200"/>
      <c r="S842" s="200"/>
      <c r="T842" s="66"/>
      <c r="U842" s="66"/>
      <c r="V842" s="66"/>
    </row>
    <row r="843" spans="1:22" s="64" customFormat="1" x14ac:dyDescent="0.25">
      <c r="A843" s="65" t="s">
        <v>1433</v>
      </c>
      <c r="B843" s="511" t="s">
        <v>1481</v>
      </c>
      <c r="C843" s="511"/>
      <c r="D843" s="511"/>
      <c r="E843" s="61" t="s">
        <v>1437</v>
      </c>
      <c r="F843" s="61" t="s">
        <v>56</v>
      </c>
      <c r="G843" s="61" t="s">
        <v>55</v>
      </c>
      <c r="H843" s="61"/>
      <c r="I843" s="61" t="s">
        <v>1366</v>
      </c>
      <c r="J843" s="62">
        <v>705</v>
      </c>
      <c r="K843" s="62">
        <v>815</v>
      </c>
      <c r="L843" s="62">
        <v>815</v>
      </c>
      <c r="M843" s="232"/>
      <c r="N843" s="55" t="s">
        <v>1591</v>
      </c>
      <c r="O843" s="61" t="s">
        <v>52</v>
      </c>
      <c r="P843" s="200"/>
      <c r="Q843" s="200"/>
      <c r="R843" s="200"/>
      <c r="S843" s="200"/>
      <c r="T843" s="66"/>
      <c r="U843" s="66"/>
      <c r="V843" s="66"/>
    </row>
    <row r="844" spans="1:22" s="64" customFormat="1" x14ac:dyDescent="0.25">
      <c r="A844" s="65" t="s">
        <v>1433</v>
      </c>
      <c r="B844" s="511" t="s">
        <v>1482</v>
      </c>
      <c r="C844" s="511"/>
      <c r="D844" s="511"/>
      <c r="E844" s="61" t="s">
        <v>1435</v>
      </c>
      <c r="F844" s="61" t="s">
        <v>54</v>
      </c>
      <c r="G844" s="61" t="s">
        <v>55</v>
      </c>
      <c r="H844" s="61"/>
      <c r="I844" s="61" t="s">
        <v>1366</v>
      </c>
      <c r="J844" s="62">
        <v>225</v>
      </c>
      <c r="K844" s="62">
        <v>250</v>
      </c>
      <c r="L844" s="62">
        <v>250</v>
      </c>
      <c r="M844" s="232">
        <v>320</v>
      </c>
      <c r="N844" s="55" t="s">
        <v>1591</v>
      </c>
      <c r="O844" s="61" t="s">
        <v>52</v>
      </c>
      <c r="P844" s="200"/>
      <c r="Q844" s="200"/>
      <c r="R844" s="200"/>
      <c r="S844" s="200"/>
      <c r="T844" s="66"/>
      <c r="U844" s="66"/>
      <c r="V844" s="66"/>
    </row>
    <row r="845" spans="1:22" s="64" customFormat="1" x14ac:dyDescent="0.25">
      <c r="A845" s="65" t="s">
        <v>1433</v>
      </c>
      <c r="B845" s="511" t="s">
        <v>1482</v>
      </c>
      <c r="C845" s="511"/>
      <c r="D845" s="511"/>
      <c r="E845" s="61" t="s">
        <v>1435</v>
      </c>
      <c r="F845" s="61" t="s">
        <v>389</v>
      </c>
      <c r="G845" s="61" t="s">
        <v>55</v>
      </c>
      <c r="H845" s="61"/>
      <c r="I845" s="61" t="s">
        <v>1366</v>
      </c>
      <c r="J845" s="62">
        <v>225</v>
      </c>
      <c r="K845" s="62">
        <v>250</v>
      </c>
      <c r="L845" s="62">
        <v>250</v>
      </c>
      <c r="M845" s="232">
        <v>320</v>
      </c>
      <c r="N845" s="55" t="s">
        <v>1591</v>
      </c>
      <c r="O845" s="61" t="s">
        <v>52</v>
      </c>
      <c r="P845" s="200"/>
      <c r="Q845" s="200"/>
      <c r="R845" s="200"/>
      <c r="S845" s="200"/>
      <c r="T845" s="66"/>
      <c r="U845" s="66"/>
      <c r="V845" s="66"/>
    </row>
    <row r="846" spans="1:22" s="64" customFormat="1" x14ac:dyDescent="0.25">
      <c r="A846" s="65" t="s">
        <v>1433</v>
      </c>
      <c r="B846" s="511" t="s">
        <v>1482</v>
      </c>
      <c r="C846" s="511"/>
      <c r="D846" s="511"/>
      <c r="E846" s="61" t="s">
        <v>1435</v>
      </c>
      <c r="F846" s="61" t="s">
        <v>56</v>
      </c>
      <c r="G846" s="61" t="s">
        <v>55</v>
      </c>
      <c r="H846" s="61"/>
      <c r="I846" s="61" t="s">
        <v>1366</v>
      </c>
      <c r="J846" s="62">
        <v>745</v>
      </c>
      <c r="K846" s="62">
        <v>970</v>
      </c>
      <c r="L846" s="62">
        <v>970</v>
      </c>
      <c r="M846" s="232">
        <v>510</v>
      </c>
      <c r="N846" s="55" t="s">
        <v>1591</v>
      </c>
      <c r="O846" s="61" t="s">
        <v>52</v>
      </c>
      <c r="P846" s="200"/>
      <c r="Q846" s="200"/>
      <c r="R846" s="200"/>
      <c r="S846" s="200"/>
      <c r="T846" s="66"/>
      <c r="U846" s="66"/>
      <c r="V846" s="66"/>
    </row>
    <row r="847" spans="1:22" s="64" customFormat="1" x14ac:dyDescent="0.25">
      <c r="A847" s="65" t="s">
        <v>1433</v>
      </c>
      <c r="B847" s="511" t="s">
        <v>1440</v>
      </c>
      <c r="C847" s="511"/>
      <c r="D847" s="511"/>
      <c r="E847" s="61" t="s">
        <v>1437</v>
      </c>
      <c r="F847" s="61" t="s">
        <v>54</v>
      </c>
      <c r="G847" s="61" t="s">
        <v>55</v>
      </c>
      <c r="H847" s="61"/>
      <c r="I847" s="61" t="s">
        <v>1366</v>
      </c>
      <c r="J847" s="62">
        <v>135</v>
      </c>
      <c r="K847" s="62">
        <v>150</v>
      </c>
      <c r="L847" s="62">
        <v>150</v>
      </c>
      <c r="M847" s="232">
        <v>190</v>
      </c>
      <c r="N847" s="55" t="s">
        <v>1591</v>
      </c>
      <c r="O847" s="61" t="s">
        <v>52</v>
      </c>
      <c r="P847" s="200"/>
      <c r="Q847" s="200"/>
      <c r="R847" s="200"/>
      <c r="S847" s="200"/>
      <c r="T847" s="66"/>
      <c r="U847" s="66"/>
      <c r="V847" s="66"/>
    </row>
    <row r="848" spans="1:22" s="64" customFormat="1" x14ac:dyDescent="0.25">
      <c r="A848" s="65" t="s">
        <v>1433</v>
      </c>
      <c r="B848" s="511" t="s">
        <v>1440</v>
      </c>
      <c r="C848" s="511"/>
      <c r="D848" s="511"/>
      <c r="E848" s="61" t="s">
        <v>1438</v>
      </c>
      <c r="F848" s="61" t="s">
        <v>389</v>
      </c>
      <c r="G848" s="61" t="s">
        <v>55</v>
      </c>
      <c r="H848" s="61"/>
      <c r="I848" s="61" t="s">
        <v>1366</v>
      </c>
      <c r="J848" s="62">
        <v>135</v>
      </c>
      <c r="K848" s="62">
        <v>150</v>
      </c>
      <c r="L848" s="62">
        <v>150</v>
      </c>
      <c r="M848" s="232">
        <v>190</v>
      </c>
      <c r="N848" s="55" t="s">
        <v>1591</v>
      </c>
      <c r="O848" s="61" t="s">
        <v>52</v>
      </c>
      <c r="P848" s="200"/>
      <c r="Q848" s="200"/>
      <c r="R848" s="200"/>
      <c r="S848" s="200"/>
      <c r="T848" s="66"/>
      <c r="U848" s="66"/>
      <c r="V848" s="66"/>
    </row>
    <row r="849" spans="1:22" s="64" customFormat="1" x14ac:dyDescent="0.25">
      <c r="A849" s="65" t="s">
        <v>1433</v>
      </c>
      <c r="B849" s="511" t="s">
        <v>1440</v>
      </c>
      <c r="C849" s="511"/>
      <c r="D849" s="511"/>
      <c r="E849" s="61" t="s">
        <v>1439</v>
      </c>
      <c r="F849" s="61" t="s">
        <v>389</v>
      </c>
      <c r="G849" s="61" t="s">
        <v>55</v>
      </c>
      <c r="H849" s="61"/>
      <c r="I849" s="61" t="s">
        <v>1366</v>
      </c>
      <c r="J849" s="62">
        <v>135</v>
      </c>
      <c r="K849" s="62">
        <v>150</v>
      </c>
      <c r="L849" s="62">
        <v>150</v>
      </c>
      <c r="M849" s="232">
        <v>190</v>
      </c>
      <c r="N849" s="55" t="s">
        <v>1591</v>
      </c>
      <c r="O849" s="61" t="s">
        <v>52</v>
      </c>
      <c r="P849" s="200"/>
      <c r="Q849" s="200"/>
      <c r="R849" s="200"/>
      <c r="S849" s="200"/>
      <c r="T849" s="66"/>
      <c r="U849" s="66"/>
      <c r="V849" s="66"/>
    </row>
    <row r="850" spans="1:22" s="64" customFormat="1" x14ac:dyDescent="0.25">
      <c r="A850" s="65" t="s">
        <v>1433</v>
      </c>
      <c r="B850" s="511" t="s">
        <v>1440</v>
      </c>
      <c r="C850" s="511"/>
      <c r="D850" s="511"/>
      <c r="E850" s="61" t="s">
        <v>1437</v>
      </c>
      <c r="F850" s="61" t="s">
        <v>389</v>
      </c>
      <c r="G850" s="61" t="s">
        <v>55</v>
      </c>
      <c r="H850" s="61"/>
      <c r="I850" s="61" t="s">
        <v>1366</v>
      </c>
      <c r="J850" s="62">
        <v>135</v>
      </c>
      <c r="K850" s="62">
        <v>150</v>
      </c>
      <c r="L850" s="62">
        <v>150</v>
      </c>
      <c r="M850" s="232">
        <v>190</v>
      </c>
      <c r="N850" s="55" t="s">
        <v>1591</v>
      </c>
      <c r="O850" s="61" t="s">
        <v>52</v>
      </c>
      <c r="P850" s="200"/>
      <c r="Q850" s="200"/>
      <c r="R850" s="200"/>
      <c r="S850" s="200"/>
      <c r="T850" s="66"/>
      <c r="U850" s="66"/>
      <c r="V850" s="66"/>
    </row>
    <row r="851" spans="1:22" s="64" customFormat="1" x14ac:dyDescent="0.25">
      <c r="A851" s="65" t="s">
        <v>1433</v>
      </c>
      <c r="B851" s="511" t="s">
        <v>1483</v>
      </c>
      <c r="C851" s="511"/>
      <c r="D851" s="511"/>
      <c r="E851" s="61" t="s">
        <v>1435</v>
      </c>
      <c r="F851" s="61" t="s">
        <v>56</v>
      </c>
      <c r="G851" s="61" t="s">
        <v>55</v>
      </c>
      <c r="H851" s="61"/>
      <c r="I851" s="61" t="s">
        <v>1366</v>
      </c>
      <c r="J851" s="62">
        <v>235</v>
      </c>
      <c r="K851" s="62">
        <v>265</v>
      </c>
      <c r="L851" s="62">
        <v>265</v>
      </c>
      <c r="M851" s="232"/>
      <c r="N851" s="55" t="s">
        <v>1591</v>
      </c>
      <c r="O851" s="61" t="s">
        <v>52</v>
      </c>
      <c r="P851" s="200"/>
      <c r="Q851" s="200"/>
      <c r="R851" s="200"/>
      <c r="S851" s="200"/>
      <c r="T851" s="66"/>
      <c r="U851" s="66"/>
      <c r="V851" s="66"/>
    </row>
    <row r="852" spans="1:22" s="64" customFormat="1" x14ac:dyDescent="0.25">
      <c r="A852" s="65" t="s">
        <v>1433</v>
      </c>
      <c r="B852" s="511" t="s">
        <v>1484</v>
      </c>
      <c r="C852" s="511"/>
      <c r="D852" s="511"/>
      <c r="E852" s="61" t="s">
        <v>1435</v>
      </c>
      <c r="F852" s="61" t="s">
        <v>54</v>
      </c>
      <c r="G852" s="61" t="s">
        <v>55</v>
      </c>
      <c r="H852" s="61"/>
      <c r="I852" s="61" t="s">
        <v>1366</v>
      </c>
      <c r="J852" s="62">
        <v>180</v>
      </c>
      <c r="K852" s="62">
        <v>200</v>
      </c>
      <c r="L852" s="62">
        <v>200</v>
      </c>
      <c r="M852" s="232">
        <v>255</v>
      </c>
      <c r="N852" s="55" t="s">
        <v>1591</v>
      </c>
      <c r="O852" s="61" t="s">
        <v>52</v>
      </c>
      <c r="P852" s="200"/>
      <c r="Q852" s="200"/>
      <c r="R852" s="200"/>
      <c r="S852" s="200"/>
      <c r="T852" s="66"/>
      <c r="U852" s="66"/>
      <c r="V852" s="66"/>
    </row>
    <row r="853" spans="1:22" s="64" customFormat="1" x14ac:dyDescent="0.25">
      <c r="A853" s="65" t="s">
        <v>1433</v>
      </c>
      <c r="B853" s="511" t="s">
        <v>1484</v>
      </c>
      <c r="C853" s="511"/>
      <c r="D853" s="511"/>
      <c r="E853" s="61" t="s">
        <v>1435</v>
      </c>
      <c r="F853" s="61" t="s">
        <v>389</v>
      </c>
      <c r="G853" s="61" t="s">
        <v>55</v>
      </c>
      <c r="H853" s="61"/>
      <c r="I853" s="61" t="s">
        <v>1366</v>
      </c>
      <c r="J853" s="62">
        <v>180</v>
      </c>
      <c r="K853" s="62">
        <v>200</v>
      </c>
      <c r="L853" s="62">
        <v>200</v>
      </c>
      <c r="M853" s="232">
        <v>255</v>
      </c>
      <c r="N853" s="55" t="s">
        <v>1591</v>
      </c>
      <c r="O853" s="61" t="s">
        <v>52</v>
      </c>
      <c r="P853" s="200"/>
      <c r="Q853" s="200"/>
      <c r="R853" s="200"/>
      <c r="S853" s="200"/>
      <c r="T853" s="66"/>
      <c r="U853" s="66"/>
      <c r="V853" s="66"/>
    </row>
    <row r="854" spans="1:22" s="64" customFormat="1" x14ac:dyDescent="0.25">
      <c r="A854" s="65" t="s">
        <v>1433</v>
      </c>
      <c r="B854" s="511" t="s">
        <v>1485</v>
      </c>
      <c r="C854" s="511"/>
      <c r="D854" s="511"/>
      <c r="E854" s="61" t="s">
        <v>1437</v>
      </c>
      <c r="F854" s="61" t="s">
        <v>54</v>
      </c>
      <c r="G854" s="61" t="s">
        <v>55</v>
      </c>
      <c r="H854" s="61"/>
      <c r="I854" s="61" t="s">
        <v>1366</v>
      </c>
      <c r="J854" s="62">
        <v>225</v>
      </c>
      <c r="K854" s="62">
        <v>250</v>
      </c>
      <c r="L854" s="62">
        <v>250</v>
      </c>
      <c r="M854" s="232">
        <v>320</v>
      </c>
      <c r="N854" s="55" t="s">
        <v>1591</v>
      </c>
      <c r="O854" s="61" t="s">
        <v>52</v>
      </c>
      <c r="P854" s="200"/>
      <c r="Q854" s="200"/>
      <c r="R854" s="200"/>
      <c r="S854" s="200"/>
      <c r="T854" s="66"/>
      <c r="U854" s="66"/>
      <c r="V854" s="66"/>
    </row>
    <row r="855" spans="1:22" s="64" customFormat="1" x14ac:dyDescent="0.25">
      <c r="A855" s="65" t="s">
        <v>1433</v>
      </c>
      <c r="B855" s="511" t="s">
        <v>1485</v>
      </c>
      <c r="C855" s="511"/>
      <c r="D855" s="511"/>
      <c r="E855" s="61" t="s">
        <v>1438</v>
      </c>
      <c r="F855" s="61" t="s">
        <v>389</v>
      </c>
      <c r="G855" s="61" t="s">
        <v>55</v>
      </c>
      <c r="H855" s="61"/>
      <c r="I855" s="61" t="s">
        <v>1366</v>
      </c>
      <c r="J855" s="62">
        <v>225</v>
      </c>
      <c r="K855" s="62">
        <v>250</v>
      </c>
      <c r="L855" s="62">
        <v>250</v>
      </c>
      <c r="M855" s="232">
        <v>320</v>
      </c>
      <c r="N855" s="55" t="s">
        <v>1591</v>
      </c>
      <c r="O855" s="61" t="s">
        <v>52</v>
      </c>
      <c r="P855" s="200"/>
      <c r="Q855" s="200"/>
      <c r="R855" s="200"/>
      <c r="S855" s="200"/>
      <c r="T855" s="66"/>
      <c r="U855" s="66"/>
      <c r="V855" s="66"/>
    </row>
    <row r="856" spans="1:22" s="64" customFormat="1" x14ac:dyDescent="0.25">
      <c r="A856" s="65" t="s">
        <v>1433</v>
      </c>
      <c r="B856" s="511" t="s">
        <v>1485</v>
      </c>
      <c r="C856" s="511"/>
      <c r="D856" s="511"/>
      <c r="E856" s="61" t="s">
        <v>1439</v>
      </c>
      <c r="F856" s="61" t="s">
        <v>389</v>
      </c>
      <c r="G856" s="61" t="s">
        <v>55</v>
      </c>
      <c r="H856" s="61"/>
      <c r="I856" s="61" t="s">
        <v>1366</v>
      </c>
      <c r="J856" s="62">
        <v>225</v>
      </c>
      <c r="K856" s="62">
        <v>250</v>
      </c>
      <c r="L856" s="62">
        <v>250</v>
      </c>
      <c r="M856" s="232">
        <v>320</v>
      </c>
      <c r="N856" s="55" t="s">
        <v>1591</v>
      </c>
      <c r="O856" s="61" t="s">
        <v>52</v>
      </c>
      <c r="P856" s="200"/>
      <c r="Q856" s="200"/>
      <c r="R856" s="200"/>
      <c r="S856" s="200"/>
      <c r="T856" s="66"/>
      <c r="U856" s="66"/>
      <c r="V856" s="66"/>
    </row>
    <row r="857" spans="1:22" s="64" customFormat="1" x14ac:dyDescent="0.25">
      <c r="A857" s="65" t="s">
        <v>1433</v>
      </c>
      <c r="B857" s="511" t="s">
        <v>1485</v>
      </c>
      <c r="C857" s="511"/>
      <c r="D857" s="511"/>
      <c r="E857" s="61" t="s">
        <v>1437</v>
      </c>
      <c r="F857" s="61" t="s">
        <v>389</v>
      </c>
      <c r="G857" s="61" t="s">
        <v>55</v>
      </c>
      <c r="H857" s="61"/>
      <c r="I857" s="61" t="s">
        <v>1366</v>
      </c>
      <c r="J857" s="62">
        <v>225</v>
      </c>
      <c r="K857" s="62">
        <v>250</v>
      </c>
      <c r="L857" s="62">
        <v>250</v>
      </c>
      <c r="M857" s="232">
        <v>320</v>
      </c>
      <c r="N857" s="55" t="s">
        <v>1591</v>
      </c>
      <c r="O857" s="61" t="s">
        <v>52</v>
      </c>
      <c r="P857" s="200"/>
      <c r="Q857" s="200"/>
      <c r="R857" s="200"/>
      <c r="S857" s="200"/>
      <c r="T857" s="66"/>
      <c r="U857" s="66"/>
      <c r="V857" s="66"/>
    </row>
    <row r="858" spans="1:22" s="64" customFormat="1" x14ac:dyDescent="0.25">
      <c r="A858" s="65" t="s">
        <v>1433</v>
      </c>
      <c r="B858" s="511" t="s">
        <v>1486</v>
      </c>
      <c r="C858" s="511"/>
      <c r="D858" s="511"/>
      <c r="E858" s="61" t="s">
        <v>1437</v>
      </c>
      <c r="F858" s="61" t="s">
        <v>54</v>
      </c>
      <c r="G858" s="61" t="s">
        <v>55</v>
      </c>
      <c r="H858" s="61"/>
      <c r="I858" s="61" t="s">
        <v>1366</v>
      </c>
      <c r="J858" s="62">
        <v>225</v>
      </c>
      <c r="K858" s="62">
        <v>250</v>
      </c>
      <c r="L858" s="62">
        <v>250</v>
      </c>
      <c r="M858" s="232">
        <v>320</v>
      </c>
      <c r="N858" s="55" t="s">
        <v>1591</v>
      </c>
      <c r="O858" s="61" t="s">
        <v>52</v>
      </c>
      <c r="P858" s="200"/>
      <c r="Q858" s="200"/>
      <c r="R858" s="200"/>
      <c r="S858" s="200"/>
      <c r="T858" s="66"/>
      <c r="U858" s="66"/>
      <c r="V858" s="66"/>
    </row>
    <row r="859" spans="1:22" s="64" customFormat="1" x14ac:dyDescent="0.25">
      <c r="A859" s="65" t="s">
        <v>1433</v>
      </c>
      <c r="B859" s="511" t="s">
        <v>1486</v>
      </c>
      <c r="C859" s="511"/>
      <c r="D859" s="511"/>
      <c r="E859" s="61" t="s">
        <v>1438</v>
      </c>
      <c r="F859" s="61" t="s">
        <v>389</v>
      </c>
      <c r="G859" s="61" t="s">
        <v>55</v>
      </c>
      <c r="H859" s="61"/>
      <c r="I859" s="61" t="s">
        <v>1366</v>
      </c>
      <c r="J859" s="62">
        <v>225</v>
      </c>
      <c r="K859" s="62">
        <v>250</v>
      </c>
      <c r="L859" s="62">
        <v>250</v>
      </c>
      <c r="M859" s="232">
        <v>320</v>
      </c>
      <c r="N859" s="55" t="s">
        <v>1591</v>
      </c>
      <c r="O859" s="61" t="s">
        <v>52</v>
      </c>
      <c r="P859" s="200"/>
      <c r="Q859" s="200"/>
      <c r="R859" s="200"/>
      <c r="S859" s="200"/>
      <c r="T859" s="66"/>
      <c r="U859" s="66"/>
      <c r="V859" s="66"/>
    </row>
    <row r="860" spans="1:22" s="64" customFormat="1" x14ac:dyDescent="0.25">
      <c r="A860" s="65" t="s">
        <v>1433</v>
      </c>
      <c r="B860" s="511" t="s">
        <v>1486</v>
      </c>
      <c r="C860" s="511"/>
      <c r="D860" s="511"/>
      <c r="E860" s="61" t="s">
        <v>1439</v>
      </c>
      <c r="F860" s="61" t="s">
        <v>389</v>
      </c>
      <c r="G860" s="61" t="s">
        <v>55</v>
      </c>
      <c r="H860" s="61"/>
      <c r="I860" s="61" t="s">
        <v>1366</v>
      </c>
      <c r="J860" s="62">
        <v>225</v>
      </c>
      <c r="K860" s="62">
        <v>250</v>
      </c>
      <c r="L860" s="62">
        <v>250</v>
      </c>
      <c r="M860" s="232">
        <v>320</v>
      </c>
      <c r="N860" s="55" t="s">
        <v>1591</v>
      </c>
      <c r="O860" s="61" t="s">
        <v>52</v>
      </c>
      <c r="P860" s="200"/>
      <c r="Q860" s="200"/>
      <c r="R860" s="200"/>
      <c r="S860" s="200"/>
      <c r="T860" s="66"/>
      <c r="U860" s="66"/>
      <c r="V860" s="66"/>
    </row>
    <row r="861" spans="1:22" s="64" customFormat="1" x14ac:dyDescent="0.25">
      <c r="A861" s="65" t="s">
        <v>1433</v>
      </c>
      <c r="B861" s="511" t="s">
        <v>1486</v>
      </c>
      <c r="C861" s="511"/>
      <c r="D861" s="511"/>
      <c r="E861" s="61" t="s">
        <v>1437</v>
      </c>
      <c r="F861" s="61" t="s">
        <v>389</v>
      </c>
      <c r="G861" s="61" t="s">
        <v>55</v>
      </c>
      <c r="H861" s="61"/>
      <c r="I861" s="61" t="s">
        <v>1366</v>
      </c>
      <c r="J861" s="62">
        <v>225</v>
      </c>
      <c r="K861" s="62">
        <v>250</v>
      </c>
      <c r="L861" s="62">
        <v>250</v>
      </c>
      <c r="M861" s="232">
        <v>320</v>
      </c>
      <c r="N861" s="55" t="s">
        <v>1591</v>
      </c>
      <c r="O861" s="61" t="s">
        <v>52</v>
      </c>
      <c r="P861" s="200"/>
      <c r="Q861" s="200"/>
      <c r="R861" s="200"/>
      <c r="S861" s="200"/>
      <c r="T861" s="66"/>
      <c r="U861" s="66"/>
      <c r="V861" s="66"/>
    </row>
    <row r="862" spans="1:22" s="64" customFormat="1" x14ac:dyDescent="0.25">
      <c r="A862" s="65" t="s">
        <v>1433</v>
      </c>
      <c r="B862" s="511" t="s">
        <v>1487</v>
      </c>
      <c r="C862" s="511"/>
      <c r="D862" s="511"/>
      <c r="E862" s="61" t="s">
        <v>1437</v>
      </c>
      <c r="F862" s="61" t="s">
        <v>54</v>
      </c>
      <c r="G862" s="61" t="s">
        <v>55</v>
      </c>
      <c r="H862" s="61"/>
      <c r="I862" s="61" t="s">
        <v>1366</v>
      </c>
      <c r="J862" s="62">
        <v>135</v>
      </c>
      <c r="K862" s="62">
        <v>150</v>
      </c>
      <c r="L862" s="62">
        <v>150</v>
      </c>
      <c r="M862" s="232">
        <v>190</v>
      </c>
      <c r="N862" s="55" t="s">
        <v>1591</v>
      </c>
      <c r="O862" s="61" t="s">
        <v>52</v>
      </c>
      <c r="P862" s="200"/>
      <c r="Q862" s="200"/>
      <c r="R862" s="200"/>
      <c r="S862" s="200"/>
      <c r="T862" s="66"/>
      <c r="U862" s="66"/>
      <c r="V862" s="66"/>
    </row>
    <row r="863" spans="1:22" s="64" customFormat="1" x14ac:dyDescent="0.25">
      <c r="A863" s="65" t="s">
        <v>1433</v>
      </c>
      <c r="B863" s="511" t="s">
        <v>1487</v>
      </c>
      <c r="C863" s="511"/>
      <c r="D863" s="511"/>
      <c r="E863" s="61" t="s">
        <v>1438</v>
      </c>
      <c r="F863" s="61" t="s">
        <v>389</v>
      </c>
      <c r="G863" s="61" t="s">
        <v>55</v>
      </c>
      <c r="H863" s="61"/>
      <c r="I863" s="61" t="s">
        <v>1366</v>
      </c>
      <c r="J863" s="62">
        <v>135</v>
      </c>
      <c r="K863" s="62">
        <v>150</v>
      </c>
      <c r="L863" s="62">
        <v>150</v>
      </c>
      <c r="M863" s="232">
        <v>190</v>
      </c>
      <c r="N863" s="55" t="s">
        <v>1591</v>
      </c>
      <c r="O863" s="61" t="s">
        <v>52</v>
      </c>
      <c r="P863" s="200"/>
      <c r="Q863" s="200"/>
      <c r="R863" s="200"/>
      <c r="S863" s="200"/>
      <c r="T863" s="66"/>
      <c r="U863" s="66"/>
      <c r="V863" s="66"/>
    </row>
    <row r="864" spans="1:22" s="64" customFormat="1" x14ac:dyDescent="0.25">
      <c r="A864" s="65" t="s">
        <v>1433</v>
      </c>
      <c r="B864" s="511" t="s">
        <v>1487</v>
      </c>
      <c r="C864" s="511"/>
      <c r="D864" s="511"/>
      <c r="E864" s="61" t="s">
        <v>1439</v>
      </c>
      <c r="F864" s="61" t="s">
        <v>389</v>
      </c>
      <c r="G864" s="61" t="s">
        <v>55</v>
      </c>
      <c r="H864" s="61"/>
      <c r="I864" s="61" t="s">
        <v>1366</v>
      </c>
      <c r="J864" s="62">
        <v>135</v>
      </c>
      <c r="K864" s="62">
        <v>150</v>
      </c>
      <c r="L864" s="62">
        <v>150</v>
      </c>
      <c r="M864" s="232">
        <v>190</v>
      </c>
      <c r="N864" s="55" t="s">
        <v>1591</v>
      </c>
      <c r="O864" s="61" t="s">
        <v>52</v>
      </c>
      <c r="P864" s="200"/>
      <c r="Q864" s="200"/>
      <c r="R864" s="200"/>
      <c r="S864" s="200"/>
      <c r="T864" s="66"/>
      <c r="U864" s="66"/>
      <c r="V864" s="66"/>
    </row>
    <row r="865" spans="1:22" s="64" customFormat="1" x14ac:dyDescent="0.25">
      <c r="A865" s="65" t="s">
        <v>1433</v>
      </c>
      <c r="B865" s="511" t="s">
        <v>1487</v>
      </c>
      <c r="C865" s="511"/>
      <c r="D865" s="511"/>
      <c r="E865" s="61" t="s">
        <v>1437</v>
      </c>
      <c r="F865" s="61" t="s">
        <v>389</v>
      </c>
      <c r="G865" s="61" t="s">
        <v>55</v>
      </c>
      <c r="H865" s="61"/>
      <c r="I865" s="61" t="s">
        <v>1366</v>
      </c>
      <c r="J865" s="62">
        <v>135</v>
      </c>
      <c r="K865" s="62">
        <v>150</v>
      </c>
      <c r="L865" s="62">
        <v>150</v>
      </c>
      <c r="M865" s="232">
        <v>190</v>
      </c>
      <c r="N865" s="55" t="s">
        <v>1591</v>
      </c>
      <c r="O865" s="61" t="s">
        <v>52</v>
      </c>
      <c r="P865" s="200"/>
      <c r="Q865" s="200"/>
      <c r="R865" s="200"/>
      <c r="S865" s="200"/>
      <c r="T865" s="66"/>
      <c r="U865" s="66"/>
      <c r="V865" s="66"/>
    </row>
    <row r="866" spans="1:22" s="64" customFormat="1" x14ac:dyDescent="0.25">
      <c r="A866" s="65" t="s">
        <v>1433</v>
      </c>
      <c r="B866" s="511" t="s">
        <v>1488</v>
      </c>
      <c r="C866" s="511"/>
      <c r="D866" s="511"/>
      <c r="E866" s="61" t="s">
        <v>1437</v>
      </c>
      <c r="F866" s="61" t="s">
        <v>54</v>
      </c>
      <c r="G866" s="61" t="s">
        <v>55</v>
      </c>
      <c r="H866" s="61"/>
      <c r="I866" s="61" t="s">
        <v>1366</v>
      </c>
      <c r="J866" s="62">
        <v>135</v>
      </c>
      <c r="K866" s="62">
        <v>150</v>
      </c>
      <c r="L866" s="62">
        <v>150</v>
      </c>
      <c r="M866" s="232">
        <v>190</v>
      </c>
      <c r="N866" s="55" t="s">
        <v>1591</v>
      </c>
      <c r="O866" s="61" t="s">
        <v>52</v>
      </c>
      <c r="P866" s="200"/>
      <c r="Q866" s="200"/>
      <c r="R866" s="200"/>
      <c r="S866" s="200"/>
      <c r="T866" s="66"/>
      <c r="U866" s="66"/>
      <c r="V866" s="66"/>
    </row>
    <row r="867" spans="1:22" s="64" customFormat="1" x14ac:dyDescent="0.25">
      <c r="A867" s="65" t="s">
        <v>1433</v>
      </c>
      <c r="B867" s="511" t="s">
        <v>1488</v>
      </c>
      <c r="C867" s="511"/>
      <c r="D867" s="511"/>
      <c r="E867" s="61" t="s">
        <v>1438</v>
      </c>
      <c r="F867" s="61" t="s">
        <v>389</v>
      </c>
      <c r="G867" s="61" t="s">
        <v>55</v>
      </c>
      <c r="H867" s="61"/>
      <c r="I867" s="61" t="s">
        <v>1366</v>
      </c>
      <c r="J867" s="62">
        <v>135</v>
      </c>
      <c r="K867" s="62">
        <v>150</v>
      </c>
      <c r="L867" s="62">
        <v>150</v>
      </c>
      <c r="M867" s="232">
        <v>190</v>
      </c>
      <c r="N867" s="55" t="s">
        <v>1591</v>
      </c>
      <c r="O867" s="61" t="s">
        <v>52</v>
      </c>
      <c r="P867" s="200"/>
      <c r="Q867" s="200"/>
      <c r="R867" s="200"/>
      <c r="S867" s="200"/>
      <c r="T867" s="66"/>
      <c r="U867" s="66"/>
      <c r="V867" s="66"/>
    </row>
    <row r="868" spans="1:22" s="64" customFormat="1" x14ac:dyDescent="0.25">
      <c r="A868" s="65" t="s">
        <v>1433</v>
      </c>
      <c r="B868" s="511" t="s">
        <v>1488</v>
      </c>
      <c r="C868" s="511"/>
      <c r="D868" s="511"/>
      <c r="E868" s="61" t="s">
        <v>1439</v>
      </c>
      <c r="F868" s="61" t="s">
        <v>389</v>
      </c>
      <c r="G868" s="61" t="s">
        <v>55</v>
      </c>
      <c r="H868" s="61"/>
      <c r="I868" s="61" t="s">
        <v>1366</v>
      </c>
      <c r="J868" s="62">
        <v>135</v>
      </c>
      <c r="K868" s="62">
        <v>150</v>
      </c>
      <c r="L868" s="62">
        <v>150</v>
      </c>
      <c r="M868" s="232">
        <v>190</v>
      </c>
      <c r="N868" s="55" t="s">
        <v>1591</v>
      </c>
      <c r="O868" s="61" t="s">
        <v>52</v>
      </c>
      <c r="P868" s="200"/>
      <c r="Q868" s="200"/>
      <c r="R868" s="200"/>
      <c r="S868" s="200"/>
      <c r="T868" s="66"/>
      <c r="U868" s="66"/>
      <c r="V868" s="66"/>
    </row>
    <row r="869" spans="1:22" s="64" customFormat="1" x14ac:dyDescent="0.25">
      <c r="A869" s="65" t="s">
        <v>1433</v>
      </c>
      <c r="B869" s="511" t="s">
        <v>1488</v>
      </c>
      <c r="C869" s="511"/>
      <c r="D869" s="511"/>
      <c r="E869" s="61" t="s">
        <v>1437</v>
      </c>
      <c r="F869" s="61" t="s">
        <v>389</v>
      </c>
      <c r="G869" s="61" t="s">
        <v>55</v>
      </c>
      <c r="H869" s="61"/>
      <c r="I869" s="61" t="s">
        <v>1366</v>
      </c>
      <c r="J869" s="62">
        <v>135</v>
      </c>
      <c r="K869" s="62">
        <v>150</v>
      </c>
      <c r="L869" s="62">
        <v>150</v>
      </c>
      <c r="M869" s="232">
        <v>190</v>
      </c>
      <c r="N869" s="55" t="s">
        <v>1591</v>
      </c>
      <c r="O869" s="61" t="s">
        <v>52</v>
      </c>
      <c r="P869" s="200"/>
      <c r="Q869" s="200"/>
      <c r="R869" s="200"/>
      <c r="S869" s="200"/>
      <c r="T869" s="66"/>
      <c r="U869" s="66"/>
      <c r="V869" s="66"/>
    </row>
    <row r="870" spans="1:22" s="64" customFormat="1" x14ac:dyDescent="0.25">
      <c r="A870" s="65" t="s">
        <v>1433</v>
      </c>
      <c r="B870" s="511" t="s">
        <v>1489</v>
      </c>
      <c r="C870" s="511"/>
      <c r="D870" s="511"/>
      <c r="E870" s="61" t="s">
        <v>1447</v>
      </c>
      <c r="F870" s="61" t="s">
        <v>56</v>
      </c>
      <c r="G870" s="61" t="s">
        <v>55</v>
      </c>
      <c r="H870" s="61"/>
      <c r="I870" s="61" t="s">
        <v>1366</v>
      </c>
      <c r="J870" s="62">
        <v>570</v>
      </c>
      <c r="K870" s="62">
        <v>585</v>
      </c>
      <c r="L870" s="62">
        <v>585</v>
      </c>
      <c r="M870" s="232"/>
      <c r="N870" s="55" t="s">
        <v>1591</v>
      </c>
      <c r="O870" s="61" t="s">
        <v>52</v>
      </c>
      <c r="P870" s="200"/>
      <c r="Q870" s="200"/>
      <c r="R870" s="200"/>
      <c r="S870" s="200"/>
      <c r="T870" s="66"/>
      <c r="U870" s="66"/>
      <c r="V870" s="66"/>
    </row>
    <row r="871" spans="1:22" s="64" customFormat="1" x14ac:dyDescent="0.25">
      <c r="A871" s="65" t="s">
        <v>1433</v>
      </c>
      <c r="B871" s="511" t="s">
        <v>1490</v>
      </c>
      <c r="C871" s="511"/>
      <c r="D871" s="511"/>
      <c r="E871" s="61" t="s">
        <v>1437</v>
      </c>
      <c r="F871" s="61" t="s">
        <v>54</v>
      </c>
      <c r="G871" s="61" t="s">
        <v>55</v>
      </c>
      <c r="H871" s="61"/>
      <c r="I871" s="61" t="s">
        <v>1366</v>
      </c>
      <c r="J871" s="62">
        <v>270</v>
      </c>
      <c r="K871" s="62">
        <v>300</v>
      </c>
      <c r="L871" s="62">
        <v>300</v>
      </c>
      <c r="M871" s="232">
        <v>380</v>
      </c>
      <c r="N871" s="55" t="s">
        <v>1591</v>
      </c>
      <c r="O871" s="61" t="s">
        <v>52</v>
      </c>
      <c r="P871" s="200"/>
      <c r="Q871" s="200"/>
      <c r="R871" s="200"/>
      <c r="S871" s="200"/>
      <c r="T871" s="66"/>
      <c r="U871" s="66"/>
      <c r="V871" s="66"/>
    </row>
    <row r="872" spans="1:22" s="64" customFormat="1" x14ac:dyDescent="0.25">
      <c r="A872" s="65" t="s">
        <v>1433</v>
      </c>
      <c r="B872" s="511" t="s">
        <v>1490</v>
      </c>
      <c r="C872" s="511"/>
      <c r="D872" s="511"/>
      <c r="E872" s="61" t="s">
        <v>1438</v>
      </c>
      <c r="F872" s="61" t="s">
        <v>389</v>
      </c>
      <c r="G872" s="61" t="s">
        <v>55</v>
      </c>
      <c r="H872" s="61"/>
      <c r="I872" s="61" t="s">
        <v>1366</v>
      </c>
      <c r="J872" s="62">
        <v>270</v>
      </c>
      <c r="K872" s="62">
        <v>300</v>
      </c>
      <c r="L872" s="62">
        <v>300</v>
      </c>
      <c r="M872" s="232">
        <v>380</v>
      </c>
      <c r="N872" s="55" t="s">
        <v>1591</v>
      </c>
      <c r="O872" s="61" t="s">
        <v>52</v>
      </c>
      <c r="P872" s="200"/>
      <c r="Q872" s="200"/>
      <c r="R872" s="200"/>
      <c r="S872" s="200"/>
      <c r="T872" s="66"/>
      <c r="U872" s="66"/>
      <c r="V872" s="66"/>
    </row>
    <row r="873" spans="1:22" s="64" customFormat="1" x14ac:dyDescent="0.25">
      <c r="A873" s="65" t="s">
        <v>1433</v>
      </c>
      <c r="B873" s="511" t="s">
        <v>1490</v>
      </c>
      <c r="C873" s="511"/>
      <c r="D873" s="511"/>
      <c r="E873" s="61" t="s">
        <v>1439</v>
      </c>
      <c r="F873" s="61" t="s">
        <v>389</v>
      </c>
      <c r="G873" s="61" t="s">
        <v>55</v>
      </c>
      <c r="H873" s="61"/>
      <c r="I873" s="61" t="s">
        <v>1366</v>
      </c>
      <c r="J873" s="62">
        <v>270</v>
      </c>
      <c r="K873" s="62">
        <v>300</v>
      </c>
      <c r="L873" s="62">
        <v>300</v>
      </c>
      <c r="M873" s="232">
        <v>380</v>
      </c>
      <c r="N873" s="55" t="s">
        <v>1591</v>
      </c>
      <c r="O873" s="61" t="s">
        <v>52</v>
      </c>
      <c r="P873" s="200"/>
      <c r="Q873" s="200"/>
      <c r="R873" s="200"/>
      <c r="S873" s="200"/>
      <c r="T873" s="66"/>
      <c r="U873" s="66"/>
      <c r="V873" s="66"/>
    </row>
    <row r="874" spans="1:22" s="64" customFormat="1" x14ac:dyDescent="0.25">
      <c r="A874" s="65" t="s">
        <v>1433</v>
      </c>
      <c r="B874" s="511" t="s">
        <v>1490</v>
      </c>
      <c r="C874" s="511"/>
      <c r="D874" s="511"/>
      <c r="E874" s="61" t="s">
        <v>1437</v>
      </c>
      <c r="F874" s="61" t="s">
        <v>389</v>
      </c>
      <c r="G874" s="61" t="s">
        <v>55</v>
      </c>
      <c r="H874" s="61"/>
      <c r="I874" s="61" t="s">
        <v>1366</v>
      </c>
      <c r="J874" s="62">
        <v>270</v>
      </c>
      <c r="K874" s="62">
        <v>300</v>
      </c>
      <c r="L874" s="62">
        <v>300</v>
      </c>
      <c r="M874" s="232">
        <v>380</v>
      </c>
      <c r="N874" s="55" t="s">
        <v>1591</v>
      </c>
      <c r="O874" s="61" t="s">
        <v>52</v>
      </c>
      <c r="P874" s="200"/>
      <c r="Q874" s="200"/>
      <c r="R874" s="200"/>
      <c r="S874" s="200"/>
      <c r="T874" s="66"/>
      <c r="U874" s="66"/>
      <c r="V874" s="66"/>
    </row>
    <row r="875" spans="1:22" s="64" customFormat="1" x14ac:dyDescent="0.25">
      <c r="A875" s="65" t="s">
        <v>1433</v>
      </c>
      <c r="B875" s="511" t="s">
        <v>1491</v>
      </c>
      <c r="C875" s="511"/>
      <c r="D875" s="511"/>
      <c r="E875" s="61" t="s">
        <v>1447</v>
      </c>
      <c r="F875" s="61" t="s">
        <v>56</v>
      </c>
      <c r="G875" s="61" t="s">
        <v>55</v>
      </c>
      <c r="H875" s="61"/>
      <c r="I875" s="61" t="s">
        <v>1366</v>
      </c>
      <c r="J875" s="62">
        <v>340</v>
      </c>
      <c r="K875" s="62">
        <v>520</v>
      </c>
      <c r="L875" s="62">
        <v>520</v>
      </c>
      <c r="M875" s="232"/>
      <c r="N875" s="55" t="s">
        <v>1591</v>
      </c>
      <c r="O875" s="61" t="s">
        <v>52</v>
      </c>
      <c r="P875" s="200"/>
      <c r="Q875" s="200"/>
      <c r="R875" s="200"/>
      <c r="S875" s="200"/>
      <c r="T875" s="66"/>
      <c r="U875" s="66"/>
      <c r="V875" s="66"/>
    </row>
    <row r="876" spans="1:22" s="64" customFormat="1" x14ac:dyDescent="0.25">
      <c r="A876" s="65" t="s">
        <v>1433</v>
      </c>
      <c r="B876" s="511" t="s">
        <v>1492</v>
      </c>
      <c r="C876" s="511"/>
      <c r="D876" s="511"/>
      <c r="E876" s="61" t="s">
        <v>1435</v>
      </c>
      <c r="F876" s="61" t="s">
        <v>54</v>
      </c>
      <c r="G876" s="61" t="s">
        <v>55</v>
      </c>
      <c r="H876" s="61"/>
      <c r="I876" s="61" t="s">
        <v>1366</v>
      </c>
      <c r="J876" s="62">
        <v>315</v>
      </c>
      <c r="K876" s="62">
        <v>350</v>
      </c>
      <c r="L876" s="62">
        <v>350</v>
      </c>
      <c r="M876" s="232">
        <v>445</v>
      </c>
      <c r="N876" s="55" t="s">
        <v>1591</v>
      </c>
      <c r="O876" s="61" t="s">
        <v>52</v>
      </c>
      <c r="P876" s="200"/>
      <c r="Q876" s="200"/>
      <c r="R876" s="200"/>
      <c r="S876" s="200"/>
      <c r="T876" s="66"/>
      <c r="U876" s="66"/>
      <c r="V876" s="66"/>
    </row>
    <row r="877" spans="1:22" s="64" customFormat="1" x14ac:dyDescent="0.25">
      <c r="A877" s="65" t="s">
        <v>1433</v>
      </c>
      <c r="B877" s="511" t="s">
        <v>1492</v>
      </c>
      <c r="C877" s="511"/>
      <c r="D877" s="511"/>
      <c r="E877" s="61" t="s">
        <v>1435</v>
      </c>
      <c r="F877" s="61" t="s">
        <v>389</v>
      </c>
      <c r="G877" s="61" t="s">
        <v>55</v>
      </c>
      <c r="H877" s="61"/>
      <c r="I877" s="61" t="s">
        <v>1366</v>
      </c>
      <c r="J877" s="62">
        <v>315</v>
      </c>
      <c r="K877" s="62">
        <v>350</v>
      </c>
      <c r="L877" s="62">
        <v>350</v>
      </c>
      <c r="M877" s="232">
        <v>445</v>
      </c>
      <c r="N877" s="55" t="s">
        <v>1591</v>
      </c>
      <c r="O877" s="61" t="s">
        <v>52</v>
      </c>
      <c r="P877" s="200"/>
      <c r="Q877" s="200"/>
      <c r="R877" s="200"/>
      <c r="S877" s="200"/>
      <c r="T877" s="66"/>
      <c r="U877" s="66"/>
      <c r="V877" s="66"/>
    </row>
    <row r="878" spans="1:22" s="64" customFormat="1" x14ac:dyDescent="0.25">
      <c r="A878" s="65" t="s">
        <v>1433</v>
      </c>
      <c r="B878" s="511" t="s">
        <v>1493</v>
      </c>
      <c r="C878" s="511"/>
      <c r="D878" s="511"/>
      <c r="E878" s="61" t="s">
        <v>1437</v>
      </c>
      <c r="F878" s="61" t="s">
        <v>54</v>
      </c>
      <c r="G878" s="61" t="s">
        <v>55</v>
      </c>
      <c r="H878" s="61"/>
      <c r="I878" s="61" t="s">
        <v>1366</v>
      </c>
      <c r="J878" s="62">
        <v>180</v>
      </c>
      <c r="K878" s="62">
        <v>200</v>
      </c>
      <c r="L878" s="62">
        <v>200</v>
      </c>
      <c r="M878" s="232">
        <v>255</v>
      </c>
      <c r="N878" s="55" t="s">
        <v>1591</v>
      </c>
      <c r="O878" s="61" t="s">
        <v>52</v>
      </c>
      <c r="P878" s="200"/>
      <c r="Q878" s="200"/>
      <c r="R878" s="200"/>
      <c r="S878" s="200"/>
      <c r="T878" s="66"/>
      <c r="U878" s="66"/>
      <c r="V878" s="66"/>
    </row>
    <row r="879" spans="1:22" s="64" customFormat="1" x14ac:dyDescent="0.25">
      <c r="A879" s="65" t="s">
        <v>1433</v>
      </c>
      <c r="B879" s="511" t="s">
        <v>1493</v>
      </c>
      <c r="C879" s="511"/>
      <c r="D879" s="511"/>
      <c r="E879" s="61" t="s">
        <v>1438</v>
      </c>
      <c r="F879" s="61" t="s">
        <v>389</v>
      </c>
      <c r="G879" s="61" t="s">
        <v>55</v>
      </c>
      <c r="H879" s="61"/>
      <c r="I879" s="61" t="s">
        <v>1366</v>
      </c>
      <c r="J879" s="62">
        <v>180</v>
      </c>
      <c r="K879" s="62">
        <v>200</v>
      </c>
      <c r="L879" s="62">
        <v>200</v>
      </c>
      <c r="M879" s="232">
        <v>255</v>
      </c>
      <c r="N879" s="55" t="s">
        <v>1591</v>
      </c>
      <c r="O879" s="61" t="s">
        <v>52</v>
      </c>
      <c r="P879" s="200"/>
      <c r="Q879" s="200"/>
      <c r="R879" s="200"/>
      <c r="S879" s="200"/>
      <c r="T879" s="66"/>
      <c r="U879" s="66"/>
      <c r="V879" s="66"/>
    </row>
    <row r="880" spans="1:22" s="64" customFormat="1" x14ac:dyDescent="0.25">
      <c r="A880" s="65" t="s">
        <v>1433</v>
      </c>
      <c r="B880" s="511" t="s">
        <v>1493</v>
      </c>
      <c r="C880" s="511"/>
      <c r="D880" s="511"/>
      <c r="E880" s="61" t="s">
        <v>1439</v>
      </c>
      <c r="F880" s="61" t="s">
        <v>389</v>
      </c>
      <c r="G880" s="61" t="s">
        <v>55</v>
      </c>
      <c r="H880" s="61"/>
      <c r="I880" s="61" t="s">
        <v>1366</v>
      </c>
      <c r="J880" s="62">
        <v>180</v>
      </c>
      <c r="K880" s="62">
        <v>200</v>
      </c>
      <c r="L880" s="62">
        <v>200</v>
      </c>
      <c r="M880" s="232">
        <v>255</v>
      </c>
      <c r="N880" s="55" t="s">
        <v>1591</v>
      </c>
      <c r="O880" s="61" t="s">
        <v>52</v>
      </c>
      <c r="P880" s="200"/>
      <c r="Q880" s="200"/>
      <c r="R880" s="200"/>
      <c r="S880" s="200"/>
      <c r="T880" s="66"/>
      <c r="U880" s="66"/>
      <c r="V880" s="66"/>
    </row>
    <row r="881" spans="1:22" s="64" customFormat="1" x14ac:dyDescent="0.25">
      <c r="A881" s="65" t="s">
        <v>1433</v>
      </c>
      <c r="B881" s="511" t="s">
        <v>1493</v>
      </c>
      <c r="C881" s="511"/>
      <c r="D881" s="511"/>
      <c r="E881" s="61" t="s">
        <v>1437</v>
      </c>
      <c r="F881" s="61" t="s">
        <v>389</v>
      </c>
      <c r="G881" s="61" t="s">
        <v>55</v>
      </c>
      <c r="H881" s="61"/>
      <c r="I881" s="61" t="s">
        <v>1366</v>
      </c>
      <c r="J881" s="62">
        <v>180</v>
      </c>
      <c r="K881" s="62">
        <v>200</v>
      </c>
      <c r="L881" s="62">
        <v>200</v>
      </c>
      <c r="M881" s="232">
        <v>255</v>
      </c>
      <c r="N881" s="55" t="s">
        <v>1591</v>
      </c>
      <c r="O881" s="61" t="s">
        <v>52</v>
      </c>
      <c r="P881" s="200"/>
      <c r="Q881" s="200"/>
      <c r="R881" s="200"/>
      <c r="S881" s="200"/>
      <c r="T881" s="66"/>
      <c r="U881" s="66"/>
      <c r="V881" s="66"/>
    </row>
    <row r="882" spans="1:22" s="64" customFormat="1" x14ac:dyDescent="0.25">
      <c r="A882" s="65" t="s">
        <v>1433</v>
      </c>
      <c r="B882" s="511" t="s">
        <v>1494</v>
      </c>
      <c r="C882" s="511"/>
      <c r="D882" s="511"/>
      <c r="E882" s="61" t="s">
        <v>1435</v>
      </c>
      <c r="F882" s="61" t="s">
        <v>56</v>
      </c>
      <c r="G882" s="61" t="s">
        <v>55</v>
      </c>
      <c r="H882" s="61"/>
      <c r="I882" s="61" t="s">
        <v>1366</v>
      </c>
      <c r="J882" s="62">
        <v>340</v>
      </c>
      <c r="K882" s="62">
        <v>450</v>
      </c>
      <c r="L882" s="62">
        <v>450</v>
      </c>
      <c r="M882" s="232"/>
      <c r="N882" s="55" t="s">
        <v>1591</v>
      </c>
      <c r="O882" s="61" t="s">
        <v>52</v>
      </c>
      <c r="P882" s="200"/>
      <c r="Q882" s="200"/>
      <c r="R882" s="200"/>
      <c r="S882" s="200"/>
      <c r="T882" s="66"/>
      <c r="U882" s="66"/>
      <c r="V882" s="66"/>
    </row>
    <row r="883" spans="1:22" s="64" customFormat="1" x14ac:dyDescent="0.25">
      <c r="A883" s="65" t="s">
        <v>1433</v>
      </c>
      <c r="B883" s="511" t="s">
        <v>1495</v>
      </c>
      <c r="C883" s="511"/>
      <c r="D883" s="511"/>
      <c r="E883" s="61" t="s">
        <v>1435</v>
      </c>
      <c r="F883" s="61" t="s">
        <v>54</v>
      </c>
      <c r="G883" s="61" t="s">
        <v>55</v>
      </c>
      <c r="H883" s="61"/>
      <c r="I883" s="61" t="s">
        <v>1366</v>
      </c>
      <c r="J883" s="62">
        <v>180</v>
      </c>
      <c r="K883" s="62">
        <v>200</v>
      </c>
      <c r="L883" s="62">
        <v>200</v>
      </c>
      <c r="M883" s="232">
        <v>255</v>
      </c>
      <c r="N883" s="55" t="s">
        <v>1591</v>
      </c>
      <c r="O883" s="61" t="s">
        <v>52</v>
      </c>
      <c r="P883" s="200"/>
      <c r="Q883" s="200"/>
      <c r="R883" s="200"/>
      <c r="S883" s="200"/>
      <c r="T883" s="66"/>
      <c r="U883" s="66"/>
      <c r="V883" s="66"/>
    </row>
    <row r="884" spans="1:22" s="64" customFormat="1" x14ac:dyDescent="0.25">
      <c r="A884" s="65" t="s">
        <v>1433</v>
      </c>
      <c r="B884" s="511" t="s">
        <v>1495</v>
      </c>
      <c r="C884" s="511"/>
      <c r="D884" s="511"/>
      <c r="E884" s="61" t="s">
        <v>1435</v>
      </c>
      <c r="F884" s="61" t="s">
        <v>389</v>
      </c>
      <c r="G884" s="61" t="s">
        <v>55</v>
      </c>
      <c r="H884" s="61"/>
      <c r="I884" s="61" t="s">
        <v>1366</v>
      </c>
      <c r="J884" s="62">
        <v>180</v>
      </c>
      <c r="K884" s="62">
        <v>200</v>
      </c>
      <c r="L884" s="62">
        <v>200</v>
      </c>
      <c r="M884" s="232">
        <v>255</v>
      </c>
      <c r="N884" s="55" t="s">
        <v>1591</v>
      </c>
      <c r="O884" s="61" t="s">
        <v>52</v>
      </c>
      <c r="P884" s="200"/>
      <c r="Q884" s="200"/>
      <c r="R884" s="200"/>
      <c r="S884" s="200"/>
      <c r="T884" s="66"/>
      <c r="U884" s="66"/>
      <c r="V884" s="66"/>
    </row>
    <row r="885" spans="1:22" s="64" customFormat="1" x14ac:dyDescent="0.25">
      <c r="A885" s="65" t="s">
        <v>1433</v>
      </c>
      <c r="B885" s="511" t="s">
        <v>1496</v>
      </c>
      <c r="C885" s="511"/>
      <c r="D885" s="511"/>
      <c r="E885" s="61" t="s">
        <v>1447</v>
      </c>
      <c r="F885" s="61" t="s">
        <v>56</v>
      </c>
      <c r="G885" s="61" t="s">
        <v>55</v>
      </c>
      <c r="H885" s="61"/>
      <c r="I885" s="61" t="s">
        <v>1366</v>
      </c>
      <c r="J885" s="62">
        <v>230</v>
      </c>
      <c r="K885" s="62">
        <v>265</v>
      </c>
      <c r="L885" s="62">
        <v>265</v>
      </c>
      <c r="M885" s="232"/>
      <c r="N885" s="55" t="s">
        <v>1591</v>
      </c>
      <c r="O885" s="61" t="s">
        <v>52</v>
      </c>
      <c r="P885" s="200"/>
      <c r="Q885" s="200"/>
      <c r="R885" s="200"/>
      <c r="S885" s="200"/>
      <c r="T885" s="66"/>
      <c r="U885" s="66"/>
      <c r="V885" s="66"/>
    </row>
    <row r="886" spans="1:22" s="64" customFormat="1" x14ac:dyDescent="0.25">
      <c r="A886" s="65" t="s">
        <v>1433</v>
      </c>
      <c r="B886" s="511" t="s">
        <v>1497</v>
      </c>
      <c r="C886" s="511"/>
      <c r="D886" s="511"/>
      <c r="E886" s="61" t="s">
        <v>1435</v>
      </c>
      <c r="F886" s="61" t="s">
        <v>54</v>
      </c>
      <c r="G886" s="61" t="s">
        <v>55</v>
      </c>
      <c r="H886" s="61"/>
      <c r="I886" s="61" t="s">
        <v>1366</v>
      </c>
      <c r="J886" s="62">
        <v>270</v>
      </c>
      <c r="K886" s="62">
        <v>300</v>
      </c>
      <c r="L886" s="62">
        <v>300</v>
      </c>
      <c r="M886" s="232">
        <v>385</v>
      </c>
      <c r="N886" s="55" t="s">
        <v>1591</v>
      </c>
      <c r="O886" s="61" t="s">
        <v>52</v>
      </c>
      <c r="P886" s="200"/>
      <c r="Q886" s="200"/>
      <c r="R886" s="200"/>
      <c r="S886" s="200"/>
      <c r="T886" s="66"/>
      <c r="U886" s="66"/>
      <c r="V886" s="66"/>
    </row>
    <row r="887" spans="1:22" s="64" customFormat="1" x14ac:dyDescent="0.25">
      <c r="A887" s="65" t="s">
        <v>1433</v>
      </c>
      <c r="B887" s="511" t="s">
        <v>1497</v>
      </c>
      <c r="C887" s="511"/>
      <c r="D887" s="511"/>
      <c r="E887" s="61" t="s">
        <v>1435</v>
      </c>
      <c r="F887" s="61" t="s">
        <v>389</v>
      </c>
      <c r="G887" s="61" t="s">
        <v>55</v>
      </c>
      <c r="H887" s="61"/>
      <c r="I887" s="61" t="s">
        <v>1366</v>
      </c>
      <c r="J887" s="62">
        <v>270</v>
      </c>
      <c r="K887" s="62">
        <v>300</v>
      </c>
      <c r="L887" s="62">
        <v>300</v>
      </c>
      <c r="M887" s="232">
        <v>385</v>
      </c>
      <c r="N887" s="55" t="s">
        <v>1591</v>
      </c>
      <c r="O887" s="61" t="s">
        <v>52</v>
      </c>
      <c r="P887" s="200"/>
      <c r="Q887" s="200"/>
      <c r="R887" s="200"/>
      <c r="S887" s="200"/>
      <c r="T887" s="66"/>
      <c r="U887" s="66"/>
      <c r="V887" s="66"/>
    </row>
    <row r="888" spans="1:22" s="64" customFormat="1" x14ac:dyDescent="0.25">
      <c r="A888" s="65" t="s">
        <v>1433</v>
      </c>
      <c r="B888" s="511" t="s">
        <v>1406</v>
      </c>
      <c r="C888" s="511"/>
      <c r="D888" s="511"/>
      <c r="E888" s="61" t="s">
        <v>1435</v>
      </c>
      <c r="F888" s="61" t="s">
        <v>54</v>
      </c>
      <c r="G888" s="61" t="s">
        <v>55</v>
      </c>
      <c r="H888" s="61"/>
      <c r="I888" s="61" t="s">
        <v>1366</v>
      </c>
      <c r="J888" s="62">
        <v>0</v>
      </c>
      <c r="K888" s="62">
        <v>0</v>
      </c>
      <c r="L888" s="62">
        <v>0</v>
      </c>
      <c r="M888" s="232">
        <v>0</v>
      </c>
      <c r="N888" s="55" t="s">
        <v>1591</v>
      </c>
      <c r="O888" s="61" t="s">
        <v>52</v>
      </c>
      <c r="P888" s="200"/>
      <c r="Q888" s="200"/>
      <c r="R888" s="200"/>
      <c r="S888" s="200"/>
      <c r="T888" s="66"/>
      <c r="U888" s="66"/>
      <c r="V888" s="66"/>
    </row>
    <row r="889" spans="1:22" s="64" customFormat="1" x14ac:dyDescent="0.25">
      <c r="A889" s="65" t="s">
        <v>1433</v>
      </c>
      <c r="B889" s="511" t="s">
        <v>1498</v>
      </c>
      <c r="C889" s="511"/>
      <c r="D889" s="511"/>
      <c r="E889" s="61" t="s">
        <v>1435</v>
      </c>
      <c r="F889" s="61" t="s">
        <v>54</v>
      </c>
      <c r="G889" s="61" t="s">
        <v>55</v>
      </c>
      <c r="H889" s="61"/>
      <c r="I889" s="61" t="s">
        <v>1366</v>
      </c>
      <c r="J889" s="62">
        <v>225</v>
      </c>
      <c r="K889" s="62">
        <v>250</v>
      </c>
      <c r="L889" s="62">
        <v>250</v>
      </c>
      <c r="M889" s="232">
        <v>320</v>
      </c>
      <c r="N889" s="55" t="s">
        <v>1591</v>
      </c>
      <c r="O889" s="61" t="s">
        <v>52</v>
      </c>
      <c r="P889" s="200"/>
      <c r="Q889" s="200"/>
      <c r="R889" s="200"/>
      <c r="S889" s="200"/>
      <c r="T889" s="66"/>
      <c r="U889" s="66"/>
      <c r="V889" s="66"/>
    </row>
    <row r="890" spans="1:22" s="64" customFormat="1" x14ac:dyDescent="0.25">
      <c r="A890" s="65" t="s">
        <v>1433</v>
      </c>
      <c r="B890" s="511" t="s">
        <v>1498</v>
      </c>
      <c r="C890" s="511"/>
      <c r="D890" s="511"/>
      <c r="E890" s="61" t="s">
        <v>1435</v>
      </c>
      <c r="F890" s="61" t="s">
        <v>389</v>
      </c>
      <c r="G890" s="61" t="s">
        <v>55</v>
      </c>
      <c r="H890" s="61"/>
      <c r="I890" s="61" t="s">
        <v>1366</v>
      </c>
      <c r="J890" s="62">
        <v>225</v>
      </c>
      <c r="K890" s="62">
        <v>250</v>
      </c>
      <c r="L890" s="62">
        <v>250</v>
      </c>
      <c r="M890" s="232">
        <v>320</v>
      </c>
      <c r="N890" s="55" t="s">
        <v>1591</v>
      </c>
      <c r="O890" s="61" t="s">
        <v>52</v>
      </c>
      <c r="P890" s="200"/>
      <c r="Q890" s="200"/>
      <c r="R890" s="200"/>
      <c r="S890" s="200"/>
      <c r="T890" s="66"/>
      <c r="U890" s="66"/>
      <c r="V890" s="66"/>
    </row>
    <row r="891" spans="1:22" s="64" customFormat="1" x14ac:dyDescent="0.25">
      <c r="A891" s="65" t="s">
        <v>1433</v>
      </c>
      <c r="B891" s="511" t="s">
        <v>1499</v>
      </c>
      <c r="C891" s="511"/>
      <c r="D891" s="511"/>
      <c r="E891" s="61" t="s">
        <v>1435</v>
      </c>
      <c r="F891" s="61" t="s">
        <v>54</v>
      </c>
      <c r="G891" s="61" t="s">
        <v>55</v>
      </c>
      <c r="H891" s="61"/>
      <c r="I891" s="61" t="s">
        <v>1366</v>
      </c>
      <c r="J891" s="62">
        <v>675</v>
      </c>
      <c r="K891" s="62">
        <v>750</v>
      </c>
      <c r="L891" s="62">
        <v>750</v>
      </c>
      <c r="M891" s="232">
        <v>955</v>
      </c>
      <c r="N891" s="55" t="s">
        <v>1591</v>
      </c>
      <c r="O891" s="61" t="s">
        <v>52</v>
      </c>
      <c r="P891" s="200"/>
      <c r="Q891" s="200"/>
      <c r="R891" s="200"/>
      <c r="S891" s="200"/>
      <c r="T891" s="66"/>
      <c r="U891" s="66"/>
      <c r="V891" s="66"/>
    </row>
    <row r="892" spans="1:22" s="64" customFormat="1" x14ac:dyDescent="0.25">
      <c r="A892" s="65" t="s">
        <v>1433</v>
      </c>
      <c r="B892" s="511" t="s">
        <v>1499</v>
      </c>
      <c r="C892" s="511"/>
      <c r="D892" s="511"/>
      <c r="E892" s="61" t="s">
        <v>1435</v>
      </c>
      <c r="F892" s="61" t="s">
        <v>389</v>
      </c>
      <c r="G892" s="61" t="s">
        <v>55</v>
      </c>
      <c r="H892" s="61"/>
      <c r="I892" s="61" t="s">
        <v>1366</v>
      </c>
      <c r="J892" s="62">
        <v>675</v>
      </c>
      <c r="K892" s="62">
        <v>750</v>
      </c>
      <c r="L892" s="62">
        <v>750</v>
      </c>
      <c r="M892" s="232">
        <v>955</v>
      </c>
      <c r="N892" s="55" t="s">
        <v>1591</v>
      </c>
      <c r="O892" s="61" t="s">
        <v>52</v>
      </c>
      <c r="P892" s="200"/>
      <c r="Q892" s="200"/>
      <c r="R892" s="200"/>
      <c r="S892" s="200"/>
      <c r="T892" s="66"/>
      <c r="U892" s="66"/>
      <c r="V892" s="66"/>
    </row>
    <row r="893" spans="1:22" s="64" customFormat="1" x14ac:dyDescent="0.25">
      <c r="A893" s="65" t="s">
        <v>1433</v>
      </c>
      <c r="B893" s="511" t="s">
        <v>1500</v>
      </c>
      <c r="C893" s="511"/>
      <c r="D893" s="511"/>
      <c r="E893" s="61" t="s">
        <v>1447</v>
      </c>
      <c r="F893" s="61" t="s">
        <v>54</v>
      </c>
      <c r="G893" s="61" t="s">
        <v>55</v>
      </c>
      <c r="H893" s="61"/>
      <c r="I893" s="61" t="s">
        <v>1366</v>
      </c>
      <c r="J893" s="62">
        <v>270</v>
      </c>
      <c r="K893" s="62">
        <v>300</v>
      </c>
      <c r="L893" s="62">
        <v>300</v>
      </c>
      <c r="M893" s="232">
        <v>385</v>
      </c>
      <c r="N893" s="55" t="s">
        <v>1591</v>
      </c>
      <c r="O893" s="61" t="s">
        <v>52</v>
      </c>
      <c r="P893" s="200"/>
      <c r="Q893" s="200"/>
      <c r="R893" s="200"/>
      <c r="S893" s="200"/>
      <c r="T893" s="66"/>
      <c r="U893" s="66"/>
      <c r="V893" s="66"/>
    </row>
    <row r="894" spans="1:22" s="64" customFormat="1" x14ac:dyDescent="0.25">
      <c r="A894" s="65" t="s">
        <v>1433</v>
      </c>
      <c r="B894" s="511" t="s">
        <v>1500</v>
      </c>
      <c r="C894" s="511"/>
      <c r="D894" s="511"/>
      <c r="E894" s="61" t="s">
        <v>1447</v>
      </c>
      <c r="F894" s="61" t="s">
        <v>389</v>
      </c>
      <c r="G894" s="61" t="s">
        <v>55</v>
      </c>
      <c r="H894" s="61"/>
      <c r="I894" s="61" t="s">
        <v>1366</v>
      </c>
      <c r="J894" s="62">
        <v>270</v>
      </c>
      <c r="K894" s="62">
        <v>300</v>
      </c>
      <c r="L894" s="62">
        <v>300</v>
      </c>
      <c r="M894" s="232">
        <v>385</v>
      </c>
      <c r="N894" s="55" t="s">
        <v>1591</v>
      </c>
      <c r="O894" s="61" t="s">
        <v>52</v>
      </c>
      <c r="P894" s="200"/>
      <c r="Q894" s="200"/>
      <c r="R894" s="200"/>
      <c r="S894" s="200"/>
      <c r="T894" s="66"/>
      <c r="U894" s="66"/>
      <c r="V894" s="66"/>
    </row>
    <row r="895" spans="1:22" s="64" customFormat="1" x14ac:dyDescent="0.25">
      <c r="A895" s="65" t="s">
        <v>1433</v>
      </c>
      <c r="B895" s="511" t="s">
        <v>1501</v>
      </c>
      <c r="C895" s="511"/>
      <c r="D895" s="511"/>
      <c r="E895" s="61" t="s">
        <v>1435</v>
      </c>
      <c r="F895" s="61" t="s">
        <v>54</v>
      </c>
      <c r="G895" s="61" t="s">
        <v>55</v>
      </c>
      <c r="H895" s="61"/>
      <c r="I895" s="61" t="s">
        <v>1366</v>
      </c>
      <c r="J895" s="62">
        <v>360</v>
      </c>
      <c r="K895" s="62">
        <v>400</v>
      </c>
      <c r="L895" s="62">
        <v>400</v>
      </c>
      <c r="M895" s="232">
        <v>510</v>
      </c>
      <c r="N895" s="55" t="s">
        <v>1591</v>
      </c>
      <c r="O895" s="61" t="s">
        <v>52</v>
      </c>
      <c r="P895" s="200"/>
      <c r="Q895" s="200"/>
      <c r="R895" s="200"/>
      <c r="S895" s="200"/>
      <c r="T895" s="66"/>
      <c r="U895" s="66"/>
      <c r="V895" s="66"/>
    </row>
    <row r="896" spans="1:22" s="64" customFormat="1" x14ac:dyDescent="0.25">
      <c r="A896" s="65" t="s">
        <v>1433</v>
      </c>
      <c r="B896" s="511" t="s">
        <v>1501</v>
      </c>
      <c r="C896" s="511"/>
      <c r="D896" s="511"/>
      <c r="E896" s="61" t="s">
        <v>1435</v>
      </c>
      <c r="F896" s="61" t="s">
        <v>389</v>
      </c>
      <c r="G896" s="61" t="s">
        <v>55</v>
      </c>
      <c r="H896" s="61"/>
      <c r="I896" s="61" t="s">
        <v>1366</v>
      </c>
      <c r="J896" s="62">
        <v>360</v>
      </c>
      <c r="K896" s="62">
        <v>400</v>
      </c>
      <c r="L896" s="62">
        <v>400</v>
      </c>
      <c r="M896" s="232">
        <v>510</v>
      </c>
      <c r="N896" s="55" t="s">
        <v>1591</v>
      </c>
      <c r="O896" s="61" t="s">
        <v>52</v>
      </c>
      <c r="P896" s="200"/>
      <c r="Q896" s="200"/>
      <c r="R896" s="200"/>
      <c r="S896" s="200"/>
      <c r="T896" s="66"/>
      <c r="U896" s="66"/>
      <c r="V896" s="66"/>
    </row>
    <row r="897" spans="1:22" s="64" customFormat="1" x14ac:dyDescent="0.25">
      <c r="A897" s="65" t="s">
        <v>1433</v>
      </c>
      <c r="B897" s="511" t="s">
        <v>1501</v>
      </c>
      <c r="C897" s="511"/>
      <c r="D897" s="511"/>
      <c r="E897" s="61" t="s">
        <v>1447</v>
      </c>
      <c r="F897" s="61" t="s">
        <v>56</v>
      </c>
      <c r="G897" s="61" t="s">
        <v>55</v>
      </c>
      <c r="H897" s="61"/>
      <c r="I897" s="61" t="s">
        <v>1366</v>
      </c>
      <c r="J897" s="62">
        <v>430</v>
      </c>
      <c r="K897" s="62">
        <v>460</v>
      </c>
      <c r="L897" s="62">
        <v>460</v>
      </c>
      <c r="M897" s="232"/>
      <c r="N897" s="55" t="s">
        <v>1591</v>
      </c>
      <c r="O897" s="61" t="s">
        <v>52</v>
      </c>
      <c r="P897" s="200"/>
      <c r="Q897" s="200"/>
      <c r="R897" s="200"/>
      <c r="S897" s="200"/>
      <c r="T897" s="66"/>
      <c r="U897" s="66"/>
      <c r="V897" s="66"/>
    </row>
    <row r="898" spans="1:22" s="64" customFormat="1" x14ac:dyDescent="0.25">
      <c r="A898" s="65" t="s">
        <v>1433</v>
      </c>
      <c r="B898" s="511" t="s">
        <v>1501</v>
      </c>
      <c r="C898" s="511"/>
      <c r="D898" s="511"/>
      <c r="E898" s="61" t="s">
        <v>1455</v>
      </c>
      <c r="F898" s="61" t="s">
        <v>56</v>
      </c>
      <c r="G898" s="61" t="s">
        <v>55</v>
      </c>
      <c r="H898" s="61"/>
      <c r="I898" s="61" t="s">
        <v>1366</v>
      </c>
      <c r="J898" s="62">
        <v>485</v>
      </c>
      <c r="K898" s="62">
        <v>505</v>
      </c>
      <c r="L898" s="62">
        <v>505</v>
      </c>
      <c r="M898" s="232"/>
      <c r="N898" s="55" t="s">
        <v>1591</v>
      </c>
      <c r="O898" s="61" t="s">
        <v>52</v>
      </c>
      <c r="P898" s="200"/>
      <c r="Q898" s="200"/>
      <c r="R898" s="200"/>
      <c r="S898" s="200"/>
      <c r="T898" s="66"/>
      <c r="U898" s="66"/>
      <c r="V898" s="66"/>
    </row>
    <row r="899" spans="1:22" s="64" customFormat="1" x14ac:dyDescent="0.25">
      <c r="A899" s="65" t="s">
        <v>1433</v>
      </c>
      <c r="B899" s="511" t="s">
        <v>1502</v>
      </c>
      <c r="C899" s="511"/>
      <c r="D899" s="511"/>
      <c r="E899" s="61" t="s">
        <v>1435</v>
      </c>
      <c r="F899" s="61" t="s">
        <v>54</v>
      </c>
      <c r="G899" s="61" t="s">
        <v>55</v>
      </c>
      <c r="H899" s="61"/>
      <c r="I899" s="61" t="s">
        <v>1366</v>
      </c>
      <c r="J899" s="62">
        <v>270</v>
      </c>
      <c r="K899" s="62">
        <v>300</v>
      </c>
      <c r="L899" s="62">
        <v>300</v>
      </c>
      <c r="M899" s="232">
        <v>385</v>
      </c>
      <c r="N899" s="55" t="s">
        <v>1591</v>
      </c>
      <c r="O899" s="61" t="s">
        <v>52</v>
      </c>
      <c r="P899" s="200"/>
      <c r="Q899" s="200"/>
      <c r="R899" s="200"/>
      <c r="S899" s="200"/>
      <c r="T899" s="66"/>
      <c r="U899" s="66"/>
      <c r="V899" s="66"/>
    </row>
    <row r="900" spans="1:22" s="64" customFormat="1" x14ac:dyDescent="0.25">
      <c r="A900" s="65" t="s">
        <v>1433</v>
      </c>
      <c r="B900" s="511" t="s">
        <v>1502</v>
      </c>
      <c r="C900" s="511"/>
      <c r="D900" s="511"/>
      <c r="E900" s="61" t="s">
        <v>1435</v>
      </c>
      <c r="F900" s="61" t="s">
        <v>389</v>
      </c>
      <c r="G900" s="61" t="s">
        <v>55</v>
      </c>
      <c r="H900" s="61"/>
      <c r="I900" s="61" t="s">
        <v>1366</v>
      </c>
      <c r="J900" s="62">
        <v>270</v>
      </c>
      <c r="K900" s="62">
        <v>300</v>
      </c>
      <c r="L900" s="62">
        <v>300</v>
      </c>
      <c r="M900" s="232">
        <v>385</v>
      </c>
      <c r="N900" s="55" t="s">
        <v>1591</v>
      </c>
      <c r="O900" s="61" t="s">
        <v>52</v>
      </c>
      <c r="P900" s="200"/>
      <c r="Q900" s="200"/>
      <c r="R900" s="200"/>
      <c r="S900" s="200"/>
      <c r="T900" s="66"/>
      <c r="U900" s="66"/>
      <c r="V900" s="66"/>
    </row>
    <row r="901" spans="1:22" s="64" customFormat="1" x14ac:dyDescent="0.25">
      <c r="A901" s="65" t="s">
        <v>1433</v>
      </c>
      <c r="B901" s="511" t="s">
        <v>1503</v>
      </c>
      <c r="C901" s="511"/>
      <c r="D901" s="511"/>
      <c r="E901" s="61" t="s">
        <v>1435</v>
      </c>
      <c r="F901" s="61" t="s">
        <v>56</v>
      </c>
      <c r="G901" s="61" t="s">
        <v>55</v>
      </c>
      <c r="H901" s="61"/>
      <c r="I901" s="61" t="s">
        <v>1366</v>
      </c>
      <c r="J901" s="62">
        <v>380</v>
      </c>
      <c r="K901" s="62">
        <v>520</v>
      </c>
      <c r="L901" s="62">
        <v>520</v>
      </c>
      <c r="M901" s="232"/>
      <c r="N901" s="55" t="s">
        <v>1591</v>
      </c>
      <c r="O901" s="61" t="s">
        <v>52</v>
      </c>
      <c r="P901" s="200"/>
      <c r="Q901" s="200"/>
      <c r="R901" s="200"/>
      <c r="S901" s="200"/>
      <c r="T901" s="66"/>
      <c r="U901" s="66"/>
      <c r="V901" s="66"/>
    </row>
    <row r="902" spans="1:22" s="64" customFormat="1" x14ac:dyDescent="0.25">
      <c r="A902" s="65" t="s">
        <v>1433</v>
      </c>
      <c r="B902" s="511" t="s">
        <v>1504</v>
      </c>
      <c r="C902" s="511"/>
      <c r="D902" s="511"/>
      <c r="E902" s="61" t="s">
        <v>1447</v>
      </c>
      <c r="F902" s="61" t="s">
        <v>56</v>
      </c>
      <c r="G902" s="61" t="s">
        <v>55</v>
      </c>
      <c r="H902" s="61"/>
      <c r="I902" s="61" t="s">
        <v>1366</v>
      </c>
      <c r="J902" s="62">
        <v>670</v>
      </c>
      <c r="K902" s="62">
        <v>550</v>
      </c>
      <c r="L902" s="62">
        <v>550</v>
      </c>
      <c r="M902" s="232"/>
      <c r="N902" s="55" t="s">
        <v>1591</v>
      </c>
      <c r="O902" s="61" t="s">
        <v>52</v>
      </c>
      <c r="P902" s="200"/>
      <c r="Q902" s="200"/>
      <c r="R902" s="200"/>
      <c r="S902" s="200"/>
      <c r="T902" s="66"/>
      <c r="U902" s="66"/>
      <c r="V902" s="66"/>
    </row>
    <row r="903" spans="1:22" s="64" customFormat="1" x14ac:dyDescent="0.25">
      <c r="A903" s="65" t="s">
        <v>1433</v>
      </c>
      <c r="B903" s="511" t="s">
        <v>1504</v>
      </c>
      <c r="C903" s="511"/>
      <c r="D903" s="511"/>
      <c r="E903" s="61" t="s">
        <v>1468</v>
      </c>
      <c r="F903" s="61" t="s">
        <v>56</v>
      </c>
      <c r="G903" s="61" t="s">
        <v>55</v>
      </c>
      <c r="H903" s="61"/>
      <c r="I903" s="61" t="s">
        <v>1366</v>
      </c>
      <c r="J903" s="62">
        <v>520</v>
      </c>
      <c r="K903" s="62">
        <v>430</v>
      </c>
      <c r="L903" s="62">
        <v>430</v>
      </c>
      <c r="M903" s="232"/>
      <c r="N903" s="55" t="s">
        <v>1591</v>
      </c>
      <c r="O903" s="61" t="s">
        <v>52</v>
      </c>
      <c r="P903" s="200"/>
      <c r="Q903" s="200"/>
      <c r="R903" s="200"/>
      <c r="S903" s="200"/>
      <c r="T903" s="66"/>
      <c r="U903" s="66"/>
      <c r="V903" s="66"/>
    </row>
    <row r="904" spans="1:22" s="64" customFormat="1" x14ac:dyDescent="0.25">
      <c r="A904" s="65" t="s">
        <v>1433</v>
      </c>
      <c r="B904" s="511" t="s">
        <v>1505</v>
      </c>
      <c r="C904" s="511"/>
      <c r="D904" s="511"/>
      <c r="E904" s="61" t="s">
        <v>1437</v>
      </c>
      <c r="F904" s="61" t="s">
        <v>54</v>
      </c>
      <c r="G904" s="61" t="s">
        <v>55</v>
      </c>
      <c r="H904" s="61"/>
      <c r="I904" s="61" t="s">
        <v>1366</v>
      </c>
      <c r="J904" s="62">
        <v>180</v>
      </c>
      <c r="K904" s="62">
        <v>200</v>
      </c>
      <c r="L904" s="62">
        <v>200</v>
      </c>
      <c r="M904" s="232">
        <v>255</v>
      </c>
      <c r="N904" s="55" t="s">
        <v>1591</v>
      </c>
      <c r="O904" s="61" t="s">
        <v>52</v>
      </c>
      <c r="P904" s="200"/>
      <c r="Q904" s="200"/>
      <c r="R904" s="200"/>
      <c r="S904" s="200"/>
      <c r="T904" s="66"/>
      <c r="U904" s="66"/>
      <c r="V904" s="66"/>
    </row>
    <row r="905" spans="1:22" s="64" customFormat="1" x14ac:dyDescent="0.25">
      <c r="A905" s="65" t="s">
        <v>1433</v>
      </c>
      <c r="B905" s="511" t="s">
        <v>1505</v>
      </c>
      <c r="C905" s="511"/>
      <c r="D905" s="511"/>
      <c r="E905" s="61" t="s">
        <v>1438</v>
      </c>
      <c r="F905" s="61" t="s">
        <v>389</v>
      </c>
      <c r="G905" s="61" t="s">
        <v>55</v>
      </c>
      <c r="H905" s="61"/>
      <c r="I905" s="61" t="s">
        <v>1366</v>
      </c>
      <c r="J905" s="62">
        <v>180</v>
      </c>
      <c r="K905" s="62">
        <v>200</v>
      </c>
      <c r="L905" s="62">
        <v>200</v>
      </c>
      <c r="M905" s="232">
        <v>255</v>
      </c>
      <c r="N905" s="55" t="s">
        <v>1591</v>
      </c>
      <c r="O905" s="61" t="s">
        <v>52</v>
      </c>
      <c r="P905" s="200"/>
      <c r="Q905" s="200"/>
      <c r="R905" s="200"/>
      <c r="S905" s="200"/>
      <c r="T905" s="66"/>
      <c r="U905" s="66"/>
      <c r="V905" s="66"/>
    </row>
    <row r="906" spans="1:22" s="64" customFormat="1" x14ac:dyDescent="0.25">
      <c r="A906" s="65" t="s">
        <v>1433</v>
      </c>
      <c r="B906" s="511" t="s">
        <v>1505</v>
      </c>
      <c r="C906" s="511"/>
      <c r="D906" s="511"/>
      <c r="E906" s="61" t="s">
        <v>1439</v>
      </c>
      <c r="F906" s="61" t="s">
        <v>389</v>
      </c>
      <c r="G906" s="61" t="s">
        <v>55</v>
      </c>
      <c r="H906" s="61"/>
      <c r="I906" s="61" t="s">
        <v>1366</v>
      </c>
      <c r="J906" s="62">
        <v>180</v>
      </c>
      <c r="K906" s="62">
        <v>200</v>
      </c>
      <c r="L906" s="62">
        <v>200</v>
      </c>
      <c r="M906" s="232">
        <v>255</v>
      </c>
      <c r="N906" s="55" t="s">
        <v>1591</v>
      </c>
      <c r="O906" s="61" t="s">
        <v>52</v>
      </c>
      <c r="P906" s="200"/>
      <c r="Q906" s="200"/>
      <c r="R906" s="200"/>
      <c r="S906" s="200"/>
      <c r="T906" s="66"/>
      <c r="U906" s="66"/>
      <c r="V906" s="66"/>
    </row>
    <row r="907" spans="1:22" s="64" customFormat="1" x14ac:dyDescent="0.25">
      <c r="A907" s="65" t="s">
        <v>1433</v>
      </c>
      <c r="B907" s="511" t="s">
        <v>1505</v>
      </c>
      <c r="C907" s="511"/>
      <c r="D907" s="511"/>
      <c r="E907" s="61" t="s">
        <v>1437</v>
      </c>
      <c r="F907" s="61" t="s">
        <v>389</v>
      </c>
      <c r="G907" s="61" t="s">
        <v>55</v>
      </c>
      <c r="H907" s="61"/>
      <c r="I907" s="61" t="s">
        <v>1366</v>
      </c>
      <c r="J907" s="62">
        <v>180</v>
      </c>
      <c r="K907" s="62">
        <v>200</v>
      </c>
      <c r="L907" s="62">
        <v>200</v>
      </c>
      <c r="M907" s="232">
        <v>255</v>
      </c>
      <c r="N907" s="55" t="s">
        <v>1591</v>
      </c>
      <c r="O907" s="61" t="s">
        <v>52</v>
      </c>
      <c r="P907" s="200"/>
      <c r="Q907" s="200"/>
      <c r="R907" s="200"/>
      <c r="S907" s="200"/>
      <c r="T907" s="66"/>
      <c r="U907" s="66"/>
      <c r="V907" s="66"/>
    </row>
    <row r="908" spans="1:22" s="64" customFormat="1" x14ac:dyDescent="0.25">
      <c r="A908" s="65" t="s">
        <v>1433</v>
      </c>
      <c r="B908" s="511" t="s">
        <v>1505</v>
      </c>
      <c r="C908" s="511"/>
      <c r="D908" s="511"/>
      <c r="E908" s="61" t="s">
        <v>1437</v>
      </c>
      <c r="F908" s="61" t="s">
        <v>56</v>
      </c>
      <c r="G908" s="61" t="s">
        <v>55</v>
      </c>
      <c r="H908" s="61"/>
      <c r="I908" s="61" t="s">
        <v>1366</v>
      </c>
      <c r="J908" s="62">
        <v>255</v>
      </c>
      <c r="K908" s="62">
        <v>295</v>
      </c>
      <c r="L908" s="62">
        <v>295</v>
      </c>
      <c r="M908" s="232">
        <v>205</v>
      </c>
      <c r="N908" s="55" t="s">
        <v>1591</v>
      </c>
      <c r="O908" s="61" t="s">
        <v>52</v>
      </c>
      <c r="P908" s="200"/>
      <c r="Q908" s="200"/>
      <c r="R908" s="200"/>
      <c r="S908" s="200"/>
      <c r="T908" s="66"/>
      <c r="U908" s="66"/>
      <c r="V908" s="66"/>
    </row>
    <row r="909" spans="1:22" s="64" customFormat="1" x14ac:dyDescent="0.25">
      <c r="A909" s="65" t="s">
        <v>1433</v>
      </c>
      <c r="B909" s="511" t="s">
        <v>1506</v>
      </c>
      <c r="C909" s="511"/>
      <c r="D909" s="511"/>
      <c r="E909" s="61" t="s">
        <v>1447</v>
      </c>
      <c r="F909" s="61" t="s">
        <v>56</v>
      </c>
      <c r="G909" s="61" t="s">
        <v>55</v>
      </c>
      <c r="H909" s="61"/>
      <c r="I909" s="61" t="s">
        <v>1366</v>
      </c>
      <c r="J909" s="62">
        <v>380</v>
      </c>
      <c r="K909" s="62">
        <v>370</v>
      </c>
      <c r="L909" s="62">
        <v>370</v>
      </c>
      <c r="M909" s="232"/>
      <c r="N909" s="55" t="s">
        <v>1591</v>
      </c>
      <c r="O909" s="61" t="s">
        <v>52</v>
      </c>
      <c r="P909" s="200"/>
      <c r="Q909" s="200"/>
      <c r="R909" s="200"/>
      <c r="S909" s="200"/>
      <c r="T909" s="66"/>
      <c r="U909" s="66"/>
      <c r="V909" s="66"/>
    </row>
    <row r="910" spans="1:22" s="64" customFormat="1" x14ac:dyDescent="0.25">
      <c r="A910" s="65" t="s">
        <v>1433</v>
      </c>
      <c r="B910" s="511" t="s">
        <v>1506</v>
      </c>
      <c r="C910" s="511"/>
      <c r="D910" s="511"/>
      <c r="E910" s="61" t="s">
        <v>1435</v>
      </c>
      <c r="F910" s="61" t="s">
        <v>56</v>
      </c>
      <c r="G910" s="61" t="s">
        <v>55</v>
      </c>
      <c r="H910" s="61"/>
      <c r="I910" s="61" t="s">
        <v>1366</v>
      </c>
      <c r="J910" s="62">
        <v>400</v>
      </c>
      <c r="K910" s="62">
        <v>405</v>
      </c>
      <c r="L910" s="62">
        <v>405</v>
      </c>
      <c r="M910" s="232"/>
      <c r="N910" s="55" t="s">
        <v>1591</v>
      </c>
      <c r="O910" s="61" t="s">
        <v>52</v>
      </c>
      <c r="P910" s="200"/>
      <c r="Q910" s="200"/>
      <c r="R910" s="200"/>
      <c r="S910" s="200"/>
      <c r="T910" s="66"/>
      <c r="U910" s="66"/>
      <c r="V910" s="66"/>
    </row>
    <row r="911" spans="1:22" s="64" customFormat="1" x14ac:dyDescent="0.25">
      <c r="A911" s="65" t="s">
        <v>1433</v>
      </c>
      <c r="B911" s="511" t="s">
        <v>1507</v>
      </c>
      <c r="C911" s="511"/>
      <c r="D911" s="511"/>
      <c r="E911" s="61" t="s">
        <v>1435</v>
      </c>
      <c r="F911" s="61" t="s">
        <v>54</v>
      </c>
      <c r="G911" s="61" t="s">
        <v>55</v>
      </c>
      <c r="H911" s="61"/>
      <c r="I911" s="61" t="s">
        <v>1366</v>
      </c>
      <c r="J911" s="62">
        <v>405</v>
      </c>
      <c r="K911" s="62">
        <v>450</v>
      </c>
      <c r="L911" s="62">
        <v>450</v>
      </c>
      <c r="M911" s="232">
        <v>570</v>
      </c>
      <c r="N911" s="55" t="s">
        <v>1591</v>
      </c>
      <c r="O911" s="61" t="s">
        <v>52</v>
      </c>
      <c r="P911" s="200"/>
      <c r="Q911" s="200"/>
      <c r="R911" s="200"/>
      <c r="S911" s="200"/>
      <c r="T911" s="66"/>
      <c r="U911" s="66"/>
      <c r="V911" s="66"/>
    </row>
    <row r="912" spans="1:22" s="64" customFormat="1" x14ac:dyDescent="0.25">
      <c r="A912" s="65" t="s">
        <v>1433</v>
      </c>
      <c r="B912" s="511" t="s">
        <v>1507</v>
      </c>
      <c r="C912" s="511"/>
      <c r="D912" s="511"/>
      <c r="E912" s="61" t="s">
        <v>1435</v>
      </c>
      <c r="F912" s="61" t="s">
        <v>389</v>
      </c>
      <c r="G912" s="61" t="s">
        <v>55</v>
      </c>
      <c r="H912" s="61"/>
      <c r="I912" s="61" t="s">
        <v>1366</v>
      </c>
      <c r="J912" s="62">
        <v>405</v>
      </c>
      <c r="K912" s="62">
        <v>450</v>
      </c>
      <c r="L912" s="62">
        <v>450</v>
      </c>
      <c r="M912" s="232">
        <v>570</v>
      </c>
      <c r="N912" s="55" t="s">
        <v>1591</v>
      </c>
      <c r="O912" s="61" t="s">
        <v>52</v>
      </c>
      <c r="P912" s="200"/>
      <c r="Q912" s="200"/>
      <c r="R912" s="200"/>
      <c r="S912" s="200"/>
      <c r="T912" s="66"/>
      <c r="U912" s="66"/>
      <c r="V912" s="66"/>
    </row>
    <row r="913" spans="1:22" s="64" customFormat="1" x14ac:dyDescent="0.25">
      <c r="A913" s="65" t="s">
        <v>1433</v>
      </c>
      <c r="B913" s="511" t="s">
        <v>1508</v>
      </c>
      <c r="C913" s="511"/>
      <c r="D913" s="511"/>
      <c r="E913" s="61" t="s">
        <v>1435</v>
      </c>
      <c r="F913" s="61" t="s">
        <v>54</v>
      </c>
      <c r="G913" s="61" t="s">
        <v>55</v>
      </c>
      <c r="H913" s="61"/>
      <c r="I913" s="61" t="s">
        <v>1366</v>
      </c>
      <c r="J913" s="62">
        <v>900</v>
      </c>
      <c r="K913" s="62">
        <v>1000</v>
      </c>
      <c r="L913" s="62">
        <v>1000</v>
      </c>
      <c r="M913" s="232">
        <v>1270</v>
      </c>
      <c r="N913" s="55" t="s">
        <v>1591</v>
      </c>
      <c r="O913" s="61" t="s">
        <v>52</v>
      </c>
      <c r="P913" s="200"/>
      <c r="Q913" s="200"/>
      <c r="R913" s="200"/>
      <c r="S913" s="200"/>
      <c r="T913" s="66"/>
      <c r="U913" s="66"/>
      <c r="V913" s="66"/>
    </row>
    <row r="914" spans="1:22" s="64" customFormat="1" x14ac:dyDescent="0.25">
      <c r="A914" s="65" t="s">
        <v>1433</v>
      </c>
      <c r="B914" s="511" t="s">
        <v>1508</v>
      </c>
      <c r="C914" s="511"/>
      <c r="D914" s="511"/>
      <c r="E914" s="61" t="s">
        <v>1435</v>
      </c>
      <c r="F914" s="61" t="s">
        <v>389</v>
      </c>
      <c r="G914" s="61" t="s">
        <v>55</v>
      </c>
      <c r="H914" s="61"/>
      <c r="I914" s="61" t="s">
        <v>1366</v>
      </c>
      <c r="J914" s="62">
        <v>900</v>
      </c>
      <c r="K914" s="62">
        <v>1000</v>
      </c>
      <c r="L914" s="62">
        <v>1000</v>
      </c>
      <c r="M914" s="232">
        <v>1270</v>
      </c>
      <c r="N914" s="55" t="s">
        <v>1591</v>
      </c>
      <c r="O914" s="61" t="s">
        <v>52</v>
      </c>
      <c r="P914" s="200"/>
      <c r="Q914" s="200"/>
      <c r="R914" s="200"/>
      <c r="S914" s="200"/>
      <c r="T914" s="66"/>
      <c r="U914" s="66"/>
      <c r="V914" s="66"/>
    </row>
    <row r="915" spans="1:22" s="64" customFormat="1" x14ac:dyDescent="0.25">
      <c r="A915" s="65" t="s">
        <v>1433</v>
      </c>
      <c r="B915" s="511" t="s">
        <v>1509</v>
      </c>
      <c r="C915" s="511"/>
      <c r="D915" s="511"/>
      <c r="E915" s="61" t="s">
        <v>1435</v>
      </c>
      <c r="F915" s="61" t="s">
        <v>54</v>
      </c>
      <c r="G915" s="61" t="s">
        <v>55</v>
      </c>
      <c r="H915" s="61"/>
      <c r="I915" s="61" t="s">
        <v>1366</v>
      </c>
      <c r="J915" s="62">
        <v>315</v>
      </c>
      <c r="K915" s="62">
        <v>350</v>
      </c>
      <c r="L915" s="62">
        <v>350</v>
      </c>
      <c r="M915" s="232">
        <v>445</v>
      </c>
      <c r="N915" s="55" t="s">
        <v>1591</v>
      </c>
      <c r="O915" s="61" t="s">
        <v>52</v>
      </c>
      <c r="P915" s="200"/>
      <c r="Q915" s="200"/>
      <c r="R915" s="200"/>
      <c r="S915" s="200"/>
      <c r="T915" s="66"/>
      <c r="U915" s="66"/>
      <c r="V915" s="66"/>
    </row>
    <row r="916" spans="1:22" s="64" customFormat="1" x14ac:dyDescent="0.25">
      <c r="A916" s="65" t="s">
        <v>1433</v>
      </c>
      <c r="B916" s="511" t="s">
        <v>1509</v>
      </c>
      <c r="C916" s="511"/>
      <c r="D916" s="511"/>
      <c r="E916" s="61" t="s">
        <v>1435</v>
      </c>
      <c r="F916" s="61" t="s">
        <v>389</v>
      </c>
      <c r="G916" s="61" t="s">
        <v>55</v>
      </c>
      <c r="H916" s="61"/>
      <c r="I916" s="61" t="s">
        <v>1366</v>
      </c>
      <c r="J916" s="62">
        <v>315</v>
      </c>
      <c r="K916" s="62">
        <v>350</v>
      </c>
      <c r="L916" s="62">
        <v>350</v>
      </c>
      <c r="M916" s="232">
        <v>445</v>
      </c>
      <c r="N916" s="55" t="s">
        <v>1591</v>
      </c>
      <c r="O916" s="61" t="s">
        <v>52</v>
      </c>
      <c r="P916" s="200"/>
      <c r="Q916" s="200"/>
      <c r="R916" s="200"/>
      <c r="S916" s="200"/>
      <c r="T916" s="66"/>
      <c r="U916" s="66"/>
      <c r="V916" s="66"/>
    </row>
    <row r="917" spans="1:22" s="64" customFormat="1" x14ac:dyDescent="0.25">
      <c r="A917" s="65" t="s">
        <v>1433</v>
      </c>
      <c r="B917" s="511" t="s">
        <v>1510</v>
      </c>
      <c r="C917" s="511"/>
      <c r="D917" s="511"/>
      <c r="E917" s="61" t="s">
        <v>1435</v>
      </c>
      <c r="F917" s="61" t="s">
        <v>54</v>
      </c>
      <c r="G917" s="61" t="s">
        <v>55</v>
      </c>
      <c r="H917" s="61"/>
      <c r="I917" s="61" t="s">
        <v>1366</v>
      </c>
      <c r="J917" s="62">
        <v>315</v>
      </c>
      <c r="K917" s="62">
        <v>350</v>
      </c>
      <c r="L917" s="62">
        <v>350</v>
      </c>
      <c r="M917" s="232">
        <v>445</v>
      </c>
      <c r="N917" s="55" t="s">
        <v>1591</v>
      </c>
      <c r="O917" s="61" t="s">
        <v>52</v>
      </c>
      <c r="P917" s="200"/>
      <c r="Q917" s="200"/>
      <c r="R917" s="200"/>
      <c r="S917" s="200"/>
      <c r="T917" s="66"/>
      <c r="U917" s="66"/>
      <c r="V917" s="66"/>
    </row>
    <row r="918" spans="1:22" s="64" customFormat="1" x14ac:dyDescent="0.25">
      <c r="A918" s="65" t="s">
        <v>1433</v>
      </c>
      <c r="B918" s="511" t="s">
        <v>1510</v>
      </c>
      <c r="C918" s="511"/>
      <c r="D918" s="511"/>
      <c r="E918" s="61" t="s">
        <v>1435</v>
      </c>
      <c r="F918" s="61" t="s">
        <v>389</v>
      </c>
      <c r="G918" s="61" t="s">
        <v>55</v>
      </c>
      <c r="H918" s="61"/>
      <c r="I918" s="61" t="s">
        <v>1366</v>
      </c>
      <c r="J918" s="62">
        <v>315</v>
      </c>
      <c r="K918" s="62">
        <v>350</v>
      </c>
      <c r="L918" s="62">
        <v>350</v>
      </c>
      <c r="M918" s="232">
        <v>445</v>
      </c>
      <c r="N918" s="55" t="s">
        <v>1591</v>
      </c>
      <c r="O918" s="61" t="s">
        <v>52</v>
      </c>
      <c r="P918" s="200"/>
      <c r="Q918" s="200"/>
      <c r="R918" s="200"/>
      <c r="S918" s="200"/>
      <c r="T918" s="66"/>
      <c r="U918" s="66"/>
      <c r="V918" s="66"/>
    </row>
    <row r="919" spans="1:22" s="64" customFormat="1" x14ac:dyDescent="0.25">
      <c r="A919" s="65" t="s">
        <v>1433</v>
      </c>
      <c r="B919" s="511" t="s">
        <v>1510</v>
      </c>
      <c r="C919" s="511"/>
      <c r="D919" s="511"/>
      <c r="E919" s="61" t="s">
        <v>1439</v>
      </c>
      <c r="F919" s="61" t="s">
        <v>56</v>
      </c>
      <c r="G919" s="61" t="s">
        <v>55</v>
      </c>
      <c r="H919" s="61"/>
      <c r="I919" s="61" t="s">
        <v>1366</v>
      </c>
      <c r="J919" s="62">
        <v>420</v>
      </c>
      <c r="K919" s="62">
        <v>595</v>
      </c>
      <c r="L919" s="62">
        <v>595</v>
      </c>
      <c r="M919" s="232"/>
      <c r="N919" s="55" t="s">
        <v>1591</v>
      </c>
      <c r="O919" s="61" t="s">
        <v>52</v>
      </c>
      <c r="P919" s="200"/>
      <c r="Q919" s="200"/>
      <c r="R919" s="200"/>
      <c r="S919" s="200"/>
      <c r="T919" s="66"/>
      <c r="U919" s="66"/>
      <c r="V919" s="66"/>
    </row>
    <row r="920" spans="1:22" s="64" customFormat="1" x14ac:dyDescent="0.25">
      <c r="A920" s="65" t="s">
        <v>1433</v>
      </c>
      <c r="B920" s="511" t="s">
        <v>1510</v>
      </c>
      <c r="C920" s="511"/>
      <c r="D920" s="511"/>
      <c r="E920" s="61" t="s">
        <v>1437</v>
      </c>
      <c r="F920" s="61" t="s">
        <v>56</v>
      </c>
      <c r="G920" s="61" t="s">
        <v>55</v>
      </c>
      <c r="H920" s="61"/>
      <c r="I920" s="61" t="s">
        <v>1366</v>
      </c>
      <c r="J920" s="62">
        <v>475</v>
      </c>
      <c r="K920" s="62">
        <v>645</v>
      </c>
      <c r="L920" s="62">
        <v>645</v>
      </c>
      <c r="M920" s="232"/>
      <c r="N920" s="55" t="s">
        <v>1591</v>
      </c>
      <c r="O920" s="61" t="s">
        <v>52</v>
      </c>
      <c r="P920" s="200"/>
      <c r="Q920" s="200"/>
      <c r="R920" s="200"/>
      <c r="S920" s="200"/>
      <c r="T920" s="66"/>
      <c r="U920" s="66"/>
      <c r="V920" s="66"/>
    </row>
    <row r="921" spans="1:22" s="64" customFormat="1" x14ac:dyDescent="0.25">
      <c r="A921" s="65" t="s">
        <v>1433</v>
      </c>
      <c r="B921" s="511" t="s">
        <v>1511</v>
      </c>
      <c r="C921" s="511"/>
      <c r="D921" s="511"/>
      <c r="E921" s="61" t="s">
        <v>1437</v>
      </c>
      <c r="F921" s="61" t="s">
        <v>54</v>
      </c>
      <c r="G921" s="61" t="s">
        <v>55</v>
      </c>
      <c r="H921" s="61"/>
      <c r="I921" s="61" t="s">
        <v>1366</v>
      </c>
      <c r="J921" s="62">
        <v>135</v>
      </c>
      <c r="K921" s="62">
        <v>150</v>
      </c>
      <c r="L921" s="62">
        <v>150</v>
      </c>
      <c r="M921" s="232">
        <v>190</v>
      </c>
      <c r="N921" s="55" t="s">
        <v>1591</v>
      </c>
      <c r="O921" s="61" t="s">
        <v>52</v>
      </c>
      <c r="P921" s="200"/>
      <c r="Q921" s="200"/>
      <c r="R921" s="200"/>
      <c r="S921" s="200"/>
      <c r="T921" s="66"/>
      <c r="U921" s="66"/>
      <c r="V921" s="66"/>
    </row>
    <row r="922" spans="1:22" s="64" customFormat="1" x14ac:dyDescent="0.25">
      <c r="A922" s="65" t="s">
        <v>1433</v>
      </c>
      <c r="B922" s="511" t="s">
        <v>1511</v>
      </c>
      <c r="C922" s="511"/>
      <c r="D922" s="511"/>
      <c r="E922" s="61" t="s">
        <v>1438</v>
      </c>
      <c r="F922" s="61" t="s">
        <v>389</v>
      </c>
      <c r="G922" s="61" t="s">
        <v>55</v>
      </c>
      <c r="H922" s="61"/>
      <c r="I922" s="61" t="s">
        <v>1366</v>
      </c>
      <c r="J922" s="62">
        <v>135</v>
      </c>
      <c r="K922" s="62">
        <v>150</v>
      </c>
      <c r="L922" s="62">
        <v>150</v>
      </c>
      <c r="M922" s="232">
        <v>190</v>
      </c>
      <c r="N922" s="55" t="s">
        <v>1591</v>
      </c>
      <c r="O922" s="61" t="s">
        <v>52</v>
      </c>
      <c r="P922" s="200"/>
      <c r="Q922" s="200"/>
      <c r="R922" s="200"/>
      <c r="S922" s="200"/>
      <c r="T922" s="66"/>
      <c r="U922" s="66"/>
      <c r="V922" s="66"/>
    </row>
    <row r="923" spans="1:22" s="64" customFormat="1" x14ac:dyDescent="0.25">
      <c r="A923" s="65" t="s">
        <v>1433</v>
      </c>
      <c r="B923" s="511" t="s">
        <v>1511</v>
      </c>
      <c r="C923" s="511"/>
      <c r="D923" s="511"/>
      <c r="E923" s="61" t="s">
        <v>1439</v>
      </c>
      <c r="F923" s="61" t="s">
        <v>389</v>
      </c>
      <c r="G923" s="61" t="s">
        <v>55</v>
      </c>
      <c r="H923" s="61"/>
      <c r="I923" s="61" t="s">
        <v>1366</v>
      </c>
      <c r="J923" s="62">
        <v>135</v>
      </c>
      <c r="K923" s="62">
        <v>150</v>
      </c>
      <c r="L923" s="62">
        <v>150</v>
      </c>
      <c r="M923" s="232">
        <v>190</v>
      </c>
      <c r="N923" s="55" t="s">
        <v>1591</v>
      </c>
      <c r="O923" s="61" t="s">
        <v>52</v>
      </c>
      <c r="P923" s="200"/>
      <c r="Q923" s="200"/>
      <c r="R923" s="200"/>
      <c r="S923" s="200"/>
      <c r="T923" s="66"/>
      <c r="U923" s="66"/>
      <c r="V923" s="66"/>
    </row>
    <row r="924" spans="1:22" s="64" customFormat="1" x14ac:dyDescent="0.25">
      <c r="A924" s="65" t="s">
        <v>1433</v>
      </c>
      <c r="B924" s="511" t="s">
        <v>1511</v>
      </c>
      <c r="C924" s="511"/>
      <c r="D924" s="511"/>
      <c r="E924" s="61" t="s">
        <v>1437</v>
      </c>
      <c r="F924" s="61" t="s">
        <v>389</v>
      </c>
      <c r="G924" s="61" t="s">
        <v>55</v>
      </c>
      <c r="H924" s="61"/>
      <c r="I924" s="61" t="s">
        <v>1366</v>
      </c>
      <c r="J924" s="62">
        <v>135</v>
      </c>
      <c r="K924" s="62">
        <v>150</v>
      </c>
      <c r="L924" s="62">
        <v>150</v>
      </c>
      <c r="M924" s="232">
        <v>190</v>
      </c>
      <c r="N924" s="55" t="s">
        <v>1591</v>
      </c>
      <c r="O924" s="61" t="s">
        <v>52</v>
      </c>
      <c r="P924" s="200"/>
      <c r="Q924" s="200"/>
      <c r="R924" s="200"/>
      <c r="S924" s="200"/>
      <c r="T924" s="66"/>
      <c r="U924" s="66"/>
      <c r="V924" s="66"/>
    </row>
    <row r="925" spans="1:22" s="64" customFormat="1" x14ac:dyDescent="0.25">
      <c r="A925" s="65" t="s">
        <v>1433</v>
      </c>
      <c r="B925" s="511" t="s">
        <v>1512</v>
      </c>
      <c r="C925" s="511"/>
      <c r="D925" s="511"/>
      <c r="E925" s="61" t="s">
        <v>1435</v>
      </c>
      <c r="F925" s="61" t="s">
        <v>54</v>
      </c>
      <c r="G925" s="61" t="s">
        <v>55</v>
      </c>
      <c r="H925" s="61"/>
      <c r="I925" s="61" t="s">
        <v>1366</v>
      </c>
      <c r="J925" s="62">
        <v>225</v>
      </c>
      <c r="K925" s="62">
        <v>250</v>
      </c>
      <c r="L925" s="62">
        <v>250</v>
      </c>
      <c r="M925" s="232">
        <v>320</v>
      </c>
      <c r="N925" s="55" t="s">
        <v>1591</v>
      </c>
      <c r="O925" s="61" t="s">
        <v>52</v>
      </c>
      <c r="P925" s="200"/>
      <c r="Q925" s="200"/>
      <c r="R925" s="200"/>
      <c r="S925" s="200"/>
      <c r="T925" s="66"/>
      <c r="U925" s="66"/>
      <c r="V925" s="66"/>
    </row>
    <row r="926" spans="1:22" s="64" customFormat="1" x14ac:dyDescent="0.25">
      <c r="A926" s="65" t="s">
        <v>1433</v>
      </c>
      <c r="B926" s="511" t="s">
        <v>1512</v>
      </c>
      <c r="C926" s="511"/>
      <c r="D926" s="511"/>
      <c r="E926" s="61" t="s">
        <v>1435</v>
      </c>
      <c r="F926" s="61" t="s">
        <v>389</v>
      </c>
      <c r="G926" s="61" t="s">
        <v>55</v>
      </c>
      <c r="H926" s="61"/>
      <c r="I926" s="61" t="s">
        <v>1366</v>
      </c>
      <c r="J926" s="62">
        <v>225</v>
      </c>
      <c r="K926" s="62">
        <v>250</v>
      </c>
      <c r="L926" s="62">
        <v>250</v>
      </c>
      <c r="M926" s="232">
        <v>320</v>
      </c>
      <c r="N926" s="55" t="s">
        <v>1591</v>
      </c>
      <c r="O926" s="61" t="s">
        <v>52</v>
      </c>
      <c r="P926" s="200"/>
      <c r="Q926" s="200"/>
      <c r="R926" s="200"/>
      <c r="S926" s="200"/>
      <c r="T926" s="66"/>
      <c r="U926" s="66"/>
      <c r="V926" s="66"/>
    </row>
    <row r="927" spans="1:22" s="64" customFormat="1" x14ac:dyDescent="0.25">
      <c r="A927" s="65" t="s">
        <v>1433</v>
      </c>
      <c r="B927" s="511" t="s">
        <v>1513</v>
      </c>
      <c r="C927" s="511"/>
      <c r="D927" s="511"/>
      <c r="E927" s="61" t="s">
        <v>1437</v>
      </c>
      <c r="F927" s="61" t="s">
        <v>54</v>
      </c>
      <c r="G927" s="61" t="s">
        <v>55</v>
      </c>
      <c r="H927" s="61"/>
      <c r="I927" s="61" t="s">
        <v>1366</v>
      </c>
      <c r="J927" s="62">
        <v>225</v>
      </c>
      <c r="K927" s="62">
        <v>250</v>
      </c>
      <c r="L927" s="62">
        <v>250</v>
      </c>
      <c r="M927" s="232">
        <v>320</v>
      </c>
      <c r="N927" s="55" t="s">
        <v>1591</v>
      </c>
      <c r="O927" s="61" t="s">
        <v>52</v>
      </c>
      <c r="P927" s="200"/>
      <c r="Q927" s="200"/>
      <c r="R927" s="200"/>
      <c r="S927" s="200"/>
      <c r="T927" s="66"/>
      <c r="U927" s="66"/>
      <c r="V927" s="66"/>
    </row>
    <row r="928" spans="1:22" s="64" customFormat="1" x14ac:dyDescent="0.25">
      <c r="A928" s="65" t="s">
        <v>1433</v>
      </c>
      <c r="B928" s="511" t="s">
        <v>1513</v>
      </c>
      <c r="C928" s="511"/>
      <c r="D928" s="511"/>
      <c r="E928" s="61" t="s">
        <v>1438</v>
      </c>
      <c r="F928" s="61" t="s">
        <v>389</v>
      </c>
      <c r="G928" s="61" t="s">
        <v>55</v>
      </c>
      <c r="H928" s="61"/>
      <c r="I928" s="61" t="s">
        <v>1366</v>
      </c>
      <c r="J928" s="62">
        <v>225</v>
      </c>
      <c r="K928" s="62">
        <v>250</v>
      </c>
      <c r="L928" s="62">
        <v>250</v>
      </c>
      <c r="M928" s="232">
        <v>320</v>
      </c>
      <c r="N928" s="55" t="s">
        <v>1591</v>
      </c>
      <c r="O928" s="61" t="s">
        <v>52</v>
      </c>
      <c r="P928" s="200"/>
      <c r="Q928" s="200"/>
      <c r="R928" s="200"/>
      <c r="S928" s="200"/>
      <c r="T928" s="66"/>
      <c r="U928" s="66"/>
      <c r="V928" s="66"/>
    </row>
    <row r="929" spans="1:22" s="64" customFormat="1" x14ac:dyDescent="0.25">
      <c r="A929" s="65" t="s">
        <v>1433</v>
      </c>
      <c r="B929" s="511" t="s">
        <v>1513</v>
      </c>
      <c r="C929" s="511"/>
      <c r="D929" s="511"/>
      <c r="E929" s="61" t="s">
        <v>1439</v>
      </c>
      <c r="F929" s="61" t="s">
        <v>389</v>
      </c>
      <c r="G929" s="61" t="s">
        <v>55</v>
      </c>
      <c r="H929" s="61"/>
      <c r="I929" s="61" t="s">
        <v>1366</v>
      </c>
      <c r="J929" s="62">
        <v>225</v>
      </c>
      <c r="K929" s="62">
        <v>250</v>
      </c>
      <c r="L929" s="62">
        <v>250</v>
      </c>
      <c r="M929" s="232">
        <v>320</v>
      </c>
      <c r="N929" s="55" t="s">
        <v>1591</v>
      </c>
      <c r="O929" s="61" t="s">
        <v>52</v>
      </c>
      <c r="P929" s="200"/>
      <c r="Q929" s="200"/>
      <c r="R929" s="200"/>
      <c r="S929" s="200"/>
      <c r="T929" s="66"/>
      <c r="U929" s="66"/>
      <c r="V929" s="66"/>
    </row>
    <row r="930" spans="1:22" s="64" customFormat="1" x14ac:dyDescent="0.25">
      <c r="A930" s="65" t="s">
        <v>1433</v>
      </c>
      <c r="B930" s="511" t="s">
        <v>1513</v>
      </c>
      <c r="C930" s="511"/>
      <c r="D930" s="511"/>
      <c r="E930" s="61" t="s">
        <v>1437</v>
      </c>
      <c r="F930" s="61" t="s">
        <v>389</v>
      </c>
      <c r="G930" s="61" t="s">
        <v>55</v>
      </c>
      <c r="H930" s="61"/>
      <c r="I930" s="61" t="s">
        <v>1366</v>
      </c>
      <c r="J930" s="62">
        <v>225</v>
      </c>
      <c r="K930" s="62">
        <v>250</v>
      </c>
      <c r="L930" s="62">
        <v>250</v>
      </c>
      <c r="M930" s="232">
        <v>320</v>
      </c>
      <c r="N930" s="55" t="s">
        <v>1591</v>
      </c>
      <c r="O930" s="61" t="s">
        <v>52</v>
      </c>
      <c r="P930" s="200"/>
      <c r="Q930" s="200"/>
      <c r="R930" s="200"/>
      <c r="S930" s="200"/>
      <c r="T930" s="66"/>
      <c r="U930" s="66"/>
      <c r="V930" s="66"/>
    </row>
    <row r="931" spans="1:22" s="64" customFormat="1" x14ac:dyDescent="0.25">
      <c r="A931" s="65" t="s">
        <v>1433</v>
      </c>
      <c r="B931" s="511" t="s">
        <v>1513</v>
      </c>
      <c r="C931" s="511"/>
      <c r="D931" s="511"/>
      <c r="E931" s="61" t="s">
        <v>1437</v>
      </c>
      <c r="F931" s="61" t="s">
        <v>56</v>
      </c>
      <c r="G931" s="61" t="s">
        <v>55</v>
      </c>
      <c r="H931" s="61"/>
      <c r="I931" s="61" t="s">
        <v>1366</v>
      </c>
      <c r="J931" s="62">
        <v>135</v>
      </c>
      <c r="K931" s="62">
        <v>475</v>
      </c>
      <c r="L931" s="62">
        <v>475</v>
      </c>
      <c r="M931" s="232">
        <v>405</v>
      </c>
      <c r="N931" s="55" t="s">
        <v>1591</v>
      </c>
      <c r="O931" s="61" t="s">
        <v>52</v>
      </c>
      <c r="P931" s="200"/>
      <c r="Q931" s="200"/>
      <c r="R931" s="200"/>
      <c r="S931" s="200"/>
      <c r="T931" s="66"/>
      <c r="U931" s="66"/>
      <c r="V931" s="66"/>
    </row>
    <row r="932" spans="1:22" s="64" customFormat="1" x14ac:dyDescent="0.25">
      <c r="A932" s="65" t="s">
        <v>1433</v>
      </c>
      <c r="B932" s="511" t="s">
        <v>1514</v>
      </c>
      <c r="C932" s="511"/>
      <c r="D932" s="511"/>
      <c r="E932" s="61" t="s">
        <v>1437</v>
      </c>
      <c r="F932" s="61" t="s">
        <v>54</v>
      </c>
      <c r="G932" s="61" t="s">
        <v>55</v>
      </c>
      <c r="H932" s="61"/>
      <c r="I932" s="61" t="s">
        <v>1366</v>
      </c>
      <c r="J932" s="62">
        <v>180</v>
      </c>
      <c r="K932" s="62">
        <v>200</v>
      </c>
      <c r="L932" s="62">
        <v>200</v>
      </c>
      <c r="M932" s="232">
        <v>255</v>
      </c>
      <c r="N932" s="55" t="s">
        <v>1591</v>
      </c>
      <c r="O932" s="61" t="s">
        <v>52</v>
      </c>
      <c r="P932" s="200"/>
      <c r="Q932" s="200"/>
      <c r="R932" s="200"/>
      <c r="S932" s="200"/>
      <c r="T932" s="66"/>
      <c r="U932" s="66"/>
      <c r="V932" s="66"/>
    </row>
    <row r="933" spans="1:22" s="64" customFormat="1" x14ac:dyDescent="0.25">
      <c r="A933" s="65" t="s">
        <v>1433</v>
      </c>
      <c r="B933" s="511" t="s">
        <v>1514</v>
      </c>
      <c r="C933" s="511"/>
      <c r="D933" s="511"/>
      <c r="E933" s="61" t="s">
        <v>1438</v>
      </c>
      <c r="F933" s="61" t="s">
        <v>389</v>
      </c>
      <c r="G933" s="61" t="s">
        <v>55</v>
      </c>
      <c r="H933" s="61"/>
      <c r="I933" s="61" t="s">
        <v>1366</v>
      </c>
      <c r="J933" s="62">
        <v>180</v>
      </c>
      <c r="K933" s="62">
        <v>200</v>
      </c>
      <c r="L933" s="62">
        <v>200</v>
      </c>
      <c r="M933" s="232">
        <v>255</v>
      </c>
      <c r="N933" s="55" t="s">
        <v>1591</v>
      </c>
      <c r="O933" s="61" t="s">
        <v>52</v>
      </c>
      <c r="P933" s="200"/>
      <c r="Q933" s="200"/>
      <c r="R933" s="200"/>
      <c r="S933" s="200"/>
      <c r="T933" s="66"/>
      <c r="U933" s="66"/>
      <c r="V933" s="66"/>
    </row>
    <row r="934" spans="1:22" s="64" customFormat="1" x14ac:dyDescent="0.25">
      <c r="A934" s="65" t="s">
        <v>1433</v>
      </c>
      <c r="B934" s="511" t="s">
        <v>1514</v>
      </c>
      <c r="C934" s="511"/>
      <c r="D934" s="511"/>
      <c r="E934" s="61" t="s">
        <v>1439</v>
      </c>
      <c r="F934" s="61" t="s">
        <v>389</v>
      </c>
      <c r="G934" s="61" t="s">
        <v>55</v>
      </c>
      <c r="H934" s="61"/>
      <c r="I934" s="61" t="s">
        <v>1366</v>
      </c>
      <c r="J934" s="62">
        <v>180</v>
      </c>
      <c r="K934" s="62">
        <v>200</v>
      </c>
      <c r="L934" s="62">
        <v>200</v>
      </c>
      <c r="M934" s="232">
        <v>255</v>
      </c>
      <c r="N934" s="55" t="s">
        <v>1591</v>
      </c>
      <c r="O934" s="61" t="s">
        <v>52</v>
      </c>
      <c r="P934" s="200"/>
      <c r="Q934" s="200"/>
      <c r="R934" s="200"/>
      <c r="S934" s="200"/>
      <c r="T934" s="66"/>
      <c r="U934" s="66"/>
      <c r="V934" s="66"/>
    </row>
    <row r="935" spans="1:22" s="64" customFormat="1" x14ac:dyDescent="0.25">
      <c r="A935" s="65" t="s">
        <v>1433</v>
      </c>
      <c r="B935" s="511" t="s">
        <v>1514</v>
      </c>
      <c r="C935" s="511"/>
      <c r="D935" s="511"/>
      <c r="E935" s="61" t="s">
        <v>1437</v>
      </c>
      <c r="F935" s="61" t="s">
        <v>389</v>
      </c>
      <c r="G935" s="61" t="s">
        <v>55</v>
      </c>
      <c r="H935" s="61"/>
      <c r="I935" s="61" t="s">
        <v>1366</v>
      </c>
      <c r="J935" s="62">
        <v>180</v>
      </c>
      <c r="K935" s="62">
        <v>200</v>
      </c>
      <c r="L935" s="62">
        <v>200</v>
      </c>
      <c r="M935" s="232">
        <v>255</v>
      </c>
      <c r="N935" s="55" t="s">
        <v>1591</v>
      </c>
      <c r="O935" s="61" t="s">
        <v>52</v>
      </c>
      <c r="P935" s="200"/>
      <c r="Q935" s="200"/>
      <c r="R935" s="200"/>
      <c r="S935" s="200"/>
      <c r="T935" s="66"/>
      <c r="U935" s="66"/>
      <c r="V935" s="66"/>
    </row>
    <row r="936" spans="1:22" s="64" customFormat="1" x14ac:dyDescent="0.25">
      <c r="A936" s="65" t="s">
        <v>1433</v>
      </c>
      <c r="B936" s="511" t="s">
        <v>1515</v>
      </c>
      <c r="C936" s="511"/>
      <c r="D936" s="511"/>
      <c r="E936" s="61" t="s">
        <v>1447</v>
      </c>
      <c r="F936" s="61" t="s">
        <v>54</v>
      </c>
      <c r="G936" s="61" t="s">
        <v>55</v>
      </c>
      <c r="H936" s="61"/>
      <c r="I936" s="61" t="s">
        <v>1366</v>
      </c>
      <c r="J936" s="62">
        <v>135</v>
      </c>
      <c r="K936" s="62">
        <v>150</v>
      </c>
      <c r="L936" s="62">
        <v>150</v>
      </c>
      <c r="M936" s="232">
        <v>190</v>
      </c>
      <c r="N936" s="55" t="s">
        <v>1591</v>
      </c>
      <c r="O936" s="61" t="s">
        <v>52</v>
      </c>
      <c r="P936" s="200"/>
      <c r="Q936" s="200"/>
      <c r="R936" s="200"/>
      <c r="S936" s="200"/>
      <c r="T936" s="66"/>
      <c r="U936" s="66"/>
      <c r="V936" s="66"/>
    </row>
    <row r="937" spans="1:22" s="64" customFormat="1" x14ac:dyDescent="0.25">
      <c r="A937" s="65" t="s">
        <v>1433</v>
      </c>
      <c r="B937" s="511" t="s">
        <v>1515</v>
      </c>
      <c r="C937" s="511"/>
      <c r="D937" s="511"/>
      <c r="E937" s="61" t="s">
        <v>1447</v>
      </c>
      <c r="F937" s="61" t="s">
        <v>389</v>
      </c>
      <c r="G937" s="61" t="s">
        <v>55</v>
      </c>
      <c r="H937" s="61"/>
      <c r="I937" s="61" t="s">
        <v>1366</v>
      </c>
      <c r="J937" s="62">
        <v>135</v>
      </c>
      <c r="K937" s="62">
        <v>150</v>
      </c>
      <c r="L937" s="62">
        <v>150</v>
      </c>
      <c r="M937" s="232">
        <v>190</v>
      </c>
      <c r="N937" s="55" t="s">
        <v>1591</v>
      </c>
      <c r="O937" s="61" t="s">
        <v>52</v>
      </c>
      <c r="P937" s="200"/>
      <c r="Q937" s="200"/>
      <c r="R937" s="200"/>
      <c r="S937" s="200"/>
      <c r="T937" s="66"/>
      <c r="U937" s="66"/>
      <c r="V937" s="66"/>
    </row>
    <row r="938" spans="1:22" s="64" customFormat="1" x14ac:dyDescent="0.25">
      <c r="A938" s="65" t="s">
        <v>1433</v>
      </c>
      <c r="B938" s="511" t="s">
        <v>1516</v>
      </c>
      <c r="C938" s="511"/>
      <c r="D938" s="511"/>
      <c r="E938" s="61" t="s">
        <v>1468</v>
      </c>
      <c r="F938" s="61" t="s">
        <v>56</v>
      </c>
      <c r="G938" s="61" t="s">
        <v>55</v>
      </c>
      <c r="H938" s="61"/>
      <c r="I938" s="61" t="s">
        <v>1366</v>
      </c>
      <c r="J938" s="62">
        <v>975</v>
      </c>
      <c r="K938" s="62">
        <v>1090</v>
      </c>
      <c r="L938" s="62">
        <v>1090</v>
      </c>
      <c r="M938" s="232"/>
      <c r="N938" s="55" t="s">
        <v>1591</v>
      </c>
      <c r="O938" s="61" t="s">
        <v>52</v>
      </c>
      <c r="P938" s="200"/>
      <c r="Q938" s="200"/>
      <c r="R938" s="200"/>
      <c r="S938" s="200"/>
      <c r="T938" s="66"/>
      <c r="U938" s="66"/>
      <c r="V938" s="66"/>
    </row>
    <row r="939" spans="1:22" s="64" customFormat="1" x14ac:dyDescent="0.25">
      <c r="A939" s="65" t="s">
        <v>1433</v>
      </c>
      <c r="B939" s="511" t="s">
        <v>1517</v>
      </c>
      <c r="C939" s="511"/>
      <c r="D939" s="511"/>
      <c r="E939" s="61" t="s">
        <v>1435</v>
      </c>
      <c r="F939" s="61" t="s">
        <v>54</v>
      </c>
      <c r="G939" s="61" t="s">
        <v>55</v>
      </c>
      <c r="H939" s="61"/>
      <c r="I939" s="61" t="s">
        <v>1366</v>
      </c>
      <c r="J939" s="62">
        <v>225</v>
      </c>
      <c r="K939" s="62">
        <v>250</v>
      </c>
      <c r="L939" s="62">
        <v>250</v>
      </c>
      <c r="M939" s="232">
        <v>320</v>
      </c>
      <c r="N939" s="55" t="s">
        <v>1591</v>
      </c>
      <c r="O939" s="61" t="s">
        <v>52</v>
      </c>
      <c r="P939" s="200"/>
      <c r="Q939" s="200"/>
      <c r="R939" s="200"/>
      <c r="S939" s="200"/>
      <c r="T939" s="66"/>
      <c r="U939" s="66"/>
      <c r="V939" s="66"/>
    </row>
    <row r="940" spans="1:22" s="64" customFormat="1" x14ac:dyDescent="0.25">
      <c r="A940" s="65" t="s">
        <v>1433</v>
      </c>
      <c r="B940" s="511" t="s">
        <v>1517</v>
      </c>
      <c r="C940" s="511"/>
      <c r="D940" s="511"/>
      <c r="E940" s="61" t="s">
        <v>1435</v>
      </c>
      <c r="F940" s="61" t="s">
        <v>389</v>
      </c>
      <c r="G940" s="61" t="s">
        <v>55</v>
      </c>
      <c r="H940" s="61"/>
      <c r="I940" s="61" t="s">
        <v>1366</v>
      </c>
      <c r="J940" s="62">
        <v>225</v>
      </c>
      <c r="K940" s="62">
        <v>250</v>
      </c>
      <c r="L940" s="62">
        <v>250</v>
      </c>
      <c r="M940" s="232">
        <v>320</v>
      </c>
      <c r="N940" s="55" t="s">
        <v>1591</v>
      </c>
      <c r="O940" s="61" t="s">
        <v>52</v>
      </c>
      <c r="P940" s="200"/>
      <c r="Q940" s="200"/>
      <c r="R940" s="200"/>
      <c r="S940" s="200"/>
      <c r="T940" s="66"/>
      <c r="U940" s="66"/>
      <c r="V940" s="66"/>
    </row>
    <row r="941" spans="1:22" s="64" customFormat="1" x14ac:dyDescent="0.25">
      <c r="A941" s="65" t="s">
        <v>1433</v>
      </c>
      <c r="B941" s="511" t="s">
        <v>1518</v>
      </c>
      <c r="C941" s="511"/>
      <c r="D941" s="511"/>
      <c r="E941" s="61" t="s">
        <v>1437</v>
      </c>
      <c r="F941" s="61" t="s">
        <v>54</v>
      </c>
      <c r="G941" s="61" t="s">
        <v>55</v>
      </c>
      <c r="H941" s="61"/>
      <c r="I941" s="61" t="s">
        <v>1366</v>
      </c>
      <c r="J941" s="62">
        <v>180</v>
      </c>
      <c r="K941" s="62">
        <v>200</v>
      </c>
      <c r="L941" s="62">
        <v>200</v>
      </c>
      <c r="M941" s="232">
        <v>255</v>
      </c>
      <c r="N941" s="55" t="s">
        <v>1591</v>
      </c>
      <c r="O941" s="61" t="s">
        <v>52</v>
      </c>
      <c r="P941" s="200"/>
      <c r="Q941" s="200"/>
      <c r="R941" s="200"/>
      <c r="S941" s="200"/>
      <c r="T941" s="66"/>
      <c r="U941" s="66"/>
      <c r="V941" s="66"/>
    </row>
    <row r="942" spans="1:22" s="64" customFormat="1" x14ac:dyDescent="0.25">
      <c r="A942" s="65" t="s">
        <v>1433</v>
      </c>
      <c r="B942" s="511" t="s">
        <v>1518</v>
      </c>
      <c r="C942" s="511"/>
      <c r="D942" s="511"/>
      <c r="E942" s="61" t="s">
        <v>1438</v>
      </c>
      <c r="F942" s="61" t="s">
        <v>389</v>
      </c>
      <c r="G942" s="61" t="s">
        <v>55</v>
      </c>
      <c r="H942" s="61"/>
      <c r="I942" s="61" t="s">
        <v>1366</v>
      </c>
      <c r="J942" s="62">
        <v>180</v>
      </c>
      <c r="K942" s="62">
        <v>200</v>
      </c>
      <c r="L942" s="62">
        <v>200</v>
      </c>
      <c r="M942" s="232">
        <v>255</v>
      </c>
      <c r="N942" s="55" t="s">
        <v>1591</v>
      </c>
      <c r="O942" s="61" t="s">
        <v>52</v>
      </c>
      <c r="P942" s="200"/>
      <c r="Q942" s="200"/>
      <c r="R942" s="200"/>
      <c r="S942" s="200"/>
      <c r="T942" s="66"/>
      <c r="U942" s="66"/>
      <c r="V942" s="66"/>
    </row>
    <row r="943" spans="1:22" s="64" customFormat="1" x14ac:dyDescent="0.25">
      <c r="A943" s="65" t="s">
        <v>1433</v>
      </c>
      <c r="B943" s="511" t="s">
        <v>1518</v>
      </c>
      <c r="C943" s="511"/>
      <c r="D943" s="511"/>
      <c r="E943" s="61" t="s">
        <v>1439</v>
      </c>
      <c r="F943" s="61" t="s">
        <v>389</v>
      </c>
      <c r="G943" s="61" t="s">
        <v>55</v>
      </c>
      <c r="H943" s="61"/>
      <c r="I943" s="61" t="s">
        <v>1366</v>
      </c>
      <c r="J943" s="62">
        <v>180</v>
      </c>
      <c r="K943" s="62">
        <v>200</v>
      </c>
      <c r="L943" s="62">
        <v>200</v>
      </c>
      <c r="M943" s="232">
        <v>255</v>
      </c>
      <c r="N943" s="55" t="s">
        <v>1591</v>
      </c>
      <c r="O943" s="61" t="s">
        <v>52</v>
      </c>
      <c r="P943" s="200"/>
      <c r="Q943" s="200"/>
      <c r="R943" s="200"/>
      <c r="S943" s="200"/>
      <c r="T943" s="66"/>
      <c r="U943" s="66"/>
      <c r="V943" s="66"/>
    </row>
    <row r="944" spans="1:22" s="64" customFormat="1" x14ac:dyDescent="0.25">
      <c r="A944" s="65" t="s">
        <v>1433</v>
      </c>
      <c r="B944" s="511" t="s">
        <v>1518</v>
      </c>
      <c r="C944" s="511"/>
      <c r="D944" s="511"/>
      <c r="E944" s="61" t="s">
        <v>1437</v>
      </c>
      <c r="F944" s="61" t="s">
        <v>389</v>
      </c>
      <c r="G944" s="61" t="s">
        <v>55</v>
      </c>
      <c r="H944" s="61"/>
      <c r="I944" s="61" t="s">
        <v>1366</v>
      </c>
      <c r="J944" s="62">
        <v>180</v>
      </c>
      <c r="K944" s="62">
        <v>200</v>
      </c>
      <c r="L944" s="62">
        <v>200</v>
      </c>
      <c r="M944" s="232">
        <v>255</v>
      </c>
      <c r="N944" s="55" t="s">
        <v>1591</v>
      </c>
      <c r="O944" s="61" t="s">
        <v>52</v>
      </c>
      <c r="P944" s="200"/>
      <c r="Q944" s="200"/>
      <c r="R944" s="200"/>
      <c r="S944" s="200"/>
      <c r="T944" s="66"/>
      <c r="U944" s="66"/>
      <c r="V944" s="66"/>
    </row>
    <row r="945" spans="1:22" s="64" customFormat="1" x14ac:dyDescent="0.25">
      <c r="A945" s="65" t="s">
        <v>1433</v>
      </c>
      <c r="B945" s="511" t="s">
        <v>1519</v>
      </c>
      <c r="C945" s="511"/>
      <c r="D945" s="511"/>
      <c r="E945" s="61" t="s">
        <v>1437</v>
      </c>
      <c r="F945" s="61" t="s">
        <v>54</v>
      </c>
      <c r="G945" s="61" t="s">
        <v>55</v>
      </c>
      <c r="H945" s="61"/>
      <c r="I945" s="61" t="s">
        <v>1366</v>
      </c>
      <c r="J945" s="62">
        <v>180</v>
      </c>
      <c r="K945" s="62">
        <v>200</v>
      </c>
      <c r="L945" s="62">
        <v>200</v>
      </c>
      <c r="M945" s="232">
        <v>255</v>
      </c>
      <c r="N945" s="55" t="s">
        <v>1591</v>
      </c>
      <c r="O945" s="61" t="s">
        <v>52</v>
      </c>
      <c r="P945" s="200"/>
      <c r="Q945" s="200"/>
      <c r="R945" s="200"/>
      <c r="S945" s="200"/>
      <c r="T945" s="66"/>
      <c r="U945" s="66"/>
      <c r="V945" s="66"/>
    </row>
    <row r="946" spans="1:22" s="64" customFormat="1" x14ac:dyDescent="0.25">
      <c r="A946" s="65" t="s">
        <v>1433</v>
      </c>
      <c r="B946" s="511" t="s">
        <v>1519</v>
      </c>
      <c r="C946" s="511"/>
      <c r="D946" s="511"/>
      <c r="E946" s="61" t="s">
        <v>1438</v>
      </c>
      <c r="F946" s="61" t="s">
        <v>389</v>
      </c>
      <c r="G946" s="61" t="s">
        <v>55</v>
      </c>
      <c r="H946" s="61"/>
      <c r="I946" s="61" t="s">
        <v>1366</v>
      </c>
      <c r="J946" s="62">
        <v>180</v>
      </c>
      <c r="K946" s="62">
        <v>200</v>
      </c>
      <c r="L946" s="62">
        <v>200</v>
      </c>
      <c r="M946" s="232">
        <v>255</v>
      </c>
      <c r="N946" s="55" t="s">
        <v>1591</v>
      </c>
      <c r="O946" s="61" t="s">
        <v>52</v>
      </c>
      <c r="P946" s="200"/>
      <c r="Q946" s="200"/>
      <c r="R946" s="200"/>
      <c r="S946" s="200"/>
      <c r="T946" s="66"/>
      <c r="U946" s="66"/>
      <c r="V946" s="66"/>
    </row>
    <row r="947" spans="1:22" s="64" customFormat="1" x14ac:dyDescent="0.25">
      <c r="A947" s="65" t="s">
        <v>1433</v>
      </c>
      <c r="B947" s="511" t="s">
        <v>1519</v>
      </c>
      <c r="C947" s="511"/>
      <c r="D947" s="511"/>
      <c r="E947" s="61" t="s">
        <v>1439</v>
      </c>
      <c r="F947" s="61" t="s">
        <v>389</v>
      </c>
      <c r="G947" s="61" t="s">
        <v>55</v>
      </c>
      <c r="H947" s="61"/>
      <c r="I947" s="61" t="s">
        <v>1366</v>
      </c>
      <c r="J947" s="62">
        <v>180</v>
      </c>
      <c r="K947" s="62">
        <v>200</v>
      </c>
      <c r="L947" s="62">
        <v>200</v>
      </c>
      <c r="M947" s="232">
        <v>255</v>
      </c>
      <c r="N947" s="55" t="s">
        <v>1591</v>
      </c>
      <c r="O947" s="61" t="s">
        <v>52</v>
      </c>
      <c r="P947" s="200"/>
      <c r="Q947" s="200"/>
      <c r="R947" s="200"/>
      <c r="S947" s="200"/>
      <c r="T947" s="66"/>
      <c r="U947" s="66"/>
      <c r="V947" s="66"/>
    </row>
    <row r="948" spans="1:22" s="64" customFormat="1" x14ac:dyDescent="0.25">
      <c r="A948" s="65" t="s">
        <v>1433</v>
      </c>
      <c r="B948" s="511" t="s">
        <v>1519</v>
      </c>
      <c r="C948" s="511"/>
      <c r="D948" s="511"/>
      <c r="E948" s="61" t="s">
        <v>1437</v>
      </c>
      <c r="F948" s="61" t="s">
        <v>389</v>
      </c>
      <c r="G948" s="61" t="s">
        <v>55</v>
      </c>
      <c r="H948" s="61"/>
      <c r="I948" s="61" t="s">
        <v>1366</v>
      </c>
      <c r="J948" s="62">
        <v>180</v>
      </c>
      <c r="K948" s="62">
        <v>200</v>
      </c>
      <c r="L948" s="62">
        <v>200</v>
      </c>
      <c r="M948" s="232">
        <v>255</v>
      </c>
      <c r="N948" s="55" t="s">
        <v>1591</v>
      </c>
      <c r="O948" s="61" t="s">
        <v>52</v>
      </c>
      <c r="P948" s="200"/>
      <c r="Q948" s="200"/>
      <c r="R948" s="200"/>
      <c r="S948" s="200"/>
      <c r="T948" s="66"/>
      <c r="U948" s="66"/>
      <c r="V948" s="66"/>
    </row>
    <row r="949" spans="1:22" s="64" customFormat="1" x14ac:dyDescent="0.25">
      <c r="A949" s="65" t="s">
        <v>1433</v>
      </c>
      <c r="B949" s="511" t="s">
        <v>1520</v>
      </c>
      <c r="C949" s="511"/>
      <c r="D949" s="511"/>
      <c r="E949" s="61" t="s">
        <v>1447</v>
      </c>
      <c r="F949" s="61" t="s">
        <v>56</v>
      </c>
      <c r="G949" s="61" t="s">
        <v>55</v>
      </c>
      <c r="H949" s="61"/>
      <c r="I949" s="61" t="s">
        <v>1366</v>
      </c>
      <c r="J949" s="62">
        <v>620</v>
      </c>
      <c r="K949" s="62">
        <v>740</v>
      </c>
      <c r="L949" s="62">
        <v>740</v>
      </c>
      <c r="M949" s="232"/>
      <c r="N949" s="55" t="s">
        <v>1591</v>
      </c>
      <c r="O949" s="61" t="s">
        <v>52</v>
      </c>
      <c r="P949" s="200"/>
      <c r="Q949" s="200"/>
      <c r="R949" s="200"/>
      <c r="S949" s="200"/>
      <c r="T949" s="66"/>
      <c r="U949" s="66"/>
      <c r="V949" s="66"/>
    </row>
    <row r="950" spans="1:22" s="64" customFormat="1" x14ac:dyDescent="0.25">
      <c r="A950" s="65" t="s">
        <v>1433</v>
      </c>
      <c r="B950" s="511" t="s">
        <v>1521</v>
      </c>
      <c r="C950" s="511"/>
      <c r="D950" s="511"/>
      <c r="E950" s="61" t="s">
        <v>1439</v>
      </c>
      <c r="F950" s="61" t="s">
        <v>56</v>
      </c>
      <c r="G950" s="61" t="s">
        <v>55</v>
      </c>
      <c r="H950" s="61"/>
      <c r="I950" s="61" t="s">
        <v>1366</v>
      </c>
      <c r="J950" s="62">
        <v>425</v>
      </c>
      <c r="K950" s="62">
        <v>490</v>
      </c>
      <c r="L950" s="62">
        <v>490</v>
      </c>
      <c r="M950" s="232"/>
      <c r="N950" s="55" t="s">
        <v>1591</v>
      </c>
      <c r="O950" s="61" t="s">
        <v>52</v>
      </c>
      <c r="P950" s="200"/>
      <c r="Q950" s="200"/>
      <c r="R950" s="200"/>
      <c r="S950" s="200"/>
      <c r="T950" s="66"/>
      <c r="U950" s="66"/>
      <c r="V950" s="66"/>
    </row>
    <row r="951" spans="1:22" s="64" customFormat="1" x14ac:dyDescent="0.25">
      <c r="A951" s="65" t="s">
        <v>1433</v>
      </c>
      <c r="B951" s="511" t="s">
        <v>1521</v>
      </c>
      <c r="C951" s="511"/>
      <c r="D951" s="511"/>
      <c r="E951" s="61" t="s">
        <v>1437</v>
      </c>
      <c r="F951" s="61" t="s">
        <v>56</v>
      </c>
      <c r="G951" s="61" t="s">
        <v>55</v>
      </c>
      <c r="H951" s="61"/>
      <c r="I951" s="61" t="s">
        <v>1366</v>
      </c>
      <c r="J951" s="62">
        <v>400</v>
      </c>
      <c r="K951" s="62">
        <v>475</v>
      </c>
      <c r="L951" s="62">
        <v>475</v>
      </c>
      <c r="M951" s="232"/>
      <c r="N951" s="55" t="s">
        <v>1591</v>
      </c>
      <c r="O951" s="61" t="s">
        <v>52</v>
      </c>
      <c r="P951" s="200"/>
      <c r="Q951" s="200"/>
      <c r="R951" s="200"/>
      <c r="S951" s="200"/>
      <c r="T951" s="66"/>
      <c r="U951" s="66"/>
      <c r="V951" s="66"/>
    </row>
    <row r="952" spans="1:22" s="64" customFormat="1" x14ac:dyDescent="0.25">
      <c r="A952" s="65" t="s">
        <v>1522</v>
      </c>
      <c r="B952" s="511" t="s">
        <v>1523</v>
      </c>
      <c r="C952" s="511"/>
      <c r="D952" s="511"/>
      <c r="E952" s="61" t="s">
        <v>1554</v>
      </c>
      <c r="F952" s="61" t="s">
        <v>54</v>
      </c>
      <c r="G952" s="61" t="s">
        <v>55</v>
      </c>
      <c r="H952" s="61"/>
      <c r="I952" s="61" t="s">
        <v>1366</v>
      </c>
      <c r="J952" s="62">
        <v>1080</v>
      </c>
      <c r="K952" s="62">
        <v>1200</v>
      </c>
      <c r="L952" s="62">
        <v>1200</v>
      </c>
      <c r="M952" s="232">
        <v>1525</v>
      </c>
      <c r="N952" s="55" t="s">
        <v>1591</v>
      </c>
      <c r="O952" s="61" t="s">
        <v>52</v>
      </c>
      <c r="P952" s="200"/>
      <c r="Q952" s="200"/>
      <c r="R952" s="200"/>
      <c r="S952" s="200"/>
      <c r="T952" s="66"/>
      <c r="U952" s="66"/>
      <c r="V952" s="66"/>
    </row>
    <row r="953" spans="1:22" s="64" customFormat="1" x14ac:dyDescent="0.25">
      <c r="A953" s="65" t="s">
        <v>1522</v>
      </c>
      <c r="B953" s="511" t="s">
        <v>1524</v>
      </c>
      <c r="C953" s="511"/>
      <c r="D953" s="511"/>
      <c r="E953" s="61" t="s">
        <v>1554</v>
      </c>
      <c r="F953" s="61" t="s">
        <v>54</v>
      </c>
      <c r="G953" s="61" t="s">
        <v>55</v>
      </c>
      <c r="H953" s="61"/>
      <c r="I953" s="61" t="s">
        <v>1366</v>
      </c>
      <c r="J953" s="62">
        <v>1035</v>
      </c>
      <c r="K953" s="62">
        <v>1150</v>
      </c>
      <c r="L953" s="62">
        <v>1150</v>
      </c>
      <c r="M953" s="232">
        <v>1460</v>
      </c>
      <c r="N953" s="55" t="s">
        <v>1591</v>
      </c>
      <c r="O953" s="61" t="s">
        <v>52</v>
      </c>
      <c r="P953" s="200"/>
      <c r="Q953" s="200"/>
      <c r="R953" s="200"/>
      <c r="S953" s="200"/>
      <c r="T953" s="66"/>
      <c r="U953" s="66"/>
      <c r="V953" s="66"/>
    </row>
    <row r="954" spans="1:22" s="64" customFormat="1" x14ac:dyDescent="0.25">
      <c r="A954" s="65" t="s">
        <v>1522</v>
      </c>
      <c r="B954" s="511" t="s">
        <v>1525</v>
      </c>
      <c r="C954" s="511"/>
      <c r="D954" s="511"/>
      <c r="E954" s="61" t="s">
        <v>1554</v>
      </c>
      <c r="F954" s="61" t="s">
        <v>54</v>
      </c>
      <c r="G954" s="61" t="s">
        <v>55</v>
      </c>
      <c r="H954" s="61"/>
      <c r="I954" s="61" t="s">
        <v>1366</v>
      </c>
      <c r="J954" s="62">
        <v>360</v>
      </c>
      <c r="K954" s="62">
        <v>400</v>
      </c>
      <c r="L954" s="62">
        <v>400</v>
      </c>
      <c r="M954" s="232">
        <v>510</v>
      </c>
      <c r="N954" s="55" t="s">
        <v>1591</v>
      </c>
      <c r="O954" s="61" t="s">
        <v>52</v>
      </c>
      <c r="P954" s="200"/>
      <c r="Q954" s="200"/>
      <c r="R954" s="200"/>
      <c r="S954" s="200"/>
      <c r="T954" s="66"/>
      <c r="U954" s="66"/>
      <c r="V954" s="66"/>
    </row>
    <row r="955" spans="1:22" s="64" customFormat="1" x14ac:dyDescent="0.25">
      <c r="A955" s="65" t="s">
        <v>1522</v>
      </c>
      <c r="B955" s="511" t="s">
        <v>1526</v>
      </c>
      <c r="C955" s="511"/>
      <c r="D955" s="511"/>
      <c r="E955" s="61" t="s">
        <v>1554</v>
      </c>
      <c r="F955" s="61" t="s">
        <v>54</v>
      </c>
      <c r="G955" s="61" t="s">
        <v>55</v>
      </c>
      <c r="H955" s="61"/>
      <c r="I955" s="61" t="s">
        <v>1366</v>
      </c>
      <c r="J955" s="62">
        <v>450</v>
      </c>
      <c r="K955" s="62">
        <v>500</v>
      </c>
      <c r="L955" s="62">
        <v>500</v>
      </c>
      <c r="M955" s="232">
        <v>635</v>
      </c>
      <c r="N955" s="55" t="s">
        <v>1591</v>
      </c>
      <c r="O955" s="61" t="s">
        <v>52</v>
      </c>
      <c r="P955" s="200"/>
      <c r="Q955" s="200"/>
      <c r="R955" s="200"/>
      <c r="S955" s="200"/>
      <c r="T955" s="66"/>
      <c r="U955" s="66"/>
      <c r="V955" s="66"/>
    </row>
    <row r="956" spans="1:22" s="64" customFormat="1" x14ac:dyDescent="0.25">
      <c r="A956" s="65" t="s">
        <v>1522</v>
      </c>
      <c r="B956" s="511" t="s">
        <v>1527</v>
      </c>
      <c r="C956" s="511"/>
      <c r="D956" s="511"/>
      <c r="E956" s="61" t="s">
        <v>1554</v>
      </c>
      <c r="F956" s="61" t="s">
        <v>54</v>
      </c>
      <c r="G956" s="61" t="s">
        <v>55</v>
      </c>
      <c r="H956" s="61"/>
      <c r="I956" s="61" t="s">
        <v>1366</v>
      </c>
      <c r="J956" s="62">
        <v>1125</v>
      </c>
      <c r="K956" s="62">
        <v>1250</v>
      </c>
      <c r="L956" s="62">
        <v>1250</v>
      </c>
      <c r="M956" s="232">
        <v>1585</v>
      </c>
      <c r="N956" s="55" t="s">
        <v>1591</v>
      </c>
      <c r="O956" s="61" t="s">
        <v>52</v>
      </c>
      <c r="P956" s="200"/>
      <c r="Q956" s="200"/>
      <c r="R956" s="200"/>
      <c r="S956" s="200"/>
      <c r="T956" s="66"/>
      <c r="U956" s="66"/>
      <c r="V956" s="66"/>
    </row>
    <row r="957" spans="1:22" s="64" customFormat="1" x14ac:dyDescent="0.25">
      <c r="A957" s="65" t="s">
        <v>1522</v>
      </c>
      <c r="B957" s="511" t="s">
        <v>1529</v>
      </c>
      <c r="C957" s="511"/>
      <c r="D957" s="511"/>
      <c r="E957" s="61" t="s">
        <v>1554</v>
      </c>
      <c r="F957" s="61" t="s">
        <v>54</v>
      </c>
      <c r="G957" s="61" t="s">
        <v>55</v>
      </c>
      <c r="H957" s="61"/>
      <c r="I957" s="61" t="s">
        <v>1366</v>
      </c>
      <c r="J957" s="62">
        <v>0</v>
      </c>
      <c r="K957" s="62">
        <v>0</v>
      </c>
      <c r="L957" s="62">
        <v>0</v>
      </c>
      <c r="M957" s="232">
        <v>0</v>
      </c>
      <c r="N957" s="55" t="s">
        <v>1591</v>
      </c>
      <c r="O957" s="61" t="s">
        <v>52</v>
      </c>
      <c r="P957" s="200"/>
      <c r="Q957" s="200"/>
      <c r="R957" s="200"/>
      <c r="S957" s="200"/>
      <c r="T957" s="66"/>
      <c r="U957" s="66"/>
      <c r="V957" s="66"/>
    </row>
    <row r="958" spans="1:22" s="64" customFormat="1" x14ac:dyDescent="0.25">
      <c r="A958" s="65" t="s">
        <v>1522</v>
      </c>
      <c r="B958" s="511" t="s">
        <v>1530</v>
      </c>
      <c r="C958" s="511"/>
      <c r="D958" s="511"/>
      <c r="E958" s="61" t="s">
        <v>1554</v>
      </c>
      <c r="F958" s="61" t="s">
        <v>54</v>
      </c>
      <c r="G958" s="61" t="s">
        <v>55</v>
      </c>
      <c r="H958" s="61"/>
      <c r="I958" s="61" t="s">
        <v>1366</v>
      </c>
      <c r="J958" s="62">
        <v>450</v>
      </c>
      <c r="K958" s="62">
        <v>500</v>
      </c>
      <c r="L958" s="62">
        <v>500</v>
      </c>
      <c r="M958" s="232">
        <v>635</v>
      </c>
      <c r="N958" s="55" t="s">
        <v>1591</v>
      </c>
      <c r="O958" s="61" t="s">
        <v>52</v>
      </c>
      <c r="P958" s="200"/>
      <c r="Q958" s="200"/>
      <c r="R958" s="200"/>
      <c r="S958" s="200"/>
      <c r="T958" s="66"/>
      <c r="U958" s="66"/>
      <c r="V958" s="66"/>
    </row>
    <row r="959" spans="1:22" s="64" customFormat="1" x14ac:dyDescent="0.25">
      <c r="A959" s="65" t="s">
        <v>1522</v>
      </c>
      <c r="B959" s="511" t="s">
        <v>1531</v>
      </c>
      <c r="C959" s="511"/>
      <c r="D959" s="511"/>
      <c r="E959" s="61" t="s">
        <v>1554</v>
      </c>
      <c r="F959" s="61" t="s">
        <v>54</v>
      </c>
      <c r="G959" s="61" t="s">
        <v>55</v>
      </c>
      <c r="H959" s="61"/>
      <c r="I959" s="61" t="s">
        <v>1366</v>
      </c>
      <c r="J959" s="62">
        <v>1350</v>
      </c>
      <c r="K959" s="62">
        <v>1500</v>
      </c>
      <c r="L959" s="62">
        <v>1500</v>
      </c>
      <c r="M959" s="232">
        <v>1900</v>
      </c>
      <c r="N959" s="55" t="s">
        <v>1591</v>
      </c>
      <c r="O959" s="61" t="s">
        <v>52</v>
      </c>
      <c r="P959" s="200"/>
      <c r="Q959" s="200"/>
      <c r="R959" s="200"/>
      <c r="S959" s="200"/>
      <c r="T959" s="66"/>
      <c r="U959" s="66"/>
      <c r="V959" s="66"/>
    </row>
    <row r="960" spans="1:22" s="64" customFormat="1" x14ac:dyDescent="0.25">
      <c r="A960" s="65" t="s">
        <v>1522</v>
      </c>
      <c r="B960" s="511" t="s">
        <v>1532</v>
      </c>
      <c r="C960" s="511"/>
      <c r="D960" s="511"/>
      <c r="E960" s="61" t="s">
        <v>1554</v>
      </c>
      <c r="F960" s="61" t="s">
        <v>54</v>
      </c>
      <c r="G960" s="61" t="s">
        <v>55</v>
      </c>
      <c r="H960" s="61"/>
      <c r="I960" s="61" t="s">
        <v>1366</v>
      </c>
      <c r="J960" s="62">
        <v>1035</v>
      </c>
      <c r="K960" s="62">
        <v>1150</v>
      </c>
      <c r="L960" s="62">
        <v>1150</v>
      </c>
      <c r="M960" s="232">
        <v>1460</v>
      </c>
      <c r="N960" s="55" t="s">
        <v>1591</v>
      </c>
      <c r="O960" s="61" t="s">
        <v>52</v>
      </c>
      <c r="P960" s="200"/>
      <c r="Q960" s="200"/>
      <c r="R960" s="200"/>
      <c r="S960" s="200"/>
      <c r="T960" s="66"/>
      <c r="U960" s="66"/>
      <c r="V960" s="66"/>
    </row>
    <row r="961" spans="1:22" s="64" customFormat="1" x14ac:dyDescent="0.25">
      <c r="A961" s="65" t="s">
        <v>1522</v>
      </c>
      <c r="B961" s="511" t="s">
        <v>1533</v>
      </c>
      <c r="C961" s="511"/>
      <c r="D961" s="511"/>
      <c r="E961" s="61" t="s">
        <v>1554</v>
      </c>
      <c r="F961" s="61" t="s">
        <v>54</v>
      </c>
      <c r="G961" s="61" t="s">
        <v>55</v>
      </c>
      <c r="H961" s="61"/>
      <c r="I961" s="61" t="s">
        <v>1366</v>
      </c>
      <c r="J961" s="62">
        <v>1170</v>
      </c>
      <c r="K961" s="62">
        <v>1300</v>
      </c>
      <c r="L961" s="62">
        <v>1300</v>
      </c>
      <c r="M961" s="232">
        <v>1650</v>
      </c>
      <c r="N961" s="55" t="s">
        <v>1591</v>
      </c>
      <c r="O961" s="61" t="s">
        <v>52</v>
      </c>
      <c r="P961" s="200"/>
      <c r="Q961" s="200"/>
      <c r="R961" s="200"/>
      <c r="S961" s="200"/>
      <c r="T961" s="66"/>
      <c r="U961" s="66"/>
      <c r="V961" s="66"/>
    </row>
    <row r="962" spans="1:22" s="64" customFormat="1" x14ac:dyDescent="0.25">
      <c r="A962" s="65" t="s">
        <v>1522</v>
      </c>
      <c r="B962" s="511" t="s">
        <v>1534</v>
      </c>
      <c r="C962" s="511"/>
      <c r="D962" s="511"/>
      <c r="E962" s="61" t="s">
        <v>1554</v>
      </c>
      <c r="F962" s="61" t="s">
        <v>54</v>
      </c>
      <c r="G962" s="61" t="s">
        <v>55</v>
      </c>
      <c r="H962" s="61"/>
      <c r="I962" s="61" t="s">
        <v>1366</v>
      </c>
      <c r="J962" s="62">
        <v>270</v>
      </c>
      <c r="K962" s="62">
        <v>300</v>
      </c>
      <c r="L962" s="62">
        <v>300</v>
      </c>
      <c r="M962" s="232">
        <v>380</v>
      </c>
      <c r="N962" s="55" t="s">
        <v>1591</v>
      </c>
      <c r="O962" s="61" t="s">
        <v>52</v>
      </c>
      <c r="P962" s="200"/>
      <c r="Q962" s="200"/>
      <c r="R962" s="200"/>
      <c r="S962" s="200"/>
      <c r="T962" s="66"/>
      <c r="U962" s="66"/>
      <c r="V962" s="66"/>
    </row>
    <row r="963" spans="1:22" s="64" customFormat="1" x14ac:dyDescent="0.25">
      <c r="A963" s="65" t="s">
        <v>1522</v>
      </c>
      <c r="B963" s="511" t="s">
        <v>1535</v>
      </c>
      <c r="C963" s="511"/>
      <c r="D963" s="511"/>
      <c r="E963" s="61" t="s">
        <v>1554</v>
      </c>
      <c r="F963" s="61" t="s">
        <v>54</v>
      </c>
      <c r="G963" s="61" t="s">
        <v>55</v>
      </c>
      <c r="H963" s="61"/>
      <c r="I963" s="61" t="s">
        <v>1366</v>
      </c>
      <c r="J963" s="62">
        <v>450</v>
      </c>
      <c r="K963" s="62">
        <v>500</v>
      </c>
      <c r="L963" s="62">
        <v>500</v>
      </c>
      <c r="M963" s="232">
        <v>635</v>
      </c>
      <c r="N963" s="55" t="s">
        <v>1591</v>
      </c>
      <c r="O963" s="61" t="s">
        <v>52</v>
      </c>
      <c r="P963" s="200"/>
      <c r="Q963" s="200"/>
      <c r="R963" s="200"/>
      <c r="S963" s="200"/>
      <c r="T963" s="66"/>
      <c r="U963" s="66"/>
      <c r="V963" s="66"/>
    </row>
    <row r="964" spans="1:22" s="64" customFormat="1" x14ac:dyDescent="0.25">
      <c r="A964" s="65" t="s">
        <v>1522</v>
      </c>
      <c r="B964" s="511" t="s">
        <v>1536</v>
      </c>
      <c r="C964" s="511"/>
      <c r="D964" s="511"/>
      <c r="E964" s="61" t="s">
        <v>1554</v>
      </c>
      <c r="F964" s="61" t="s">
        <v>54</v>
      </c>
      <c r="G964" s="61" t="s">
        <v>55</v>
      </c>
      <c r="H964" s="61"/>
      <c r="I964" s="61" t="s">
        <v>1366</v>
      </c>
      <c r="J964" s="62">
        <v>270</v>
      </c>
      <c r="K964" s="62">
        <v>300</v>
      </c>
      <c r="L964" s="62">
        <v>300</v>
      </c>
      <c r="M964" s="232">
        <v>385</v>
      </c>
      <c r="N964" s="55" t="s">
        <v>1591</v>
      </c>
      <c r="O964" s="61" t="s">
        <v>52</v>
      </c>
      <c r="P964" s="200"/>
      <c r="Q964" s="200"/>
      <c r="R964" s="200"/>
      <c r="S964" s="200"/>
      <c r="T964" s="66"/>
      <c r="U964" s="66"/>
      <c r="V964" s="66"/>
    </row>
    <row r="965" spans="1:22" s="64" customFormat="1" x14ac:dyDescent="0.25">
      <c r="A965" s="65" t="s">
        <v>1522</v>
      </c>
      <c r="B965" s="511" t="s">
        <v>1537</v>
      </c>
      <c r="C965" s="511"/>
      <c r="D965" s="511"/>
      <c r="E965" s="61" t="s">
        <v>1554</v>
      </c>
      <c r="F965" s="61" t="s">
        <v>54</v>
      </c>
      <c r="G965" s="61" t="s">
        <v>55</v>
      </c>
      <c r="H965" s="61"/>
      <c r="I965" s="61" t="s">
        <v>1366</v>
      </c>
      <c r="J965" s="62">
        <v>585</v>
      </c>
      <c r="K965" s="62">
        <v>650</v>
      </c>
      <c r="L965" s="62">
        <v>650</v>
      </c>
      <c r="M965" s="232">
        <v>825</v>
      </c>
      <c r="N965" s="55" t="s">
        <v>1591</v>
      </c>
      <c r="O965" s="61" t="s">
        <v>52</v>
      </c>
      <c r="P965" s="200"/>
      <c r="Q965" s="200"/>
      <c r="R965" s="200"/>
      <c r="S965" s="200"/>
      <c r="T965" s="66"/>
      <c r="U965" s="66"/>
      <c r="V965" s="66"/>
    </row>
    <row r="966" spans="1:22" s="64" customFormat="1" x14ac:dyDescent="0.25">
      <c r="A966" s="65" t="s">
        <v>1522</v>
      </c>
      <c r="B966" s="511" t="s">
        <v>1538</v>
      </c>
      <c r="C966" s="511"/>
      <c r="D966" s="511"/>
      <c r="E966" s="61" t="s">
        <v>1554</v>
      </c>
      <c r="F966" s="61" t="s">
        <v>54</v>
      </c>
      <c r="G966" s="61" t="s">
        <v>55</v>
      </c>
      <c r="H966" s="61"/>
      <c r="I966" s="61" t="s">
        <v>1366</v>
      </c>
      <c r="J966" s="62">
        <v>1125</v>
      </c>
      <c r="K966" s="62">
        <v>1250</v>
      </c>
      <c r="L966" s="62">
        <v>1250</v>
      </c>
      <c r="M966" s="232">
        <v>1585</v>
      </c>
      <c r="N966" s="55" t="s">
        <v>1591</v>
      </c>
      <c r="O966" s="61" t="s">
        <v>52</v>
      </c>
      <c r="P966" s="200"/>
      <c r="Q966" s="200"/>
      <c r="R966" s="200"/>
      <c r="S966" s="200"/>
      <c r="T966" s="66"/>
      <c r="U966" s="66"/>
      <c r="V966" s="66"/>
    </row>
    <row r="967" spans="1:22" s="64" customFormat="1" x14ac:dyDescent="0.25">
      <c r="A967" s="65" t="s">
        <v>1522</v>
      </c>
      <c r="B967" s="511" t="s">
        <v>1539</v>
      </c>
      <c r="C967" s="511"/>
      <c r="D967" s="511"/>
      <c r="E967" s="61" t="s">
        <v>1554</v>
      </c>
      <c r="F967" s="61" t="s">
        <v>54</v>
      </c>
      <c r="G967" s="61" t="s">
        <v>55</v>
      </c>
      <c r="H967" s="61"/>
      <c r="I967" s="61" t="s">
        <v>1366</v>
      </c>
      <c r="J967" s="62">
        <v>0</v>
      </c>
      <c r="K967" s="62">
        <v>0</v>
      </c>
      <c r="L967" s="62">
        <v>0</v>
      </c>
      <c r="M967" s="232">
        <v>0</v>
      </c>
      <c r="N967" s="55" t="s">
        <v>1591</v>
      </c>
      <c r="O967" s="61" t="s">
        <v>52</v>
      </c>
      <c r="P967" s="200"/>
      <c r="Q967" s="200"/>
      <c r="R967" s="200"/>
      <c r="S967" s="200"/>
      <c r="T967" s="66"/>
      <c r="U967" s="66"/>
      <c r="V967" s="66"/>
    </row>
    <row r="968" spans="1:22" s="64" customFormat="1" x14ac:dyDescent="0.25">
      <c r="A968" s="65" t="s">
        <v>1522</v>
      </c>
      <c r="B968" s="511" t="s">
        <v>1540</v>
      </c>
      <c r="C968" s="511"/>
      <c r="D968" s="511"/>
      <c r="E968" s="61" t="s">
        <v>1554</v>
      </c>
      <c r="F968" s="61" t="s">
        <v>54</v>
      </c>
      <c r="G968" s="61" t="s">
        <v>55</v>
      </c>
      <c r="H968" s="61"/>
      <c r="I968" s="61" t="s">
        <v>1366</v>
      </c>
      <c r="J968" s="62">
        <v>0</v>
      </c>
      <c r="K968" s="62">
        <v>0</v>
      </c>
      <c r="L968" s="62">
        <v>0</v>
      </c>
      <c r="M968" s="232">
        <v>0</v>
      </c>
      <c r="N968" s="55" t="s">
        <v>1591</v>
      </c>
      <c r="O968" s="61" t="s">
        <v>52</v>
      </c>
      <c r="P968" s="200"/>
      <c r="Q968" s="200"/>
      <c r="R968" s="200"/>
      <c r="S968" s="200"/>
      <c r="T968" s="66"/>
      <c r="U968" s="66"/>
      <c r="V968" s="66"/>
    </row>
    <row r="969" spans="1:22" s="64" customFormat="1" x14ac:dyDescent="0.25">
      <c r="A969" s="65" t="s">
        <v>1522</v>
      </c>
      <c r="B969" s="511" t="s">
        <v>1541</v>
      </c>
      <c r="C969" s="511"/>
      <c r="D969" s="511"/>
      <c r="E969" s="61" t="s">
        <v>1554</v>
      </c>
      <c r="F969" s="61" t="s">
        <v>54</v>
      </c>
      <c r="G969" s="61" t="s">
        <v>55</v>
      </c>
      <c r="H969" s="61"/>
      <c r="I969" s="61" t="s">
        <v>1366</v>
      </c>
      <c r="J969" s="62">
        <v>1440</v>
      </c>
      <c r="K969" s="62">
        <v>1600</v>
      </c>
      <c r="L969" s="62">
        <v>1600</v>
      </c>
      <c r="M969" s="232">
        <v>2030</v>
      </c>
      <c r="N969" s="55" t="s">
        <v>1591</v>
      </c>
      <c r="O969" s="61" t="s">
        <v>52</v>
      </c>
      <c r="P969" s="200"/>
      <c r="Q969" s="200"/>
      <c r="R969" s="200"/>
      <c r="S969" s="200"/>
      <c r="T969" s="66"/>
      <c r="U969" s="66"/>
      <c r="V969" s="66"/>
    </row>
    <row r="970" spans="1:22" s="64" customFormat="1" x14ac:dyDescent="0.25">
      <c r="A970" s="65" t="s">
        <v>1542</v>
      </c>
      <c r="B970" s="511" t="s">
        <v>1543</v>
      </c>
      <c r="C970" s="511"/>
      <c r="D970" s="511"/>
      <c r="E970" s="61" t="s">
        <v>1549</v>
      </c>
      <c r="F970" s="61" t="s">
        <v>54</v>
      </c>
      <c r="G970" s="61" t="s">
        <v>55</v>
      </c>
      <c r="H970" s="61"/>
      <c r="I970" s="61" t="s">
        <v>1366</v>
      </c>
      <c r="J970" s="62">
        <v>135</v>
      </c>
      <c r="K970" s="62">
        <v>150</v>
      </c>
      <c r="L970" s="62">
        <v>150</v>
      </c>
      <c r="M970" s="232">
        <v>190</v>
      </c>
      <c r="N970" s="55" t="s">
        <v>1591</v>
      </c>
      <c r="O970" s="61" t="s">
        <v>52</v>
      </c>
      <c r="P970" s="200"/>
      <c r="Q970" s="200"/>
      <c r="R970" s="200"/>
      <c r="S970" s="200"/>
      <c r="T970" s="66"/>
      <c r="U970" s="66"/>
      <c r="V970" s="66"/>
    </row>
    <row r="971" spans="1:22" s="64" customFormat="1" x14ac:dyDescent="0.25">
      <c r="A971" s="65" t="s">
        <v>1542</v>
      </c>
      <c r="B971" s="511" t="s">
        <v>1621</v>
      </c>
      <c r="C971" s="511"/>
      <c r="D971" s="511"/>
      <c r="E971" s="61" t="s">
        <v>1549</v>
      </c>
      <c r="F971" s="61" t="s">
        <v>389</v>
      </c>
      <c r="G971" s="61" t="s">
        <v>55</v>
      </c>
      <c r="H971" s="61"/>
      <c r="I971" s="61" t="s">
        <v>1366</v>
      </c>
      <c r="J971" s="62">
        <v>405</v>
      </c>
      <c r="K971" s="62">
        <v>450</v>
      </c>
      <c r="L971" s="62">
        <v>450</v>
      </c>
      <c r="M971" s="232">
        <v>570</v>
      </c>
      <c r="N971" s="55" t="s">
        <v>1591</v>
      </c>
      <c r="O971" s="61" t="s">
        <v>52</v>
      </c>
      <c r="P971" s="200"/>
      <c r="Q971" s="200"/>
      <c r="R971" s="200"/>
      <c r="S971" s="200"/>
      <c r="T971" s="66"/>
      <c r="U971" s="66"/>
      <c r="V971" s="66"/>
    </row>
    <row r="972" spans="1:22" s="64" customFormat="1" x14ac:dyDescent="0.25">
      <c r="A972" s="65" t="s">
        <v>1542</v>
      </c>
      <c r="B972" s="511" t="s">
        <v>1544</v>
      </c>
      <c r="C972" s="511"/>
      <c r="D972" s="511"/>
      <c r="E972" s="61" t="s">
        <v>1549</v>
      </c>
      <c r="F972" s="61" t="s">
        <v>389</v>
      </c>
      <c r="G972" s="61" t="s">
        <v>55</v>
      </c>
      <c r="H972" s="61"/>
      <c r="I972" s="61" t="s">
        <v>1366</v>
      </c>
      <c r="J972" s="62">
        <v>10</v>
      </c>
      <c r="K972" s="62">
        <v>10</v>
      </c>
      <c r="L972" s="62">
        <v>10</v>
      </c>
      <c r="M972" s="232">
        <v>15</v>
      </c>
      <c r="N972" s="55" t="s">
        <v>1591</v>
      </c>
      <c r="O972" s="61" t="s">
        <v>52</v>
      </c>
      <c r="P972" s="200"/>
      <c r="Q972" s="200"/>
      <c r="R972" s="200"/>
      <c r="S972" s="200"/>
      <c r="T972" s="66"/>
      <c r="U972" s="66"/>
      <c r="V972" s="66"/>
    </row>
    <row r="973" spans="1:22" s="64" customFormat="1" x14ac:dyDescent="0.25">
      <c r="A973" s="65" t="s">
        <v>1542</v>
      </c>
      <c r="B973" s="511" t="s">
        <v>1622</v>
      </c>
      <c r="C973" s="511"/>
      <c r="D973" s="511"/>
      <c r="E973" s="61" t="s">
        <v>1549</v>
      </c>
      <c r="F973" s="61" t="s">
        <v>54</v>
      </c>
      <c r="G973" s="61" t="s">
        <v>55</v>
      </c>
      <c r="H973" s="61"/>
      <c r="I973" s="61" t="s">
        <v>1366</v>
      </c>
      <c r="J973" s="62">
        <v>135</v>
      </c>
      <c r="K973" s="62">
        <v>150</v>
      </c>
      <c r="L973" s="62">
        <v>150</v>
      </c>
      <c r="M973" s="232">
        <v>190</v>
      </c>
      <c r="N973" s="55" t="s">
        <v>1591</v>
      </c>
      <c r="O973" s="61" t="s">
        <v>52</v>
      </c>
      <c r="P973" s="200"/>
      <c r="Q973" s="200"/>
      <c r="R973" s="200"/>
      <c r="S973" s="200"/>
      <c r="T973" s="66"/>
      <c r="U973" s="66"/>
      <c r="V973" s="66"/>
    </row>
    <row r="974" spans="1:22" s="64" customFormat="1" x14ac:dyDescent="0.25">
      <c r="A974" s="65" t="s">
        <v>1542</v>
      </c>
      <c r="B974" s="511" t="s">
        <v>1545</v>
      </c>
      <c r="C974" s="511"/>
      <c r="D974" s="511"/>
      <c r="E974" s="61" t="s">
        <v>1549</v>
      </c>
      <c r="F974" s="61" t="s">
        <v>389</v>
      </c>
      <c r="G974" s="61" t="s">
        <v>55</v>
      </c>
      <c r="H974" s="61"/>
      <c r="I974" s="61" t="s">
        <v>1366</v>
      </c>
      <c r="J974" s="62">
        <v>10</v>
      </c>
      <c r="K974" s="62">
        <v>10</v>
      </c>
      <c r="L974" s="62">
        <v>10</v>
      </c>
      <c r="M974" s="232">
        <v>15</v>
      </c>
      <c r="N974" s="55" t="s">
        <v>1591</v>
      </c>
      <c r="O974" s="61" t="s">
        <v>52</v>
      </c>
      <c r="P974" s="200"/>
      <c r="Q974" s="200"/>
      <c r="R974" s="200"/>
      <c r="S974" s="200"/>
      <c r="T974" s="66"/>
      <c r="U974" s="66"/>
      <c r="V974" s="66"/>
    </row>
    <row r="975" spans="1:22" s="64" customFormat="1" x14ac:dyDescent="0.25">
      <c r="A975" s="65" t="s">
        <v>1542</v>
      </c>
      <c r="B975" s="511" t="s">
        <v>1546</v>
      </c>
      <c r="C975" s="511"/>
      <c r="D975" s="511"/>
      <c r="E975" s="61" t="s">
        <v>1549</v>
      </c>
      <c r="F975" s="61" t="s">
        <v>389</v>
      </c>
      <c r="G975" s="61" t="s">
        <v>55</v>
      </c>
      <c r="H975" s="61"/>
      <c r="I975" s="61" t="s">
        <v>1366</v>
      </c>
      <c r="J975" s="62">
        <v>10</v>
      </c>
      <c r="K975" s="62">
        <v>10</v>
      </c>
      <c r="L975" s="62">
        <v>10</v>
      </c>
      <c r="M975" s="232">
        <v>15</v>
      </c>
      <c r="N975" s="55" t="s">
        <v>1591</v>
      </c>
      <c r="O975" s="61" t="s">
        <v>52</v>
      </c>
      <c r="P975" s="200"/>
      <c r="Q975" s="200"/>
      <c r="R975" s="200"/>
      <c r="S975" s="200"/>
      <c r="T975" s="66"/>
      <c r="U975" s="66"/>
      <c r="V975" s="66"/>
    </row>
    <row r="976" spans="1:22" s="64" customFormat="1" x14ac:dyDescent="0.25">
      <c r="A976" s="65" t="s">
        <v>1542</v>
      </c>
      <c r="B976" s="511" t="s">
        <v>1547</v>
      </c>
      <c r="C976" s="511"/>
      <c r="D976" s="511"/>
      <c r="E976" s="61" t="s">
        <v>1549</v>
      </c>
      <c r="F976" s="61" t="s">
        <v>389</v>
      </c>
      <c r="G976" s="61" t="s">
        <v>55</v>
      </c>
      <c r="H976" s="61"/>
      <c r="I976" s="61" t="s">
        <v>1366</v>
      </c>
      <c r="J976" s="62">
        <v>360</v>
      </c>
      <c r="K976" s="62">
        <v>400</v>
      </c>
      <c r="L976" s="62">
        <v>400</v>
      </c>
      <c r="M976" s="232">
        <v>510</v>
      </c>
      <c r="N976" s="55" t="s">
        <v>1591</v>
      </c>
      <c r="O976" s="61" t="s">
        <v>52</v>
      </c>
      <c r="P976" s="200"/>
      <c r="Q976" s="200"/>
      <c r="R976" s="200"/>
      <c r="S976" s="200"/>
      <c r="T976" s="66"/>
      <c r="U976" s="66"/>
      <c r="V976" s="66"/>
    </row>
    <row r="977" spans="1:22" s="64" customFormat="1" x14ac:dyDescent="0.25">
      <c r="A977" s="65" t="s">
        <v>1542</v>
      </c>
      <c r="B977" s="511" t="s">
        <v>1548</v>
      </c>
      <c r="C977" s="511"/>
      <c r="D977" s="511"/>
      <c r="E977" s="61" t="s">
        <v>1549</v>
      </c>
      <c r="F977" s="61" t="s">
        <v>481</v>
      </c>
      <c r="G977" s="61" t="s">
        <v>55</v>
      </c>
      <c r="H977" s="61"/>
      <c r="I977" s="61" t="s">
        <v>1366</v>
      </c>
      <c r="J977" s="62">
        <v>10</v>
      </c>
      <c r="K977" s="62">
        <v>10</v>
      </c>
      <c r="L977" s="62">
        <v>10</v>
      </c>
      <c r="M977" s="232">
        <v>15</v>
      </c>
      <c r="N977" s="55" t="s">
        <v>1591</v>
      </c>
      <c r="O977" s="61" t="s">
        <v>52</v>
      </c>
      <c r="P977" s="200"/>
      <c r="Q977" s="200"/>
      <c r="R977" s="200"/>
      <c r="S977" s="200"/>
      <c r="T977" s="66"/>
      <c r="U977" s="66"/>
      <c r="V977" s="66"/>
    </row>
    <row r="978" spans="1:22" s="64" customFormat="1" x14ac:dyDescent="0.25">
      <c r="A978" s="65" t="s">
        <v>1542</v>
      </c>
      <c r="B978" s="511" t="s">
        <v>1623</v>
      </c>
      <c r="C978" s="511"/>
      <c r="D978" s="511"/>
      <c r="E978" s="61" t="s">
        <v>1549</v>
      </c>
      <c r="F978" s="61" t="s">
        <v>389</v>
      </c>
      <c r="G978" s="61" t="s">
        <v>55</v>
      </c>
      <c r="H978" s="61"/>
      <c r="I978" s="61" t="s">
        <v>1366</v>
      </c>
      <c r="J978" s="62">
        <v>360</v>
      </c>
      <c r="K978" s="62">
        <v>400</v>
      </c>
      <c r="L978" s="62">
        <v>400</v>
      </c>
      <c r="M978" s="232">
        <v>510</v>
      </c>
      <c r="N978" s="55" t="s">
        <v>1591</v>
      </c>
      <c r="O978" s="61" t="s">
        <v>52</v>
      </c>
      <c r="P978" s="200"/>
      <c r="Q978" s="200"/>
      <c r="R978" s="200"/>
      <c r="S978" s="200"/>
      <c r="T978" s="66"/>
      <c r="U978" s="66"/>
      <c r="V978" s="66"/>
    </row>
    <row r="979" spans="1:22" s="64" customFormat="1" x14ac:dyDescent="0.25">
      <c r="A979" s="65" t="s">
        <v>1550</v>
      </c>
      <c r="B979" s="511" t="s">
        <v>1551</v>
      </c>
      <c r="C979" s="511"/>
      <c r="D979" s="511"/>
      <c r="E979" s="61" t="s">
        <v>1438</v>
      </c>
      <c r="F979" s="61" t="s">
        <v>54</v>
      </c>
      <c r="G979" s="61" t="s">
        <v>55</v>
      </c>
      <c r="H979" s="61"/>
      <c r="I979" s="61" t="s">
        <v>1366</v>
      </c>
      <c r="J979" s="62">
        <v>540</v>
      </c>
      <c r="K979" s="62">
        <v>600</v>
      </c>
      <c r="L979" s="62">
        <v>600</v>
      </c>
      <c r="M979" s="232">
        <v>765</v>
      </c>
      <c r="N979" s="55" t="s">
        <v>1591</v>
      </c>
      <c r="O979" s="61" t="s">
        <v>52</v>
      </c>
      <c r="P979" s="200"/>
      <c r="Q979" s="200"/>
      <c r="R979" s="200"/>
      <c r="S979" s="200"/>
      <c r="T979" s="66"/>
      <c r="U979" s="66"/>
      <c r="V979" s="66"/>
    </row>
    <row r="980" spans="1:22" s="64" customFormat="1" x14ac:dyDescent="0.25">
      <c r="A980" s="65" t="s">
        <v>1550</v>
      </c>
      <c r="B980" s="511" t="s">
        <v>1551</v>
      </c>
      <c r="C980" s="511"/>
      <c r="D980" s="511"/>
      <c r="E980" s="61" t="s">
        <v>1438</v>
      </c>
      <c r="F980" s="61" t="s">
        <v>389</v>
      </c>
      <c r="G980" s="61" t="s">
        <v>55</v>
      </c>
      <c r="H980" s="61"/>
      <c r="I980" s="61" t="s">
        <v>1366</v>
      </c>
      <c r="J980" s="62">
        <v>540</v>
      </c>
      <c r="K980" s="62">
        <v>600</v>
      </c>
      <c r="L980" s="62">
        <v>600</v>
      </c>
      <c r="M980" s="232">
        <v>765</v>
      </c>
      <c r="N980" s="55" t="s">
        <v>1591</v>
      </c>
      <c r="O980" s="61" t="s">
        <v>52</v>
      </c>
      <c r="P980" s="200"/>
      <c r="Q980" s="200"/>
      <c r="R980" s="200"/>
      <c r="S980" s="200"/>
      <c r="T980" s="66"/>
      <c r="U980" s="66"/>
      <c r="V980" s="66"/>
    </row>
    <row r="981" spans="1:22" s="64" customFormat="1" x14ac:dyDescent="0.25">
      <c r="A981" s="65" t="s">
        <v>1552</v>
      </c>
      <c r="B981" s="511" t="s">
        <v>1555</v>
      </c>
      <c r="C981" s="511"/>
      <c r="D981" s="511"/>
      <c r="E981" s="61" t="s">
        <v>1554</v>
      </c>
      <c r="F981" s="61" t="s">
        <v>54</v>
      </c>
      <c r="G981" s="61" t="s">
        <v>55</v>
      </c>
      <c r="H981" s="61"/>
      <c r="I981" s="61" t="s">
        <v>1366</v>
      </c>
      <c r="J981" s="62">
        <v>90</v>
      </c>
      <c r="K981" s="62">
        <v>100</v>
      </c>
      <c r="L981" s="62">
        <v>100</v>
      </c>
      <c r="M981" s="232">
        <v>130</v>
      </c>
      <c r="N981" s="55" t="s">
        <v>1591</v>
      </c>
      <c r="O981" s="61" t="s">
        <v>52</v>
      </c>
      <c r="P981" s="200"/>
      <c r="Q981" s="200"/>
      <c r="R981" s="200"/>
      <c r="S981" s="200"/>
      <c r="T981" s="66"/>
      <c r="U981" s="66"/>
      <c r="V981" s="66"/>
    </row>
    <row r="982" spans="1:22" s="64" customFormat="1" x14ac:dyDescent="0.25">
      <c r="A982" s="65" t="s">
        <v>1552</v>
      </c>
      <c r="B982" s="511" t="s">
        <v>1556</v>
      </c>
      <c r="C982" s="511"/>
      <c r="D982" s="511"/>
      <c r="E982" s="61" t="s">
        <v>1554</v>
      </c>
      <c r="F982" s="61" t="s">
        <v>54</v>
      </c>
      <c r="G982" s="61" t="s">
        <v>55</v>
      </c>
      <c r="H982" s="61"/>
      <c r="I982" s="61" t="s">
        <v>1366</v>
      </c>
      <c r="J982" s="62">
        <v>90</v>
      </c>
      <c r="K982" s="62">
        <v>100</v>
      </c>
      <c r="L982" s="62">
        <v>100</v>
      </c>
      <c r="M982" s="232">
        <v>130</v>
      </c>
      <c r="N982" s="55" t="s">
        <v>1591</v>
      </c>
      <c r="O982" s="61" t="s">
        <v>52</v>
      </c>
      <c r="P982" s="200"/>
      <c r="Q982" s="200"/>
      <c r="R982" s="200"/>
      <c r="S982" s="200"/>
      <c r="T982" s="66"/>
      <c r="U982" s="66"/>
      <c r="V982" s="66"/>
    </row>
    <row r="983" spans="1:22" s="64" customFormat="1" x14ac:dyDescent="0.25">
      <c r="A983" s="65" t="s">
        <v>1552</v>
      </c>
      <c r="B983" s="511" t="s">
        <v>1557</v>
      </c>
      <c r="C983" s="511"/>
      <c r="D983" s="511"/>
      <c r="E983" s="61" t="s">
        <v>1554</v>
      </c>
      <c r="F983" s="61" t="s">
        <v>54</v>
      </c>
      <c r="G983" s="61" t="s">
        <v>55</v>
      </c>
      <c r="H983" s="61"/>
      <c r="I983" s="61" t="s">
        <v>1366</v>
      </c>
      <c r="J983" s="62">
        <v>180</v>
      </c>
      <c r="K983" s="62">
        <v>200</v>
      </c>
      <c r="L983" s="62">
        <v>200</v>
      </c>
      <c r="M983" s="232">
        <v>255</v>
      </c>
      <c r="N983" s="55" t="s">
        <v>1591</v>
      </c>
      <c r="O983" s="61" t="s">
        <v>52</v>
      </c>
      <c r="P983" s="200"/>
      <c r="Q983" s="200"/>
      <c r="R983" s="200"/>
      <c r="S983" s="200"/>
      <c r="T983" s="66"/>
      <c r="U983" s="66"/>
      <c r="V983" s="66"/>
    </row>
    <row r="984" spans="1:22" s="64" customFormat="1" x14ac:dyDescent="0.25">
      <c r="A984" s="65" t="s">
        <v>1552</v>
      </c>
      <c r="B984" s="511" t="s">
        <v>1557</v>
      </c>
      <c r="C984" s="511"/>
      <c r="D984" s="511"/>
      <c r="E984" s="61" t="s">
        <v>1554</v>
      </c>
      <c r="F984" s="61" t="s">
        <v>56</v>
      </c>
      <c r="G984" s="61" t="s">
        <v>55</v>
      </c>
      <c r="H984" s="61"/>
      <c r="I984" s="61" t="s">
        <v>1366</v>
      </c>
      <c r="J984" s="62">
        <v>180</v>
      </c>
      <c r="K984" s="62">
        <v>345</v>
      </c>
      <c r="L984" s="62">
        <v>345</v>
      </c>
      <c r="M984" s="232">
        <v>345</v>
      </c>
      <c r="N984" s="55" t="s">
        <v>1591</v>
      </c>
      <c r="O984" s="61" t="s">
        <v>52</v>
      </c>
      <c r="P984" s="200"/>
      <c r="Q984" s="200"/>
      <c r="R984" s="200"/>
      <c r="S984" s="200"/>
      <c r="T984" s="66"/>
      <c r="U984" s="66"/>
      <c r="V984" s="66"/>
    </row>
    <row r="985" spans="1:22" s="64" customFormat="1" x14ac:dyDescent="0.25">
      <c r="A985" s="65" t="s">
        <v>1558</v>
      </c>
      <c r="B985" s="511" t="s">
        <v>1559</v>
      </c>
      <c r="C985" s="511"/>
      <c r="D985" s="511"/>
      <c r="E985" s="61" t="s">
        <v>1430</v>
      </c>
      <c r="F985" s="61" t="s">
        <v>54</v>
      </c>
      <c r="G985" s="61" t="s">
        <v>55</v>
      </c>
      <c r="H985" s="61"/>
      <c r="I985" s="61" t="s">
        <v>1366</v>
      </c>
      <c r="J985" s="62">
        <v>360</v>
      </c>
      <c r="K985" s="62">
        <v>400</v>
      </c>
      <c r="L985" s="62">
        <v>400</v>
      </c>
      <c r="M985" s="232">
        <v>510</v>
      </c>
      <c r="N985" s="55" t="s">
        <v>1591</v>
      </c>
      <c r="O985" s="61" t="s">
        <v>52</v>
      </c>
      <c r="P985" s="200"/>
      <c r="Q985" s="200"/>
      <c r="R985" s="200"/>
      <c r="S985" s="200"/>
      <c r="T985" s="66"/>
      <c r="U985" s="66"/>
      <c r="V985" s="66"/>
    </row>
    <row r="986" spans="1:22" s="64" customFormat="1" x14ac:dyDescent="0.25">
      <c r="A986" s="65" t="s">
        <v>1560</v>
      </c>
      <c r="B986" s="511" t="s">
        <v>1561</v>
      </c>
      <c r="C986" s="511"/>
      <c r="D986" s="511"/>
      <c r="E986" s="61" t="s">
        <v>1430</v>
      </c>
      <c r="F986" s="61" t="s">
        <v>54</v>
      </c>
      <c r="G986" s="61" t="s">
        <v>55</v>
      </c>
      <c r="H986" s="61"/>
      <c r="I986" s="61" t="s">
        <v>1366</v>
      </c>
      <c r="J986" s="62">
        <v>540</v>
      </c>
      <c r="K986" s="62">
        <v>600</v>
      </c>
      <c r="L986" s="62">
        <v>600</v>
      </c>
      <c r="M986" s="232">
        <v>760</v>
      </c>
      <c r="N986" s="55" t="s">
        <v>1591</v>
      </c>
      <c r="O986" s="61" t="s">
        <v>52</v>
      </c>
      <c r="P986" s="200"/>
      <c r="Q986" s="200"/>
      <c r="R986" s="200"/>
      <c r="S986" s="200"/>
      <c r="T986" s="66"/>
      <c r="U986" s="66"/>
      <c r="V986" s="66"/>
    </row>
    <row r="987" spans="1:22" s="64" customFormat="1" x14ac:dyDescent="0.25">
      <c r="A987" s="65" t="s">
        <v>1560</v>
      </c>
      <c r="B987" s="511" t="s">
        <v>1562</v>
      </c>
      <c r="C987" s="511"/>
      <c r="D987" s="511"/>
      <c r="E987" s="61" t="s">
        <v>1430</v>
      </c>
      <c r="F987" s="61" t="s">
        <v>54</v>
      </c>
      <c r="G987" s="61" t="s">
        <v>55</v>
      </c>
      <c r="H987" s="61"/>
      <c r="I987" s="61" t="s">
        <v>1366</v>
      </c>
      <c r="J987" s="62">
        <v>540</v>
      </c>
      <c r="K987" s="62">
        <v>600</v>
      </c>
      <c r="L987" s="62">
        <v>600</v>
      </c>
      <c r="M987" s="232">
        <v>760</v>
      </c>
      <c r="N987" s="55" t="s">
        <v>1591</v>
      </c>
      <c r="O987" s="61" t="s">
        <v>52</v>
      </c>
      <c r="P987" s="200"/>
      <c r="Q987" s="200"/>
      <c r="R987" s="200"/>
      <c r="S987" s="200"/>
      <c r="T987" s="66"/>
      <c r="U987" s="66"/>
      <c r="V987" s="66"/>
    </row>
    <row r="988" spans="1:22" s="64" customFormat="1" x14ac:dyDescent="0.25">
      <c r="A988" s="65" t="s">
        <v>1560</v>
      </c>
      <c r="B988" s="511" t="s">
        <v>1563</v>
      </c>
      <c r="C988" s="511"/>
      <c r="D988" s="511"/>
      <c r="E988" s="61" t="s">
        <v>1430</v>
      </c>
      <c r="F988" s="61" t="s">
        <v>54</v>
      </c>
      <c r="G988" s="61" t="s">
        <v>55</v>
      </c>
      <c r="H988" s="61"/>
      <c r="I988" s="61" t="s">
        <v>1366</v>
      </c>
      <c r="J988" s="62">
        <v>270</v>
      </c>
      <c r="K988" s="62">
        <v>300</v>
      </c>
      <c r="L988" s="62">
        <v>300</v>
      </c>
      <c r="M988" s="232">
        <v>385</v>
      </c>
      <c r="N988" s="55" t="s">
        <v>1591</v>
      </c>
      <c r="O988" s="61" t="s">
        <v>52</v>
      </c>
      <c r="P988" s="200"/>
      <c r="Q988" s="200"/>
      <c r="R988" s="200"/>
      <c r="S988" s="200"/>
      <c r="T988" s="66"/>
      <c r="U988" s="66"/>
      <c r="V988" s="66"/>
    </row>
    <row r="989" spans="1:22" s="64" customFormat="1" x14ac:dyDescent="0.25">
      <c r="A989" s="65" t="s">
        <v>1560</v>
      </c>
      <c r="B989" s="511" t="s">
        <v>1564</v>
      </c>
      <c r="C989" s="511"/>
      <c r="D989" s="511"/>
      <c r="E989" s="61" t="s">
        <v>1430</v>
      </c>
      <c r="F989" s="61" t="s">
        <v>54</v>
      </c>
      <c r="G989" s="61" t="s">
        <v>55</v>
      </c>
      <c r="H989" s="61"/>
      <c r="I989" s="61" t="s">
        <v>1366</v>
      </c>
      <c r="J989" s="62">
        <v>540</v>
      </c>
      <c r="K989" s="62">
        <v>600</v>
      </c>
      <c r="L989" s="62">
        <v>600</v>
      </c>
      <c r="M989" s="232">
        <v>760</v>
      </c>
      <c r="N989" s="55" t="s">
        <v>1591</v>
      </c>
      <c r="O989" s="61" t="s">
        <v>52</v>
      </c>
      <c r="P989" s="200"/>
      <c r="Q989" s="200"/>
      <c r="R989" s="200"/>
      <c r="S989" s="200"/>
      <c r="T989" s="66"/>
      <c r="U989" s="66"/>
      <c r="V989" s="66"/>
    </row>
    <row r="990" spans="1:22" s="64" customFormat="1" x14ac:dyDescent="0.25">
      <c r="A990" s="65" t="s">
        <v>1560</v>
      </c>
      <c r="B990" s="511" t="s">
        <v>1565</v>
      </c>
      <c r="C990" s="511"/>
      <c r="D990" s="511"/>
      <c r="E990" s="61" t="s">
        <v>1430</v>
      </c>
      <c r="F990" s="61" t="s">
        <v>54</v>
      </c>
      <c r="G990" s="61" t="s">
        <v>55</v>
      </c>
      <c r="H990" s="61"/>
      <c r="I990" s="61" t="s">
        <v>1366</v>
      </c>
      <c r="J990" s="62">
        <v>630</v>
      </c>
      <c r="K990" s="62">
        <v>700</v>
      </c>
      <c r="L990" s="62">
        <v>700</v>
      </c>
      <c r="M990" s="232">
        <v>890</v>
      </c>
      <c r="N990" s="55" t="s">
        <v>1591</v>
      </c>
      <c r="O990" s="61" t="s">
        <v>52</v>
      </c>
      <c r="P990" s="200"/>
      <c r="Q990" s="200"/>
      <c r="R990" s="200"/>
      <c r="S990" s="200"/>
      <c r="T990" s="66"/>
      <c r="U990" s="66"/>
      <c r="V990" s="66"/>
    </row>
    <row r="991" spans="1:22" s="64" customFormat="1" x14ac:dyDescent="0.25">
      <c r="A991" s="65" t="s">
        <v>1560</v>
      </c>
      <c r="B991" s="511" t="s">
        <v>1566</v>
      </c>
      <c r="C991" s="511"/>
      <c r="D991" s="511"/>
      <c r="E991" s="61" t="s">
        <v>1430</v>
      </c>
      <c r="F991" s="61" t="s">
        <v>54</v>
      </c>
      <c r="G991" s="61" t="s">
        <v>55</v>
      </c>
      <c r="H991" s="61"/>
      <c r="I991" s="61" t="s">
        <v>1366</v>
      </c>
      <c r="J991" s="62">
        <v>270</v>
      </c>
      <c r="K991" s="62">
        <v>300</v>
      </c>
      <c r="L991" s="62">
        <v>300</v>
      </c>
      <c r="M991" s="232">
        <v>385</v>
      </c>
      <c r="N991" s="55" t="s">
        <v>1591</v>
      </c>
      <c r="O991" s="61" t="s">
        <v>52</v>
      </c>
      <c r="P991" s="200"/>
      <c r="Q991" s="200"/>
      <c r="R991" s="200"/>
      <c r="S991" s="200"/>
      <c r="T991" s="66"/>
      <c r="U991" s="66"/>
      <c r="V991" s="66"/>
    </row>
    <row r="992" spans="1:22" s="64" customFormat="1" x14ac:dyDescent="0.25">
      <c r="A992" s="65" t="s">
        <v>1560</v>
      </c>
      <c r="B992" s="511" t="s">
        <v>1567</v>
      </c>
      <c r="C992" s="511"/>
      <c r="D992" s="511"/>
      <c r="E992" s="61" t="s">
        <v>1430</v>
      </c>
      <c r="F992" s="61" t="s">
        <v>54</v>
      </c>
      <c r="G992" s="61" t="s">
        <v>55</v>
      </c>
      <c r="H992" s="61"/>
      <c r="I992" s="61" t="s">
        <v>1366</v>
      </c>
      <c r="J992" s="62">
        <v>270</v>
      </c>
      <c r="K992" s="62">
        <v>300</v>
      </c>
      <c r="L992" s="62">
        <v>300</v>
      </c>
      <c r="M992" s="232">
        <v>385</v>
      </c>
      <c r="N992" s="55" t="s">
        <v>1591</v>
      </c>
      <c r="O992" s="61" t="s">
        <v>52</v>
      </c>
      <c r="P992" s="200"/>
      <c r="Q992" s="200"/>
      <c r="R992" s="200"/>
      <c r="S992" s="200"/>
      <c r="T992" s="66"/>
      <c r="U992" s="66"/>
      <c r="V992" s="66"/>
    </row>
    <row r="993" spans="1:22" s="64" customFormat="1" x14ac:dyDescent="0.25">
      <c r="A993" s="65" t="s">
        <v>1568</v>
      </c>
      <c r="B993" s="511" t="s">
        <v>1569</v>
      </c>
      <c r="C993" s="511"/>
      <c r="D993" s="511"/>
      <c r="E993" s="61" t="s">
        <v>1570</v>
      </c>
      <c r="F993" s="61" t="s">
        <v>54</v>
      </c>
      <c r="G993" s="61" t="s">
        <v>55</v>
      </c>
      <c r="H993" s="61"/>
      <c r="I993" s="61" t="s">
        <v>1366</v>
      </c>
      <c r="J993" s="62">
        <v>180</v>
      </c>
      <c r="K993" s="62">
        <v>200</v>
      </c>
      <c r="L993" s="62">
        <v>200</v>
      </c>
      <c r="M993" s="232">
        <v>255</v>
      </c>
      <c r="N993" s="55" t="s">
        <v>1591</v>
      </c>
      <c r="O993" s="61" t="s">
        <v>52</v>
      </c>
      <c r="P993" s="200"/>
      <c r="Q993" s="200"/>
      <c r="R993" s="200"/>
      <c r="S993" s="200"/>
      <c r="T993" s="66"/>
      <c r="U993" s="66"/>
      <c r="V993" s="66"/>
    </row>
    <row r="994" spans="1:22" s="64" customFormat="1" x14ac:dyDescent="0.25">
      <c r="A994" s="65" t="s">
        <v>1568</v>
      </c>
      <c r="B994" s="511" t="s">
        <v>1571</v>
      </c>
      <c r="C994" s="511"/>
      <c r="D994" s="511"/>
      <c r="E994" s="61" t="s">
        <v>1570</v>
      </c>
      <c r="F994" s="61" t="s">
        <v>54</v>
      </c>
      <c r="G994" s="61" t="s">
        <v>55</v>
      </c>
      <c r="H994" s="61"/>
      <c r="I994" s="61" t="s">
        <v>1366</v>
      </c>
      <c r="J994" s="62">
        <v>270</v>
      </c>
      <c r="K994" s="62">
        <v>300</v>
      </c>
      <c r="L994" s="62">
        <v>300</v>
      </c>
      <c r="M994" s="232">
        <v>385</v>
      </c>
      <c r="N994" s="55" t="s">
        <v>1591</v>
      </c>
      <c r="O994" s="61" t="s">
        <v>52</v>
      </c>
      <c r="P994" s="200"/>
      <c r="Q994" s="200"/>
      <c r="R994" s="200"/>
      <c r="S994" s="200"/>
      <c r="T994" s="66"/>
      <c r="U994" s="66"/>
      <c r="V994" s="66"/>
    </row>
    <row r="995" spans="1:22" s="64" customFormat="1" x14ac:dyDescent="0.25">
      <c r="A995" s="65" t="s">
        <v>1572</v>
      </c>
      <c r="B995" s="511" t="s">
        <v>1575</v>
      </c>
      <c r="C995" s="511"/>
      <c r="D995" s="511"/>
      <c r="E995" s="61" t="s">
        <v>1573</v>
      </c>
      <c r="F995" s="61" t="s">
        <v>54</v>
      </c>
      <c r="G995" s="61" t="s">
        <v>55</v>
      </c>
      <c r="H995" s="61"/>
      <c r="I995" s="61" t="s">
        <v>1366</v>
      </c>
      <c r="J995" s="62">
        <v>135</v>
      </c>
      <c r="K995" s="62">
        <v>150</v>
      </c>
      <c r="L995" s="62">
        <v>150</v>
      </c>
      <c r="M995" s="232">
        <v>190</v>
      </c>
      <c r="N995" s="55" t="s">
        <v>1591</v>
      </c>
      <c r="O995" s="61" t="s">
        <v>52</v>
      </c>
      <c r="P995" s="200"/>
      <c r="Q995" s="200"/>
      <c r="R995" s="200"/>
      <c r="S995" s="200"/>
      <c r="T995" s="66"/>
      <c r="U995" s="66"/>
      <c r="V995" s="66"/>
    </row>
    <row r="996" spans="1:22" s="64" customFormat="1" x14ac:dyDescent="0.25">
      <c r="A996" s="65" t="s">
        <v>1572</v>
      </c>
      <c r="B996" s="511" t="s">
        <v>1575</v>
      </c>
      <c r="C996" s="511"/>
      <c r="D996" s="511"/>
      <c r="E996" s="61" t="s">
        <v>1573</v>
      </c>
      <c r="F996" s="61" t="s">
        <v>481</v>
      </c>
      <c r="G996" s="61" t="s">
        <v>55</v>
      </c>
      <c r="H996" s="61"/>
      <c r="I996" s="61" t="s">
        <v>1366</v>
      </c>
      <c r="J996" s="62">
        <v>135</v>
      </c>
      <c r="K996" s="62">
        <v>150</v>
      </c>
      <c r="L996" s="62">
        <v>150</v>
      </c>
      <c r="M996" s="232">
        <v>190</v>
      </c>
      <c r="N996" s="55" t="s">
        <v>1591</v>
      </c>
      <c r="O996" s="61" t="s">
        <v>52</v>
      </c>
      <c r="P996" s="200"/>
      <c r="Q996" s="200"/>
      <c r="R996" s="200"/>
      <c r="S996" s="200"/>
      <c r="T996" s="66"/>
      <c r="U996" s="66"/>
      <c r="V996" s="66"/>
    </row>
    <row r="997" spans="1:22" s="64" customFormat="1" x14ac:dyDescent="0.25">
      <c r="A997" s="65" t="s">
        <v>1572</v>
      </c>
      <c r="B997" s="511" t="s">
        <v>1576</v>
      </c>
      <c r="C997" s="511"/>
      <c r="D997" s="511"/>
      <c r="E997" s="61" t="s">
        <v>1573</v>
      </c>
      <c r="F997" s="61" t="s">
        <v>54</v>
      </c>
      <c r="G997" s="61" t="s">
        <v>55</v>
      </c>
      <c r="H997" s="61"/>
      <c r="I997" s="61" t="s">
        <v>1366</v>
      </c>
      <c r="J997" s="62">
        <v>90</v>
      </c>
      <c r="K997" s="62">
        <v>100</v>
      </c>
      <c r="L997" s="62">
        <v>100</v>
      </c>
      <c r="M997" s="232">
        <v>130</v>
      </c>
      <c r="N997" s="55" t="s">
        <v>1591</v>
      </c>
      <c r="O997" s="61" t="s">
        <v>52</v>
      </c>
      <c r="P997" s="200"/>
      <c r="Q997" s="200"/>
      <c r="R997" s="200"/>
      <c r="S997" s="200"/>
      <c r="T997" s="66"/>
      <c r="U997" s="66"/>
      <c r="V997" s="66"/>
    </row>
    <row r="998" spans="1:22" s="64" customFormat="1" x14ac:dyDescent="0.25">
      <c r="A998" s="65" t="s">
        <v>1572</v>
      </c>
      <c r="B998" s="511" t="s">
        <v>1576</v>
      </c>
      <c r="C998" s="511"/>
      <c r="D998" s="511"/>
      <c r="E998" s="61" t="s">
        <v>1573</v>
      </c>
      <c r="F998" s="61" t="s">
        <v>481</v>
      </c>
      <c r="G998" s="61" t="s">
        <v>55</v>
      </c>
      <c r="H998" s="61"/>
      <c r="I998" s="61" t="s">
        <v>1366</v>
      </c>
      <c r="J998" s="62">
        <v>90</v>
      </c>
      <c r="K998" s="62">
        <v>100</v>
      </c>
      <c r="L998" s="62">
        <v>100</v>
      </c>
      <c r="M998" s="232">
        <v>130</v>
      </c>
      <c r="N998" s="55" t="s">
        <v>1591</v>
      </c>
      <c r="O998" s="61" t="s">
        <v>52</v>
      </c>
      <c r="P998" s="200"/>
      <c r="Q998" s="200"/>
      <c r="R998" s="200"/>
      <c r="S998" s="200"/>
      <c r="T998" s="66"/>
      <c r="U998" s="66"/>
      <c r="V998" s="66"/>
    </row>
    <row r="999" spans="1:22" s="64" customFormat="1" x14ac:dyDescent="0.25">
      <c r="A999" s="65" t="s">
        <v>1572</v>
      </c>
      <c r="B999" s="511" t="s">
        <v>1577</v>
      </c>
      <c r="C999" s="511"/>
      <c r="D999" s="511"/>
      <c r="E999" s="61" t="s">
        <v>1573</v>
      </c>
      <c r="F999" s="61" t="s">
        <v>481</v>
      </c>
      <c r="G999" s="61" t="s">
        <v>55</v>
      </c>
      <c r="H999" s="61"/>
      <c r="I999" s="61" t="s">
        <v>1366</v>
      </c>
      <c r="J999" s="62">
        <v>135</v>
      </c>
      <c r="K999" s="62">
        <v>150</v>
      </c>
      <c r="L999" s="62">
        <v>150</v>
      </c>
      <c r="M999" s="232">
        <v>190</v>
      </c>
      <c r="N999" s="55" t="s">
        <v>1591</v>
      </c>
      <c r="O999" s="61" t="s">
        <v>52</v>
      </c>
      <c r="P999" s="200"/>
      <c r="Q999" s="200"/>
      <c r="R999" s="200"/>
      <c r="S999" s="200"/>
      <c r="T999" s="66"/>
      <c r="U999" s="66"/>
      <c r="V999" s="66"/>
    </row>
    <row r="1000" spans="1:22" s="64" customFormat="1" x14ac:dyDescent="0.25">
      <c r="A1000" s="65" t="s">
        <v>1578</v>
      </c>
      <c r="B1000" s="511" t="s">
        <v>1579</v>
      </c>
      <c r="C1000" s="511"/>
      <c r="D1000" s="511"/>
      <c r="E1000" s="61" t="s">
        <v>1430</v>
      </c>
      <c r="F1000" s="61" t="s">
        <v>54</v>
      </c>
      <c r="G1000" s="61" t="s">
        <v>55</v>
      </c>
      <c r="H1000" s="61"/>
      <c r="I1000" s="61" t="s">
        <v>1366</v>
      </c>
      <c r="J1000" s="62">
        <v>180</v>
      </c>
      <c r="K1000" s="62">
        <v>200</v>
      </c>
      <c r="L1000" s="62">
        <v>200</v>
      </c>
      <c r="M1000" s="232">
        <v>255</v>
      </c>
      <c r="N1000" s="55" t="s">
        <v>1591</v>
      </c>
      <c r="O1000" s="61" t="s">
        <v>52</v>
      </c>
      <c r="P1000" s="200"/>
      <c r="Q1000" s="200"/>
      <c r="R1000" s="200"/>
      <c r="S1000" s="200"/>
      <c r="T1000" s="66"/>
      <c r="U1000" s="66"/>
      <c r="V1000" s="66"/>
    </row>
    <row r="1001" spans="1:22" s="64" customFormat="1" x14ac:dyDescent="0.25">
      <c r="A1001" s="65" t="s">
        <v>1578</v>
      </c>
      <c r="B1001" s="511" t="s">
        <v>1579</v>
      </c>
      <c r="C1001" s="511"/>
      <c r="D1001" s="511"/>
      <c r="E1001" s="61" t="s">
        <v>1580</v>
      </c>
      <c r="F1001" s="61" t="s">
        <v>389</v>
      </c>
      <c r="G1001" s="61" t="s">
        <v>55</v>
      </c>
      <c r="H1001" s="61"/>
      <c r="I1001" s="61" t="s">
        <v>1366</v>
      </c>
      <c r="J1001" s="62">
        <v>180</v>
      </c>
      <c r="K1001" s="62">
        <v>200</v>
      </c>
      <c r="L1001" s="62">
        <v>200</v>
      </c>
      <c r="M1001" s="232">
        <v>255</v>
      </c>
      <c r="N1001" s="55" t="s">
        <v>1591</v>
      </c>
      <c r="O1001" s="61" t="s">
        <v>52</v>
      </c>
      <c r="P1001" s="200"/>
      <c r="Q1001" s="200"/>
      <c r="R1001" s="200"/>
      <c r="S1001" s="200"/>
      <c r="T1001" s="66"/>
      <c r="U1001" s="66"/>
      <c r="V1001" s="66"/>
    </row>
    <row r="1002" spans="1:22" s="64" customFormat="1" x14ac:dyDescent="0.25">
      <c r="A1002" s="65" t="s">
        <v>1578</v>
      </c>
      <c r="B1002" s="511" t="s">
        <v>1579</v>
      </c>
      <c r="C1002" s="511"/>
      <c r="D1002" s="511"/>
      <c r="E1002" s="61" t="s">
        <v>1580</v>
      </c>
      <c r="F1002" s="61" t="s">
        <v>481</v>
      </c>
      <c r="G1002" s="61" t="s">
        <v>55</v>
      </c>
      <c r="H1002" s="61"/>
      <c r="I1002" s="61" t="s">
        <v>1366</v>
      </c>
      <c r="J1002" s="62">
        <v>180</v>
      </c>
      <c r="K1002" s="62">
        <v>200</v>
      </c>
      <c r="L1002" s="62">
        <v>200</v>
      </c>
      <c r="M1002" s="232">
        <v>255</v>
      </c>
      <c r="N1002" s="55" t="s">
        <v>1591</v>
      </c>
      <c r="O1002" s="61" t="s">
        <v>52</v>
      </c>
      <c r="P1002" s="200"/>
      <c r="Q1002" s="200"/>
      <c r="R1002" s="200"/>
      <c r="S1002" s="200"/>
      <c r="T1002" s="66"/>
      <c r="U1002" s="66"/>
      <c r="V1002" s="66"/>
    </row>
    <row r="1003" spans="1:22" s="64" customFormat="1" x14ac:dyDescent="0.25">
      <c r="A1003" s="65" t="s">
        <v>1578</v>
      </c>
      <c r="B1003" s="511" t="s">
        <v>1416</v>
      </c>
      <c r="C1003" s="511"/>
      <c r="D1003" s="511"/>
      <c r="E1003" s="61" t="s">
        <v>1580</v>
      </c>
      <c r="F1003" s="61" t="s">
        <v>481</v>
      </c>
      <c r="G1003" s="61" t="s">
        <v>55</v>
      </c>
      <c r="H1003" s="61"/>
      <c r="I1003" s="61" t="s">
        <v>1366</v>
      </c>
      <c r="J1003" s="62">
        <v>180</v>
      </c>
      <c r="K1003" s="62">
        <v>200</v>
      </c>
      <c r="L1003" s="62">
        <v>200</v>
      </c>
      <c r="M1003" s="232">
        <v>255</v>
      </c>
      <c r="N1003" s="55" t="s">
        <v>1591</v>
      </c>
      <c r="O1003" s="61" t="s">
        <v>52</v>
      </c>
      <c r="P1003" s="200"/>
      <c r="Q1003" s="200"/>
      <c r="R1003" s="200"/>
      <c r="S1003" s="200"/>
      <c r="T1003" s="66"/>
      <c r="U1003" s="66"/>
      <c r="V1003" s="66"/>
    </row>
    <row r="1004" spans="1:22" s="64" customFormat="1" x14ac:dyDescent="0.25">
      <c r="A1004" s="65" t="s">
        <v>1578</v>
      </c>
      <c r="B1004" s="511" t="s">
        <v>1416</v>
      </c>
      <c r="C1004" s="511"/>
      <c r="D1004" s="511"/>
      <c r="E1004" s="61" t="s">
        <v>1580</v>
      </c>
      <c r="F1004" s="61" t="s">
        <v>58</v>
      </c>
      <c r="G1004" s="61" t="s">
        <v>55</v>
      </c>
      <c r="H1004" s="61"/>
      <c r="I1004" s="61" t="s">
        <v>1366</v>
      </c>
      <c r="J1004" s="62">
        <v>180</v>
      </c>
      <c r="K1004" s="62">
        <v>200</v>
      </c>
      <c r="L1004" s="62">
        <v>200</v>
      </c>
      <c r="M1004" s="232">
        <v>255</v>
      </c>
      <c r="N1004" s="55" t="s">
        <v>1591</v>
      </c>
      <c r="O1004" s="61" t="s">
        <v>52</v>
      </c>
      <c r="P1004" s="200"/>
      <c r="Q1004" s="200"/>
      <c r="R1004" s="200"/>
      <c r="S1004" s="200"/>
      <c r="T1004" s="66"/>
      <c r="U1004" s="66"/>
      <c r="V1004" s="66"/>
    </row>
    <row r="1005" spans="1:22" s="64" customFormat="1" x14ac:dyDescent="0.25">
      <c r="A1005" s="65" t="s">
        <v>1578</v>
      </c>
      <c r="B1005" s="511" t="s">
        <v>1581</v>
      </c>
      <c r="C1005" s="511"/>
      <c r="D1005" s="511"/>
      <c r="E1005" s="61" t="s">
        <v>1430</v>
      </c>
      <c r="F1005" s="61" t="s">
        <v>54</v>
      </c>
      <c r="G1005" s="61" t="s">
        <v>55</v>
      </c>
      <c r="H1005" s="61"/>
      <c r="I1005" s="61" t="s">
        <v>1366</v>
      </c>
      <c r="J1005" s="62">
        <v>540</v>
      </c>
      <c r="K1005" s="62">
        <v>600</v>
      </c>
      <c r="L1005" s="62">
        <v>600</v>
      </c>
      <c r="M1005" s="232">
        <v>760</v>
      </c>
      <c r="N1005" s="55" t="s">
        <v>1591</v>
      </c>
      <c r="O1005" s="61" t="s">
        <v>52</v>
      </c>
      <c r="P1005" s="200"/>
      <c r="Q1005" s="200"/>
      <c r="R1005" s="200"/>
      <c r="S1005" s="200"/>
      <c r="T1005" s="66"/>
      <c r="U1005" s="66"/>
      <c r="V1005" s="66"/>
    </row>
    <row r="1006" spans="1:22" s="64" customFormat="1" x14ac:dyDescent="0.25">
      <c r="A1006" s="65" t="s">
        <v>1582</v>
      </c>
      <c r="B1006" s="511" t="s">
        <v>1583</v>
      </c>
      <c r="C1006" s="511"/>
      <c r="D1006" s="511"/>
      <c r="E1006" s="61" t="s">
        <v>1430</v>
      </c>
      <c r="F1006" s="61" t="s">
        <v>54</v>
      </c>
      <c r="G1006" s="61" t="s">
        <v>55</v>
      </c>
      <c r="H1006" s="61"/>
      <c r="I1006" s="61" t="s">
        <v>1366</v>
      </c>
      <c r="J1006" s="62">
        <v>540</v>
      </c>
      <c r="K1006" s="62">
        <v>600</v>
      </c>
      <c r="L1006" s="62">
        <v>600</v>
      </c>
      <c r="M1006" s="232">
        <v>760</v>
      </c>
      <c r="N1006" s="55" t="s">
        <v>1591</v>
      </c>
      <c r="O1006" s="61" t="s">
        <v>52</v>
      </c>
      <c r="P1006" s="200"/>
      <c r="Q1006" s="200"/>
      <c r="R1006" s="200"/>
      <c r="S1006" s="200"/>
      <c r="T1006" s="66"/>
      <c r="U1006" s="66"/>
      <c r="V1006" s="66"/>
    </row>
    <row r="1007" spans="1:22" s="64" customFormat="1" x14ac:dyDescent="0.25">
      <c r="A1007" s="65" t="s">
        <v>1582</v>
      </c>
      <c r="B1007" s="511" t="s">
        <v>1584</v>
      </c>
      <c r="C1007" s="511"/>
      <c r="D1007" s="511"/>
      <c r="E1007" s="61" t="s">
        <v>1430</v>
      </c>
      <c r="F1007" s="61" t="s">
        <v>54</v>
      </c>
      <c r="G1007" s="61" t="s">
        <v>55</v>
      </c>
      <c r="H1007" s="61"/>
      <c r="I1007" s="61" t="s">
        <v>1366</v>
      </c>
      <c r="J1007" s="62">
        <v>0</v>
      </c>
      <c r="K1007" s="62">
        <v>0</v>
      </c>
      <c r="L1007" s="62">
        <v>0</v>
      </c>
      <c r="M1007" s="232">
        <v>0</v>
      </c>
      <c r="N1007" s="55" t="s">
        <v>1591</v>
      </c>
      <c r="O1007" s="61" t="s">
        <v>52</v>
      </c>
      <c r="P1007" s="200"/>
      <c r="Q1007" s="200"/>
      <c r="R1007" s="200"/>
      <c r="S1007" s="200"/>
      <c r="T1007" s="66"/>
      <c r="U1007" s="66"/>
      <c r="V1007" s="66"/>
    </row>
    <row r="1008" spans="1:22" s="64" customFormat="1" x14ac:dyDescent="0.25">
      <c r="A1008" s="65" t="s">
        <v>1582</v>
      </c>
      <c r="B1008" s="511" t="s">
        <v>1585</v>
      </c>
      <c r="C1008" s="511"/>
      <c r="D1008" s="511"/>
      <c r="E1008" s="61" t="s">
        <v>1431</v>
      </c>
      <c r="F1008" s="61" t="s">
        <v>389</v>
      </c>
      <c r="G1008" s="61" t="s">
        <v>55</v>
      </c>
      <c r="H1008" s="61"/>
      <c r="I1008" s="61" t="s">
        <v>1366</v>
      </c>
      <c r="J1008" s="62">
        <v>10</v>
      </c>
      <c r="K1008" s="62">
        <v>10</v>
      </c>
      <c r="L1008" s="62">
        <v>10</v>
      </c>
      <c r="M1008" s="232">
        <v>15</v>
      </c>
      <c r="N1008" s="55" t="s">
        <v>1591</v>
      </c>
      <c r="O1008" s="61" t="s">
        <v>52</v>
      </c>
      <c r="P1008" s="200"/>
      <c r="Q1008" s="200"/>
      <c r="R1008" s="200"/>
      <c r="S1008" s="200"/>
      <c r="T1008" s="66"/>
      <c r="U1008" s="66"/>
      <c r="V1008" s="66"/>
    </row>
    <row r="1009" spans="1:22" s="64" customFormat="1" x14ac:dyDescent="0.25">
      <c r="A1009" s="65" t="s">
        <v>1582</v>
      </c>
      <c r="B1009" s="511" t="s">
        <v>1586</v>
      </c>
      <c r="C1009" s="511"/>
      <c r="D1009" s="511"/>
      <c r="E1009" s="61" t="s">
        <v>1430</v>
      </c>
      <c r="F1009" s="61" t="s">
        <v>54</v>
      </c>
      <c r="G1009" s="61" t="s">
        <v>55</v>
      </c>
      <c r="H1009" s="61"/>
      <c r="I1009" s="61" t="s">
        <v>1366</v>
      </c>
      <c r="J1009" s="62">
        <v>540</v>
      </c>
      <c r="K1009" s="62">
        <v>600</v>
      </c>
      <c r="L1009" s="62">
        <v>600</v>
      </c>
      <c r="M1009" s="232">
        <v>760</v>
      </c>
      <c r="N1009" s="55" t="s">
        <v>1591</v>
      </c>
      <c r="O1009" s="61" t="s">
        <v>52</v>
      </c>
      <c r="P1009" s="200"/>
      <c r="Q1009" s="200"/>
      <c r="R1009" s="200"/>
      <c r="S1009" s="200"/>
      <c r="T1009" s="66"/>
      <c r="U1009" s="66"/>
      <c r="V1009" s="66"/>
    </row>
    <row r="1010" spans="1:22" s="64" customFormat="1" x14ac:dyDescent="0.25">
      <c r="A1010" s="65" t="s">
        <v>1428</v>
      </c>
      <c r="B1010" s="511" t="s">
        <v>1429</v>
      </c>
      <c r="C1010" s="511"/>
      <c r="D1010" s="511"/>
      <c r="E1010" s="61" t="s">
        <v>1430</v>
      </c>
      <c r="F1010" s="61" t="s">
        <v>54</v>
      </c>
      <c r="G1010" s="61" t="s">
        <v>55</v>
      </c>
      <c r="H1010" s="61"/>
      <c r="I1010" s="61" t="s">
        <v>1366</v>
      </c>
      <c r="J1010" s="62">
        <v>225</v>
      </c>
      <c r="K1010" s="62">
        <v>250</v>
      </c>
      <c r="L1010" s="62">
        <v>250</v>
      </c>
      <c r="M1010" s="232">
        <v>320</v>
      </c>
      <c r="N1010" s="55" t="s">
        <v>1592</v>
      </c>
      <c r="O1010" s="61" t="s">
        <v>52</v>
      </c>
      <c r="P1010" s="200"/>
      <c r="Q1010" s="200"/>
      <c r="R1010" s="200"/>
      <c r="S1010" s="200"/>
      <c r="T1010" s="66"/>
      <c r="U1010" s="66"/>
      <c r="V1010" s="66"/>
    </row>
    <row r="1011" spans="1:22" s="64" customFormat="1" x14ac:dyDescent="0.25">
      <c r="A1011" s="65" t="s">
        <v>1428</v>
      </c>
      <c r="B1011" s="511" t="s">
        <v>1429</v>
      </c>
      <c r="C1011" s="511"/>
      <c r="D1011" s="511"/>
      <c r="E1011" s="61" t="s">
        <v>1431</v>
      </c>
      <c r="F1011" s="61" t="s">
        <v>389</v>
      </c>
      <c r="G1011" s="61" t="s">
        <v>55</v>
      </c>
      <c r="H1011" s="61"/>
      <c r="I1011" s="61" t="s">
        <v>1366</v>
      </c>
      <c r="J1011" s="62">
        <v>225</v>
      </c>
      <c r="K1011" s="62">
        <v>250</v>
      </c>
      <c r="L1011" s="62">
        <v>250</v>
      </c>
      <c r="M1011" s="232">
        <v>320</v>
      </c>
      <c r="N1011" s="55" t="s">
        <v>1592</v>
      </c>
      <c r="O1011" s="61" t="s">
        <v>52</v>
      </c>
      <c r="P1011" s="200"/>
      <c r="Q1011" s="200"/>
      <c r="R1011" s="200"/>
      <c r="S1011" s="200"/>
      <c r="T1011" s="66"/>
      <c r="U1011" s="66"/>
      <c r="V1011" s="66"/>
    </row>
    <row r="1012" spans="1:22" s="64" customFormat="1" x14ac:dyDescent="0.25">
      <c r="A1012" s="65" t="s">
        <v>1428</v>
      </c>
      <c r="B1012" s="511" t="s">
        <v>1432</v>
      </c>
      <c r="C1012" s="511"/>
      <c r="D1012" s="511"/>
      <c r="E1012" s="61" t="s">
        <v>1430</v>
      </c>
      <c r="F1012" s="61" t="s">
        <v>54</v>
      </c>
      <c r="G1012" s="61" t="s">
        <v>55</v>
      </c>
      <c r="H1012" s="61"/>
      <c r="I1012" s="61" t="s">
        <v>1366</v>
      </c>
      <c r="J1012" s="62">
        <v>315</v>
      </c>
      <c r="K1012" s="62">
        <v>350</v>
      </c>
      <c r="L1012" s="62">
        <v>350</v>
      </c>
      <c r="M1012" s="232">
        <v>445</v>
      </c>
      <c r="N1012" s="55" t="s">
        <v>1592</v>
      </c>
      <c r="O1012" s="61" t="s">
        <v>52</v>
      </c>
      <c r="P1012" s="200"/>
      <c r="Q1012" s="200"/>
      <c r="R1012" s="200"/>
      <c r="S1012" s="200"/>
      <c r="T1012" s="66"/>
      <c r="U1012" s="66"/>
      <c r="V1012" s="66"/>
    </row>
    <row r="1013" spans="1:22" s="64" customFormat="1" x14ac:dyDescent="0.25">
      <c r="A1013" s="65" t="s">
        <v>1433</v>
      </c>
      <c r="B1013" s="511" t="s">
        <v>1434</v>
      </c>
      <c r="C1013" s="511"/>
      <c r="D1013" s="511"/>
      <c r="E1013" s="61" t="s">
        <v>1435</v>
      </c>
      <c r="F1013" s="61" t="s">
        <v>54</v>
      </c>
      <c r="G1013" s="61" t="s">
        <v>55</v>
      </c>
      <c r="H1013" s="61"/>
      <c r="I1013" s="61" t="s">
        <v>1366</v>
      </c>
      <c r="J1013" s="62">
        <v>225</v>
      </c>
      <c r="K1013" s="62">
        <v>250</v>
      </c>
      <c r="L1013" s="62">
        <v>250</v>
      </c>
      <c r="M1013" s="232">
        <v>320</v>
      </c>
      <c r="N1013" s="55" t="s">
        <v>1592</v>
      </c>
      <c r="O1013" s="61" t="s">
        <v>52</v>
      </c>
      <c r="P1013" s="200"/>
      <c r="Q1013" s="200"/>
      <c r="R1013" s="200"/>
      <c r="S1013" s="200"/>
      <c r="T1013" s="66"/>
      <c r="U1013" s="66"/>
      <c r="V1013" s="66"/>
    </row>
    <row r="1014" spans="1:22" s="64" customFormat="1" x14ac:dyDescent="0.25">
      <c r="A1014" s="65" t="s">
        <v>1433</v>
      </c>
      <c r="B1014" s="511" t="s">
        <v>1434</v>
      </c>
      <c r="C1014" s="511"/>
      <c r="D1014" s="511"/>
      <c r="E1014" s="61" t="s">
        <v>1435</v>
      </c>
      <c r="F1014" s="61" t="s">
        <v>389</v>
      </c>
      <c r="G1014" s="61" t="s">
        <v>55</v>
      </c>
      <c r="H1014" s="61"/>
      <c r="I1014" s="61" t="s">
        <v>1366</v>
      </c>
      <c r="J1014" s="62">
        <v>225</v>
      </c>
      <c r="K1014" s="62">
        <v>250</v>
      </c>
      <c r="L1014" s="62">
        <v>250</v>
      </c>
      <c r="M1014" s="232">
        <v>320</v>
      </c>
      <c r="N1014" s="55" t="s">
        <v>1592</v>
      </c>
      <c r="O1014" s="61" t="s">
        <v>52</v>
      </c>
      <c r="P1014" s="200"/>
      <c r="Q1014" s="200"/>
      <c r="R1014" s="200"/>
      <c r="S1014" s="200"/>
      <c r="T1014" s="66"/>
      <c r="U1014" s="66"/>
      <c r="V1014" s="66"/>
    </row>
    <row r="1015" spans="1:22" s="64" customFormat="1" x14ac:dyDescent="0.25">
      <c r="A1015" s="65" t="s">
        <v>1433</v>
      </c>
      <c r="B1015" s="511" t="s">
        <v>1436</v>
      </c>
      <c r="C1015" s="511"/>
      <c r="D1015" s="511"/>
      <c r="E1015" s="61" t="s">
        <v>1437</v>
      </c>
      <c r="F1015" s="61" t="s">
        <v>54</v>
      </c>
      <c r="G1015" s="61" t="s">
        <v>55</v>
      </c>
      <c r="H1015" s="61"/>
      <c r="I1015" s="61" t="s">
        <v>1366</v>
      </c>
      <c r="J1015" s="62">
        <v>405</v>
      </c>
      <c r="K1015" s="62">
        <v>450</v>
      </c>
      <c r="L1015" s="62">
        <v>450</v>
      </c>
      <c r="M1015" s="232">
        <v>570</v>
      </c>
      <c r="N1015" s="55" t="s">
        <v>1592</v>
      </c>
      <c r="O1015" s="61" t="s">
        <v>52</v>
      </c>
      <c r="P1015" s="200"/>
      <c r="Q1015" s="200"/>
      <c r="R1015" s="200"/>
      <c r="S1015" s="200"/>
      <c r="T1015" s="66"/>
      <c r="U1015" s="66"/>
      <c r="V1015" s="66"/>
    </row>
    <row r="1016" spans="1:22" s="64" customFormat="1" x14ac:dyDescent="0.25">
      <c r="A1016" s="65" t="s">
        <v>1433</v>
      </c>
      <c r="B1016" s="511" t="s">
        <v>1436</v>
      </c>
      <c r="C1016" s="511"/>
      <c r="D1016" s="511"/>
      <c r="E1016" s="61" t="s">
        <v>1438</v>
      </c>
      <c r="F1016" s="61" t="s">
        <v>389</v>
      </c>
      <c r="G1016" s="61" t="s">
        <v>55</v>
      </c>
      <c r="H1016" s="61"/>
      <c r="I1016" s="61" t="s">
        <v>1366</v>
      </c>
      <c r="J1016" s="62">
        <v>405</v>
      </c>
      <c r="K1016" s="62">
        <v>450</v>
      </c>
      <c r="L1016" s="62">
        <v>450</v>
      </c>
      <c r="M1016" s="232">
        <v>570</v>
      </c>
      <c r="N1016" s="55" t="s">
        <v>1592</v>
      </c>
      <c r="O1016" s="61" t="s">
        <v>52</v>
      </c>
      <c r="P1016" s="200"/>
      <c r="Q1016" s="200"/>
      <c r="R1016" s="200"/>
      <c r="S1016" s="200"/>
      <c r="T1016" s="66"/>
      <c r="U1016" s="66"/>
      <c r="V1016" s="66"/>
    </row>
    <row r="1017" spans="1:22" s="64" customFormat="1" x14ac:dyDescent="0.25">
      <c r="A1017" s="65" t="s">
        <v>1433</v>
      </c>
      <c r="B1017" s="511" t="s">
        <v>1436</v>
      </c>
      <c r="C1017" s="511"/>
      <c r="D1017" s="511"/>
      <c r="E1017" s="61" t="s">
        <v>1439</v>
      </c>
      <c r="F1017" s="61" t="s">
        <v>389</v>
      </c>
      <c r="G1017" s="61" t="s">
        <v>55</v>
      </c>
      <c r="H1017" s="61"/>
      <c r="I1017" s="61" t="s">
        <v>1366</v>
      </c>
      <c r="J1017" s="62">
        <v>405</v>
      </c>
      <c r="K1017" s="62">
        <v>450</v>
      </c>
      <c r="L1017" s="62">
        <v>450</v>
      </c>
      <c r="M1017" s="232">
        <v>570</v>
      </c>
      <c r="N1017" s="55" t="s">
        <v>1592</v>
      </c>
      <c r="O1017" s="61" t="s">
        <v>52</v>
      </c>
      <c r="P1017" s="200"/>
      <c r="Q1017" s="200"/>
      <c r="R1017" s="200"/>
      <c r="S1017" s="200"/>
      <c r="T1017" s="66"/>
      <c r="U1017" s="66"/>
      <c r="V1017" s="66"/>
    </row>
    <row r="1018" spans="1:22" s="64" customFormat="1" x14ac:dyDescent="0.25">
      <c r="A1018" s="65" t="s">
        <v>1433</v>
      </c>
      <c r="B1018" s="511" t="s">
        <v>1436</v>
      </c>
      <c r="C1018" s="511"/>
      <c r="D1018" s="511"/>
      <c r="E1018" s="61" t="s">
        <v>1437</v>
      </c>
      <c r="F1018" s="61" t="s">
        <v>389</v>
      </c>
      <c r="G1018" s="61" t="s">
        <v>55</v>
      </c>
      <c r="H1018" s="61"/>
      <c r="I1018" s="61" t="s">
        <v>1366</v>
      </c>
      <c r="J1018" s="62">
        <v>405</v>
      </c>
      <c r="K1018" s="62">
        <v>450</v>
      </c>
      <c r="L1018" s="62">
        <v>450</v>
      </c>
      <c r="M1018" s="232">
        <v>570</v>
      </c>
      <c r="N1018" s="55" t="s">
        <v>1592</v>
      </c>
      <c r="O1018" s="61" t="s">
        <v>52</v>
      </c>
      <c r="P1018" s="200"/>
      <c r="Q1018" s="200"/>
      <c r="R1018" s="200"/>
      <c r="S1018" s="200"/>
      <c r="T1018" s="66"/>
      <c r="U1018" s="66"/>
      <c r="V1018" s="66"/>
    </row>
    <row r="1019" spans="1:22" s="64" customFormat="1" x14ac:dyDescent="0.25">
      <c r="A1019" s="65" t="s">
        <v>1433</v>
      </c>
      <c r="B1019" s="511" t="s">
        <v>1441</v>
      </c>
      <c r="C1019" s="511"/>
      <c r="D1019" s="511"/>
      <c r="E1019" s="61" t="s">
        <v>1435</v>
      </c>
      <c r="F1019" s="61" t="s">
        <v>54</v>
      </c>
      <c r="G1019" s="61" t="s">
        <v>55</v>
      </c>
      <c r="H1019" s="61"/>
      <c r="I1019" s="61" t="s">
        <v>1366</v>
      </c>
      <c r="J1019" s="62">
        <v>450</v>
      </c>
      <c r="K1019" s="62">
        <v>500</v>
      </c>
      <c r="L1019" s="62">
        <v>500</v>
      </c>
      <c r="M1019" s="232">
        <v>635</v>
      </c>
      <c r="N1019" s="55" t="s">
        <v>1592</v>
      </c>
      <c r="O1019" s="61" t="s">
        <v>52</v>
      </c>
      <c r="P1019" s="200"/>
      <c r="Q1019" s="200"/>
      <c r="R1019" s="200"/>
      <c r="S1019" s="200"/>
      <c r="T1019" s="66"/>
      <c r="U1019" s="66"/>
      <c r="V1019" s="66"/>
    </row>
    <row r="1020" spans="1:22" s="64" customFormat="1" x14ac:dyDescent="0.25">
      <c r="A1020" s="65" t="s">
        <v>1433</v>
      </c>
      <c r="B1020" s="511" t="s">
        <v>1441</v>
      </c>
      <c r="C1020" s="511"/>
      <c r="D1020" s="511"/>
      <c r="E1020" s="61" t="s">
        <v>1435</v>
      </c>
      <c r="F1020" s="61" t="s">
        <v>389</v>
      </c>
      <c r="G1020" s="61" t="s">
        <v>55</v>
      </c>
      <c r="H1020" s="61"/>
      <c r="I1020" s="61" t="s">
        <v>1366</v>
      </c>
      <c r="J1020" s="62">
        <v>450</v>
      </c>
      <c r="K1020" s="62">
        <v>500</v>
      </c>
      <c r="L1020" s="62">
        <v>500</v>
      </c>
      <c r="M1020" s="232">
        <v>635</v>
      </c>
      <c r="N1020" s="55" t="s">
        <v>1592</v>
      </c>
      <c r="O1020" s="61" t="s">
        <v>52</v>
      </c>
      <c r="P1020" s="200"/>
      <c r="Q1020" s="200"/>
      <c r="R1020" s="200"/>
      <c r="S1020" s="200"/>
      <c r="T1020" s="66"/>
      <c r="U1020" s="66"/>
      <c r="V1020" s="66"/>
    </row>
    <row r="1021" spans="1:22" s="64" customFormat="1" x14ac:dyDescent="0.25">
      <c r="A1021" s="65" t="s">
        <v>1433</v>
      </c>
      <c r="B1021" s="511" t="s">
        <v>1441</v>
      </c>
      <c r="C1021" s="511"/>
      <c r="D1021" s="511"/>
      <c r="E1021" s="61" t="s">
        <v>1439</v>
      </c>
      <c r="F1021" s="61" t="s">
        <v>56</v>
      </c>
      <c r="G1021" s="61" t="s">
        <v>55</v>
      </c>
      <c r="H1021" s="61"/>
      <c r="I1021" s="61" t="s">
        <v>1366</v>
      </c>
      <c r="J1021" s="62">
        <v>465</v>
      </c>
      <c r="K1021" s="62">
        <v>590</v>
      </c>
      <c r="L1021" s="62">
        <v>590</v>
      </c>
      <c r="M1021" s="232"/>
      <c r="N1021" s="55" t="s">
        <v>1592</v>
      </c>
      <c r="O1021" s="61" t="s">
        <v>52</v>
      </c>
      <c r="P1021" s="200"/>
      <c r="Q1021" s="200"/>
      <c r="R1021" s="200"/>
      <c r="S1021" s="200"/>
      <c r="T1021" s="66"/>
      <c r="U1021" s="66"/>
      <c r="V1021" s="66"/>
    </row>
    <row r="1022" spans="1:22" s="64" customFormat="1" x14ac:dyDescent="0.25">
      <c r="A1022" s="65" t="s">
        <v>1433</v>
      </c>
      <c r="B1022" s="511" t="s">
        <v>1441</v>
      </c>
      <c r="C1022" s="511"/>
      <c r="D1022" s="511"/>
      <c r="E1022" s="61" t="s">
        <v>1437</v>
      </c>
      <c r="F1022" s="61" t="s">
        <v>56</v>
      </c>
      <c r="G1022" s="61" t="s">
        <v>55</v>
      </c>
      <c r="H1022" s="61"/>
      <c r="I1022" s="61" t="s">
        <v>1366</v>
      </c>
      <c r="J1022" s="62">
        <v>385</v>
      </c>
      <c r="K1022" s="62">
        <v>575</v>
      </c>
      <c r="L1022" s="62">
        <v>575</v>
      </c>
      <c r="M1022" s="232"/>
      <c r="N1022" s="55" t="s">
        <v>1592</v>
      </c>
      <c r="O1022" s="61" t="s">
        <v>52</v>
      </c>
      <c r="P1022" s="200"/>
      <c r="Q1022" s="200"/>
      <c r="R1022" s="200"/>
      <c r="S1022" s="200"/>
      <c r="T1022" s="66"/>
      <c r="U1022" s="66"/>
      <c r="V1022" s="66"/>
    </row>
    <row r="1023" spans="1:22" s="64" customFormat="1" x14ac:dyDescent="0.25">
      <c r="A1023" s="65" t="s">
        <v>1433</v>
      </c>
      <c r="B1023" s="511" t="s">
        <v>1442</v>
      </c>
      <c r="C1023" s="511"/>
      <c r="D1023" s="511"/>
      <c r="E1023" s="61" t="s">
        <v>1435</v>
      </c>
      <c r="F1023" s="61" t="s">
        <v>54</v>
      </c>
      <c r="G1023" s="61" t="s">
        <v>55</v>
      </c>
      <c r="H1023" s="61"/>
      <c r="I1023" s="61" t="s">
        <v>1366</v>
      </c>
      <c r="J1023" s="62">
        <v>225</v>
      </c>
      <c r="K1023" s="62">
        <v>250</v>
      </c>
      <c r="L1023" s="62">
        <v>250</v>
      </c>
      <c r="M1023" s="232">
        <v>320</v>
      </c>
      <c r="N1023" s="55" t="s">
        <v>1592</v>
      </c>
      <c r="O1023" s="61" t="s">
        <v>52</v>
      </c>
      <c r="P1023" s="200"/>
      <c r="Q1023" s="200"/>
      <c r="R1023" s="200"/>
      <c r="S1023" s="200"/>
      <c r="T1023" s="66"/>
      <c r="U1023" s="66"/>
      <c r="V1023" s="66"/>
    </row>
    <row r="1024" spans="1:22" s="64" customFormat="1" x14ac:dyDescent="0.25">
      <c r="A1024" s="65" t="s">
        <v>1433</v>
      </c>
      <c r="B1024" s="511" t="s">
        <v>1442</v>
      </c>
      <c r="C1024" s="511"/>
      <c r="D1024" s="511"/>
      <c r="E1024" s="61" t="s">
        <v>1435</v>
      </c>
      <c r="F1024" s="61" t="s">
        <v>389</v>
      </c>
      <c r="G1024" s="61" t="s">
        <v>55</v>
      </c>
      <c r="H1024" s="61"/>
      <c r="I1024" s="61" t="s">
        <v>1366</v>
      </c>
      <c r="J1024" s="62">
        <v>225</v>
      </c>
      <c r="K1024" s="62">
        <v>250</v>
      </c>
      <c r="L1024" s="62">
        <v>250</v>
      </c>
      <c r="M1024" s="232">
        <v>320</v>
      </c>
      <c r="N1024" s="55" t="s">
        <v>1592</v>
      </c>
      <c r="O1024" s="61" t="s">
        <v>52</v>
      </c>
      <c r="P1024" s="200"/>
      <c r="Q1024" s="200"/>
      <c r="R1024" s="200"/>
      <c r="S1024" s="200"/>
      <c r="T1024" s="66"/>
      <c r="U1024" s="66"/>
      <c r="V1024" s="66"/>
    </row>
    <row r="1025" spans="1:22" s="64" customFormat="1" x14ac:dyDescent="0.25">
      <c r="A1025" s="65" t="s">
        <v>1433</v>
      </c>
      <c r="B1025" s="511" t="s">
        <v>1443</v>
      </c>
      <c r="C1025" s="511"/>
      <c r="D1025" s="511"/>
      <c r="E1025" s="61" t="s">
        <v>1435</v>
      </c>
      <c r="F1025" s="61" t="s">
        <v>54</v>
      </c>
      <c r="G1025" s="61" t="s">
        <v>55</v>
      </c>
      <c r="H1025" s="61"/>
      <c r="I1025" s="61" t="s">
        <v>1366</v>
      </c>
      <c r="J1025" s="62">
        <v>225</v>
      </c>
      <c r="K1025" s="62">
        <v>250</v>
      </c>
      <c r="L1025" s="62">
        <v>250</v>
      </c>
      <c r="M1025" s="232">
        <v>320</v>
      </c>
      <c r="N1025" s="55" t="s">
        <v>1592</v>
      </c>
      <c r="O1025" s="61" t="s">
        <v>52</v>
      </c>
      <c r="P1025" s="200"/>
      <c r="Q1025" s="200"/>
      <c r="R1025" s="200"/>
      <c r="S1025" s="200"/>
      <c r="T1025" s="66"/>
      <c r="U1025" s="66"/>
      <c r="V1025" s="66"/>
    </row>
    <row r="1026" spans="1:22" s="64" customFormat="1" x14ac:dyDescent="0.25">
      <c r="A1026" s="65" t="s">
        <v>1433</v>
      </c>
      <c r="B1026" s="511" t="s">
        <v>1443</v>
      </c>
      <c r="C1026" s="511"/>
      <c r="D1026" s="511"/>
      <c r="E1026" s="61" t="s">
        <v>1435</v>
      </c>
      <c r="F1026" s="61" t="s">
        <v>389</v>
      </c>
      <c r="G1026" s="61" t="s">
        <v>55</v>
      </c>
      <c r="H1026" s="61"/>
      <c r="I1026" s="61" t="s">
        <v>1366</v>
      </c>
      <c r="J1026" s="62">
        <v>225</v>
      </c>
      <c r="K1026" s="62">
        <v>250</v>
      </c>
      <c r="L1026" s="62">
        <v>250</v>
      </c>
      <c r="M1026" s="232">
        <v>320</v>
      </c>
      <c r="N1026" s="55" t="s">
        <v>1592</v>
      </c>
      <c r="O1026" s="61" t="s">
        <v>52</v>
      </c>
      <c r="P1026" s="200"/>
      <c r="Q1026" s="200"/>
      <c r="R1026" s="200"/>
      <c r="S1026" s="200"/>
      <c r="T1026" s="66"/>
      <c r="U1026" s="66"/>
      <c r="V1026" s="66"/>
    </row>
    <row r="1027" spans="1:22" s="64" customFormat="1" x14ac:dyDescent="0.25">
      <c r="A1027" s="65" t="s">
        <v>1433</v>
      </c>
      <c r="B1027" s="511" t="s">
        <v>1443</v>
      </c>
      <c r="C1027" s="511"/>
      <c r="D1027" s="511"/>
      <c r="E1027" s="61" t="s">
        <v>1435</v>
      </c>
      <c r="F1027" s="61" t="s">
        <v>56</v>
      </c>
      <c r="G1027" s="61" t="s">
        <v>55</v>
      </c>
      <c r="H1027" s="61"/>
      <c r="I1027" s="61" t="s">
        <v>1366</v>
      </c>
      <c r="J1027" s="62">
        <v>450</v>
      </c>
      <c r="K1027" s="62">
        <v>620</v>
      </c>
      <c r="L1027" s="62">
        <v>620</v>
      </c>
      <c r="M1027" s="232">
        <v>360</v>
      </c>
      <c r="N1027" s="55" t="s">
        <v>1592</v>
      </c>
      <c r="O1027" s="61" t="s">
        <v>52</v>
      </c>
      <c r="P1027" s="200"/>
      <c r="Q1027" s="200"/>
      <c r="R1027" s="200"/>
      <c r="S1027" s="200"/>
      <c r="T1027" s="66"/>
      <c r="U1027" s="66"/>
      <c r="V1027" s="66"/>
    </row>
    <row r="1028" spans="1:22" s="64" customFormat="1" x14ac:dyDescent="0.25">
      <c r="A1028" s="65" t="s">
        <v>1433</v>
      </c>
      <c r="B1028" s="511" t="s">
        <v>1444</v>
      </c>
      <c r="C1028" s="511"/>
      <c r="D1028" s="511"/>
      <c r="E1028" s="61" t="s">
        <v>1435</v>
      </c>
      <c r="F1028" s="61" t="s">
        <v>56</v>
      </c>
      <c r="G1028" s="61" t="s">
        <v>55</v>
      </c>
      <c r="H1028" s="61"/>
      <c r="I1028" s="61" t="s">
        <v>1366</v>
      </c>
      <c r="J1028" s="62">
        <v>1115</v>
      </c>
      <c r="K1028" s="62">
        <v>1970</v>
      </c>
      <c r="L1028" s="62">
        <v>1970</v>
      </c>
      <c r="M1028" s="232"/>
      <c r="N1028" s="55" t="s">
        <v>1592</v>
      </c>
      <c r="O1028" s="61" t="s">
        <v>52</v>
      </c>
      <c r="P1028" s="200"/>
      <c r="Q1028" s="200"/>
      <c r="R1028" s="200"/>
      <c r="S1028" s="200"/>
      <c r="T1028" s="66"/>
      <c r="U1028" s="66"/>
      <c r="V1028" s="66"/>
    </row>
    <row r="1029" spans="1:22" s="64" customFormat="1" x14ac:dyDescent="0.25">
      <c r="A1029" s="65" t="s">
        <v>1433</v>
      </c>
      <c r="B1029" s="511" t="s">
        <v>1445</v>
      </c>
      <c r="C1029" s="511"/>
      <c r="D1029" s="511"/>
      <c r="E1029" s="61" t="s">
        <v>1435</v>
      </c>
      <c r="F1029" s="61" t="s">
        <v>54</v>
      </c>
      <c r="G1029" s="61" t="s">
        <v>55</v>
      </c>
      <c r="H1029" s="61"/>
      <c r="I1029" s="61" t="s">
        <v>1366</v>
      </c>
      <c r="J1029" s="62">
        <v>360</v>
      </c>
      <c r="K1029" s="62">
        <v>400</v>
      </c>
      <c r="L1029" s="62">
        <v>400</v>
      </c>
      <c r="M1029" s="232">
        <v>510</v>
      </c>
      <c r="N1029" s="55" t="s">
        <v>1592</v>
      </c>
      <c r="O1029" s="61" t="s">
        <v>52</v>
      </c>
      <c r="P1029" s="200"/>
      <c r="Q1029" s="200"/>
      <c r="R1029" s="200"/>
      <c r="S1029" s="200"/>
      <c r="T1029" s="66"/>
      <c r="U1029" s="66"/>
      <c r="V1029" s="66"/>
    </row>
    <row r="1030" spans="1:22" s="64" customFormat="1" x14ac:dyDescent="0.25">
      <c r="A1030" s="65" t="s">
        <v>1433</v>
      </c>
      <c r="B1030" s="511" t="s">
        <v>1445</v>
      </c>
      <c r="C1030" s="511"/>
      <c r="D1030" s="511"/>
      <c r="E1030" s="61" t="s">
        <v>1435</v>
      </c>
      <c r="F1030" s="61" t="s">
        <v>389</v>
      </c>
      <c r="G1030" s="61" t="s">
        <v>55</v>
      </c>
      <c r="H1030" s="61"/>
      <c r="I1030" s="61" t="s">
        <v>1366</v>
      </c>
      <c r="J1030" s="62">
        <v>360</v>
      </c>
      <c r="K1030" s="62">
        <v>400</v>
      </c>
      <c r="L1030" s="62">
        <v>400</v>
      </c>
      <c r="M1030" s="232">
        <v>510</v>
      </c>
      <c r="N1030" s="55" t="s">
        <v>1592</v>
      </c>
      <c r="O1030" s="61" t="s">
        <v>52</v>
      </c>
      <c r="P1030" s="200"/>
      <c r="Q1030" s="200"/>
      <c r="R1030" s="200"/>
      <c r="S1030" s="200"/>
      <c r="T1030" s="66"/>
      <c r="U1030" s="66"/>
      <c r="V1030" s="66"/>
    </row>
    <row r="1031" spans="1:22" s="64" customFormat="1" x14ac:dyDescent="0.25">
      <c r="A1031" s="65" t="s">
        <v>1433</v>
      </c>
      <c r="B1031" s="511" t="s">
        <v>1446</v>
      </c>
      <c r="C1031" s="511"/>
      <c r="D1031" s="511"/>
      <c r="E1031" s="61" t="s">
        <v>1435</v>
      </c>
      <c r="F1031" s="61" t="s">
        <v>54</v>
      </c>
      <c r="G1031" s="61" t="s">
        <v>55</v>
      </c>
      <c r="H1031" s="61"/>
      <c r="I1031" s="61" t="s">
        <v>1366</v>
      </c>
      <c r="J1031" s="62">
        <v>585</v>
      </c>
      <c r="K1031" s="62">
        <v>650</v>
      </c>
      <c r="L1031" s="62">
        <v>650</v>
      </c>
      <c r="M1031" s="232">
        <v>830</v>
      </c>
      <c r="N1031" s="55" t="s">
        <v>1592</v>
      </c>
      <c r="O1031" s="61" t="s">
        <v>52</v>
      </c>
      <c r="P1031" s="200"/>
      <c r="Q1031" s="200"/>
      <c r="R1031" s="200"/>
      <c r="S1031" s="200"/>
      <c r="T1031" s="66"/>
      <c r="U1031" s="66"/>
      <c r="V1031" s="66"/>
    </row>
    <row r="1032" spans="1:22" s="64" customFormat="1" x14ac:dyDescent="0.25">
      <c r="A1032" s="65" t="s">
        <v>1433</v>
      </c>
      <c r="B1032" s="511" t="s">
        <v>1446</v>
      </c>
      <c r="C1032" s="511"/>
      <c r="D1032" s="511"/>
      <c r="E1032" s="61" t="s">
        <v>1435</v>
      </c>
      <c r="F1032" s="61" t="s">
        <v>389</v>
      </c>
      <c r="G1032" s="61" t="s">
        <v>55</v>
      </c>
      <c r="H1032" s="61"/>
      <c r="I1032" s="61" t="s">
        <v>1366</v>
      </c>
      <c r="J1032" s="62">
        <v>585</v>
      </c>
      <c r="K1032" s="62">
        <v>650</v>
      </c>
      <c r="L1032" s="62">
        <v>650</v>
      </c>
      <c r="M1032" s="232">
        <v>830</v>
      </c>
      <c r="N1032" s="55" t="s">
        <v>1592</v>
      </c>
      <c r="O1032" s="61" t="s">
        <v>52</v>
      </c>
      <c r="P1032" s="200"/>
      <c r="Q1032" s="200"/>
      <c r="R1032" s="200"/>
      <c r="S1032" s="200"/>
      <c r="T1032" s="66"/>
      <c r="U1032" s="66"/>
      <c r="V1032" s="66"/>
    </row>
    <row r="1033" spans="1:22" s="64" customFormat="1" x14ac:dyDescent="0.25">
      <c r="A1033" s="65" t="s">
        <v>1433</v>
      </c>
      <c r="B1033" s="511" t="s">
        <v>1446</v>
      </c>
      <c r="C1033" s="511"/>
      <c r="D1033" s="511"/>
      <c r="E1033" s="61" t="s">
        <v>1447</v>
      </c>
      <c r="F1033" s="61" t="s">
        <v>56</v>
      </c>
      <c r="G1033" s="61" t="s">
        <v>55</v>
      </c>
      <c r="H1033" s="61"/>
      <c r="I1033" s="61" t="s">
        <v>1366</v>
      </c>
      <c r="J1033" s="62">
        <v>800</v>
      </c>
      <c r="K1033" s="62">
        <v>900</v>
      </c>
      <c r="L1033" s="62">
        <v>900</v>
      </c>
      <c r="M1033" s="232"/>
      <c r="N1033" s="55" t="s">
        <v>1592</v>
      </c>
      <c r="O1033" s="61" t="s">
        <v>52</v>
      </c>
      <c r="P1033" s="200"/>
      <c r="Q1033" s="200"/>
      <c r="R1033" s="200"/>
      <c r="S1033" s="200"/>
      <c r="T1033" s="66"/>
      <c r="U1033" s="66"/>
      <c r="V1033" s="66"/>
    </row>
    <row r="1034" spans="1:22" s="64" customFormat="1" x14ac:dyDescent="0.25">
      <c r="A1034" s="65" t="s">
        <v>1433</v>
      </c>
      <c r="B1034" s="511" t="s">
        <v>1448</v>
      </c>
      <c r="C1034" s="511"/>
      <c r="D1034" s="511"/>
      <c r="E1034" s="61" t="s">
        <v>1435</v>
      </c>
      <c r="F1034" s="61" t="s">
        <v>56</v>
      </c>
      <c r="G1034" s="61" t="s">
        <v>55</v>
      </c>
      <c r="H1034" s="61"/>
      <c r="I1034" s="61" t="s">
        <v>1366</v>
      </c>
      <c r="J1034" s="62">
        <v>440</v>
      </c>
      <c r="K1034" s="62">
        <v>505</v>
      </c>
      <c r="L1034" s="62">
        <v>505</v>
      </c>
      <c r="M1034" s="232"/>
      <c r="N1034" s="55" t="s">
        <v>1592</v>
      </c>
      <c r="O1034" s="61" t="s">
        <v>52</v>
      </c>
      <c r="P1034" s="200"/>
      <c r="Q1034" s="200"/>
      <c r="R1034" s="200"/>
      <c r="S1034" s="200"/>
      <c r="T1034" s="66"/>
      <c r="U1034" s="66"/>
      <c r="V1034" s="66"/>
    </row>
    <row r="1035" spans="1:22" s="64" customFormat="1" x14ac:dyDescent="0.25">
      <c r="A1035" s="65" t="s">
        <v>1433</v>
      </c>
      <c r="B1035" s="511" t="s">
        <v>1449</v>
      </c>
      <c r="C1035" s="511"/>
      <c r="D1035" s="511"/>
      <c r="E1035" s="61" t="s">
        <v>1435</v>
      </c>
      <c r="F1035" s="61" t="s">
        <v>54</v>
      </c>
      <c r="G1035" s="61" t="s">
        <v>55</v>
      </c>
      <c r="H1035" s="61"/>
      <c r="I1035" s="61" t="s">
        <v>1366</v>
      </c>
      <c r="J1035" s="62">
        <v>225</v>
      </c>
      <c r="K1035" s="62">
        <v>250</v>
      </c>
      <c r="L1035" s="62">
        <v>250</v>
      </c>
      <c r="M1035" s="232">
        <v>320</v>
      </c>
      <c r="N1035" s="55" t="s">
        <v>1592</v>
      </c>
      <c r="O1035" s="61" t="s">
        <v>52</v>
      </c>
      <c r="P1035" s="200"/>
      <c r="Q1035" s="200"/>
      <c r="R1035" s="200"/>
      <c r="S1035" s="200"/>
      <c r="T1035" s="66"/>
      <c r="U1035" s="66"/>
      <c r="V1035" s="66"/>
    </row>
    <row r="1036" spans="1:22" s="64" customFormat="1" x14ac:dyDescent="0.25">
      <c r="A1036" s="65" t="s">
        <v>1433</v>
      </c>
      <c r="B1036" s="511" t="s">
        <v>1450</v>
      </c>
      <c r="C1036" s="511"/>
      <c r="D1036" s="511"/>
      <c r="E1036" s="61" t="s">
        <v>1437</v>
      </c>
      <c r="F1036" s="61" t="s">
        <v>54</v>
      </c>
      <c r="G1036" s="61" t="s">
        <v>55</v>
      </c>
      <c r="H1036" s="61"/>
      <c r="I1036" s="61" t="s">
        <v>1366</v>
      </c>
      <c r="J1036" s="62">
        <v>135</v>
      </c>
      <c r="K1036" s="62">
        <v>150</v>
      </c>
      <c r="L1036" s="62">
        <v>150</v>
      </c>
      <c r="M1036" s="232">
        <v>190</v>
      </c>
      <c r="N1036" s="55" t="s">
        <v>1592</v>
      </c>
      <c r="O1036" s="61" t="s">
        <v>52</v>
      </c>
      <c r="P1036" s="200"/>
      <c r="Q1036" s="200"/>
      <c r="R1036" s="200"/>
      <c r="S1036" s="200"/>
      <c r="T1036" s="66"/>
      <c r="U1036" s="66"/>
      <c r="V1036" s="66"/>
    </row>
    <row r="1037" spans="1:22" s="64" customFormat="1" x14ac:dyDescent="0.25">
      <c r="A1037" s="65" t="s">
        <v>1433</v>
      </c>
      <c r="B1037" s="511" t="s">
        <v>1450</v>
      </c>
      <c r="C1037" s="511"/>
      <c r="D1037" s="511"/>
      <c r="E1037" s="61" t="s">
        <v>1438</v>
      </c>
      <c r="F1037" s="61" t="s">
        <v>389</v>
      </c>
      <c r="G1037" s="61" t="s">
        <v>55</v>
      </c>
      <c r="H1037" s="61"/>
      <c r="I1037" s="61" t="s">
        <v>1366</v>
      </c>
      <c r="J1037" s="62">
        <v>135</v>
      </c>
      <c r="K1037" s="62">
        <v>150</v>
      </c>
      <c r="L1037" s="62">
        <v>150</v>
      </c>
      <c r="M1037" s="232">
        <v>190</v>
      </c>
      <c r="N1037" s="55" t="s">
        <v>1592</v>
      </c>
      <c r="O1037" s="61" t="s">
        <v>52</v>
      </c>
      <c r="P1037" s="200"/>
      <c r="Q1037" s="200"/>
      <c r="R1037" s="200"/>
      <c r="S1037" s="200"/>
      <c r="T1037" s="66"/>
      <c r="U1037" s="66"/>
      <c r="V1037" s="66"/>
    </row>
    <row r="1038" spans="1:22" s="64" customFormat="1" x14ac:dyDescent="0.25">
      <c r="A1038" s="65" t="s">
        <v>1433</v>
      </c>
      <c r="B1038" s="511" t="s">
        <v>1450</v>
      </c>
      <c r="C1038" s="511"/>
      <c r="D1038" s="511"/>
      <c r="E1038" s="61" t="s">
        <v>1439</v>
      </c>
      <c r="F1038" s="61" t="s">
        <v>389</v>
      </c>
      <c r="G1038" s="61" t="s">
        <v>55</v>
      </c>
      <c r="H1038" s="61"/>
      <c r="I1038" s="61" t="s">
        <v>1366</v>
      </c>
      <c r="J1038" s="62">
        <v>135</v>
      </c>
      <c r="K1038" s="62">
        <v>150</v>
      </c>
      <c r="L1038" s="62">
        <v>150</v>
      </c>
      <c r="M1038" s="232">
        <v>190</v>
      </c>
      <c r="N1038" s="55" t="s">
        <v>1592</v>
      </c>
      <c r="O1038" s="61" t="s">
        <v>52</v>
      </c>
      <c r="P1038" s="200"/>
      <c r="Q1038" s="200"/>
      <c r="R1038" s="200"/>
      <c r="S1038" s="200"/>
      <c r="T1038" s="66"/>
      <c r="U1038" s="66"/>
      <c r="V1038" s="66"/>
    </row>
    <row r="1039" spans="1:22" s="64" customFormat="1" x14ac:dyDescent="0.25">
      <c r="A1039" s="65" t="s">
        <v>1433</v>
      </c>
      <c r="B1039" s="511" t="s">
        <v>1450</v>
      </c>
      <c r="C1039" s="511"/>
      <c r="D1039" s="511"/>
      <c r="E1039" s="61" t="s">
        <v>1437</v>
      </c>
      <c r="F1039" s="61" t="s">
        <v>389</v>
      </c>
      <c r="G1039" s="61" t="s">
        <v>55</v>
      </c>
      <c r="H1039" s="61"/>
      <c r="I1039" s="61" t="s">
        <v>1366</v>
      </c>
      <c r="J1039" s="62">
        <v>135</v>
      </c>
      <c r="K1039" s="62">
        <v>150</v>
      </c>
      <c r="L1039" s="62">
        <v>150</v>
      </c>
      <c r="M1039" s="232">
        <v>190</v>
      </c>
      <c r="N1039" s="55" t="s">
        <v>1592</v>
      </c>
      <c r="O1039" s="61" t="s">
        <v>52</v>
      </c>
      <c r="P1039" s="200"/>
      <c r="Q1039" s="200"/>
      <c r="R1039" s="200"/>
      <c r="S1039" s="200"/>
      <c r="T1039" s="66"/>
      <c r="U1039" s="66"/>
      <c r="V1039" s="66"/>
    </row>
    <row r="1040" spans="1:22" s="64" customFormat="1" x14ac:dyDescent="0.25">
      <c r="A1040" s="65" t="s">
        <v>1433</v>
      </c>
      <c r="B1040" s="511" t="s">
        <v>1450</v>
      </c>
      <c r="C1040" s="511"/>
      <c r="D1040" s="511"/>
      <c r="E1040" s="61" t="s">
        <v>1437</v>
      </c>
      <c r="F1040" s="61" t="s">
        <v>56</v>
      </c>
      <c r="G1040" s="61" t="s">
        <v>55</v>
      </c>
      <c r="H1040" s="61"/>
      <c r="I1040" s="61" t="s">
        <v>1366</v>
      </c>
      <c r="J1040" s="62">
        <v>230</v>
      </c>
      <c r="K1040" s="62">
        <v>255</v>
      </c>
      <c r="L1040" s="62">
        <v>255</v>
      </c>
      <c r="M1040" s="232">
        <v>200</v>
      </c>
      <c r="N1040" s="55" t="s">
        <v>1592</v>
      </c>
      <c r="O1040" s="61" t="s">
        <v>52</v>
      </c>
      <c r="P1040" s="200"/>
      <c r="Q1040" s="200"/>
      <c r="R1040" s="200"/>
      <c r="S1040" s="200"/>
      <c r="T1040" s="66"/>
      <c r="U1040" s="66"/>
      <c r="V1040" s="66"/>
    </row>
    <row r="1041" spans="1:22" s="64" customFormat="1" x14ac:dyDescent="0.25">
      <c r="A1041" s="65" t="s">
        <v>1433</v>
      </c>
      <c r="B1041" s="511" t="s">
        <v>1451</v>
      </c>
      <c r="C1041" s="511"/>
      <c r="D1041" s="511"/>
      <c r="E1041" s="61" t="s">
        <v>1437</v>
      </c>
      <c r="F1041" s="61" t="s">
        <v>54</v>
      </c>
      <c r="G1041" s="61" t="s">
        <v>55</v>
      </c>
      <c r="H1041" s="61"/>
      <c r="I1041" s="61" t="s">
        <v>1366</v>
      </c>
      <c r="J1041" s="62">
        <v>405</v>
      </c>
      <c r="K1041" s="62">
        <v>450</v>
      </c>
      <c r="L1041" s="62">
        <v>450</v>
      </c>
      <c r="M1041" s="232">
        <v>570</v>
      </c>
      <c r="N1041" s="55" t="s">
        <v>1592</v>
      </c>
      <c r="O1041" s="61" t="s">
        <v>52</v>
      </c>
      <c r="P1041" s="200"/>
      <c r="Q1041" s="200"/>
      <c r="R1041" s="200"/>
      <c r="S1041" s="200"/>
      <c r="T1041" s="66"/>
      <c r="U1041" s="66"/>
      <c r="V1041" s="66"/>
    </row>
    <row r="1042" spans="1:22" s="64" customFormat="1" x14ac:dyDescent="0.25">
      <c r="A1042" s="65" t="s">
        <v>1433</v>
      </c>
      <c r="B1042" s="511" t="s">
        <v>1451</v>
      </c>
      <c r="C1042" s="511"/>
      <c r="D1042" s="511"/>
      <c r="E1042" s="61" t="s">
        <v>1438</v>
      </c>
      <c r="F1042" s="61" t="s">
        <v>389</v>
      </c>
      <c r="G1042" s="61" t="s">
        <v>55</v>
      </c>
      <c r="H1042" s="61"/>
      <c r="I1042" s="61" t="s">
        <v>1366</v>
      </c>
      <c r="J1042" s="62">
        <v>405</v>
      </c>
      <c r="K1042" s="62">
        <v>450</v>
      </c>
      <c r="L1042" s="62">
        <v>450</v>
      </c>
      <c r="M1042" s="232">
        <v>570</v>
      </c>
      <c r="N1042" s="55" t="s">
        <v>1592</v>
      </c>
      <c r="O1042" s="61" t="s">
        <v>52</v>
      </c>
      <c r="P1042" s="200"/>
      <c r="Q1042" s="200"/>
      <c r="R1042" s="200"/>
      <c r="S1042" s="200"/>
      <c r="T1042" s="66"/>
      <c r="U1042" s="66"/>
      <c r="V1042" s="66"/>
    </row>
    <row r="1043" spans="1:22" s="64" customFormat="1" x14ac:dyDescent="0.25">
      <c r="A1043" s="65" t="s">
        <v>1433</v>
      </c>
      <c r="B1043" s="511" t="s">
        <v>1451</v>
      </c>
      <c r="C1043" s="511"/>
      <c r="D1043" s="511"/>
      <c r="E1043" s="61" t="s">
        <v>1439</v>
      </c>
      <c r="F1043" s="61" t="s">
        <v>389</v>
      </c>
      <c r="G1043" s="61" t="s">
        <v>55</v>
      </c>
      <c r="H1043" s="61"/>
      <c r="I1043" s="61" t="s">
        <v>1366</v>
      </c>
      <c r="J1043" s="62">
        <v>405</v>
      </c>
      <c r="K1043" s="62">
        <v>450</v>
      </c>
      <c r="L1043" s="62">
        <v>450</v>
      </c>
      <c r="M1043" s="232">
        <v>570</v>
      </c>
      <c r="N1043" s="55" t="s">
        <v>1592</v>
      </c>
      <c r="O1043" s="61" t="s">
        <v>52</v>
      </c>
      <c r="P1043" s="200"/>
      <c r="Q1043" s="200"/>
      <c r="R1043" s="200"/>
      <c r="S1043" s="200"/>
      <c r="T1043" s="66"/>
      <c r="U1043" s="66"/>
      <c r="V1043" s="66"/>
    </row>
    <row r="1044" spans="1:22" s="64" customFormat="1" x14ac:dyDescent="0.25">
      <c r="A1044" s="65" t="s">
        <v>1433</v>
      </c>
      <c r="B1044" s="511" t="s">
        <v>1451</v>
      </c>
      <c r="C1044" s="511"/>
      <c r="D1044" s="511"/>
      <c r="E1044" s="61" t="s">
        <v>1437</v>
      </c>
      <c r="F1044" s="61" t="s">
        <v>389</v>
      </c>
      <c r="G1044" s="61" t="s">
        <v>55</v>
      </c>
      <c r="H1044" s="61"/>
      <c r="I1044" s="61" t="s">
        <v>1366</v>
      </c>
      <c r="J1044" s="62">
        <v>405</v>
      </c>
      <c r="K1044" s="62">
        <v>450</v>
      </c>
      <c r="L1044" s="62">
        <v>450</v>
      </c>
      <c r="M1044" s="232">
        <v>570</v>
      </c>
      <c r="N1044" s="55" t="s">
        <v>1592</v>
      </c>
      <c r="O1044" s="61" t="s">
        <v>52</v>
      </c>
      <c r="P1044" s="200"/>
      <c r="Q1044" s="200"/>
      <c r="R1044" s="200"/>
      <c r="S1044" s="200"/>
      <c r="T1044" s="66"/>
      <c r="U1044" s="66"/>
      <c r="V1044" s="66"/>
    </row>
    <row r="1045" spans="1:22" s="64" customFormat="1" x14ac:dyDescent="0.25">
      <c r="A1045" s="65" t="s">
        <v>1433</v>
      </c>
      <c r="B1045" s="511" t="s">
        <v>1452</v>
      </c>
      <c r="C1045" s="511"/>
      <c r="D1045" s="511"/>
      <c r="E1045" s="61" t="s">
        <v>1435</v>
      </c>
      <c r="F1045" s="61" t="s">
        <v>54</v>
      </c>
      <c r="G1045" s="61" t="s">
        <v>55</v>
      </c>
      <c r="H1045" s="61"/>
      <c r="I1045" s="61" t="s">
        <v>1366</v>
      </c>
      <c r="J1045" s="62">
        <v>675</v>
      </c>
      <c r="K1045" s="62">
        <v>750</v>
      </c>
      <c r="L1045" s="62">
        <v>750</v>
      </c>
      <c r="M1045" s="232">
        <v>955</v>
      </c>
      <c r="N1045" s="55" t="s">
        <v>1592</v>
      </c>
      <c r="O1045" s="61" t="s">
        <v>52</v>
      </c>
      <c r="P1045" s="200"/>
      <c r="Q1045" s="200"/>
      <c r="R1045" s="200"/>
      <c r="S1045" s="200"/>
      <c r="T1045" s="66"/>
      <c r="U1045" s="66"/>
      <c r="V1045" s="66"/>
    </row>
    <row r="1046" spans="1:22" s="64" customFormat="1" x14ac:dyDescent="0.25">
      <c r="A1046" s="65" t="s">
        <v>1433</v>
      </c>
      <c r="B1046" s="511" t="s">
        <v>1452</v>
      </c>
      <c r="C1046" s="511"/>
      <c r="D1046" s="511"/>
      <c r="E1046" s="61" t="s">
        <v>1435</v>
      </c>
      <c r="F1046" s="61" t="s">
        <v>389</v>
      </c>
      <c r="G1046" s="61" t="s">
        <v>55</v>
      </c>
      <c r="H1046" s="61"/>
      <c r="I1046" s="61" t="s">
        <v>1366</v>
      </c>
      <c r="J1046" s="62">
        <v>675</v>
      </c>
      <c r="K1046" s="62">
        <v>750</v>
      </c>
      <c r="L1046" s="62">
        <v>750</v>
      </c>
      <c r="M1046" s="232">
        <v>955</v>
      </c>
      <c r="N1046" s="55" t="s">
        <v>1592</v>
      </c>
      <c r="O1046" s="61" t="s">
        <v>52</v>
      </c>
      <c r="P1046" s="200"/>
      <c r="Q1046" s="200"/>
      <c r="R1046" s="200"/>
      <c r="S1046" s="200"/>
      <c r="T1046" s="66"/>
      <c r="U1046" s="66"/>
      <c r="V1046" s="66"/>
    </row>
    <row r="1047" spans="1:22" s="64" customFormat="1" x14ac:dyDescent="0.25">
      <c r="A1047" s="65" t="s">
        <v>1433</v>
      </c>
      <c r="B1047" s="511" t="s">
        <v>1453</v>
      </c>
      <c r="C1047" s="511"/>
      <c r="D1047" s="511"/>
      <c r="E1047" s="61" t="s">
        <v>1437</v>
      </c>
      <c r="F1047" s="61" t="s">
        <v>54</v>
      </c>
      <c r="G1047" s="61" t="s">
        <v>55</v>
      </c>
      <c r="H1047" s="61"/>
      <c r="I1047" s="61" t="s">
        <v>1366</v>
      </c>
      <c r="J1047" s="62">
        <v>135</v>
      </c>
      <c r="K1047" s="62">
        <v>150</v>
      </c>
      <c r="L1047" s="62">
        <v>150</v>
      </c>
      <c r="M1047" s="232">
        <v>190</v>
      </c>
      <c r="N1047" s="55" t="s">
        <v>1592</v>
      </c>
      <c r="O1047" s="61" t="s">
        <v>52</v>
      </c>
      <c r="P1047" s="200"/>
      <c r="Q1047" s="200"/>
      <c r="R1047" s="200"/>
      <c r="S1047" s="200"/>
      <c r="T1047" s="66"/>
      <c r="U1047" s="66"/>
      <c r="V1047" s="66"/>
    </row>
    <row r="1048" spans="1:22" s="64" customFormat="1" x14ac:dyDescent="0.25">
      <c r="A1048" s="65" t="s">
        <v>1433</v>
      </c>
      <c r="B1048" s="511" t="s">
        <v>1454</v>
      </c>
      <c r="C1048" s="511"/>
      <c r="D1048" s="511"/>
      <c r="E1048" s="61" t="s">
        <v>1439</v>
      </c>
      <c r="F1048" s="61" t="s">
        <v>56</v>
      </c>
      <c r="G1048" s="61" t="s">
        <v>55</v>
      </c>
      <c r="H1048" s="61"/>
      <c r="I1048" s="61" t="s">
        <v>1366</v>
      </c>
      <c r="J1048" s="62">
        <v>535</v>
      </c>
      <c r="K1048" s="62">
        <v>685</v>
      </c>
      <c r="L1048" s="62">
        <v>685</v>
      </c>
      <c r="M1048" s="232"/>
      <c r="N1048" s="55" t="s">
        <v>1592</v>
      </c>
      <c r="O1048" s="61" t="s">
        <v>52</v>
      </c>
      <c r="P1048" s="200"/>
      <c r="Q1048" s="200"/>
      <c r="R1048" s="200"/>
      <c r="S1048" s="200"/>
      <c r="T1048" s="66"/>
      <c r="U1048" s="66"/>
      <c r="V1048" s="66"/>
    </row>
    <row r="1049" spans="1:22" s="64" customFormat="1" x14ac:dyDescent="0.25">
      <c r="A1049" s="65" t="s">
        <v>1433</v>
      </c>
      <c r="B1049" s="511" t="s">
        <v>1454</v>
      </c>
      <c r="C1049" s="511"/>
      <c r="D1049" s="511"/>
      <c r="E1049" s="61" t="s">
        <v>1455</v>
      </c>
      <c r="F1049" s="61" t="s">
        <v>56</v>
      </c>
      <c r="G1049" s="61" t="s">
        <v>55</v>
      </c>
      <c r="H1049" s="61"/>
      <c r="I1049" s="61" t="s">
        <v>1366</v>
      </c>
      <c r="J1049" s="62">
        <v>505</v>
      </c>
      <c r="K1049" s="62">
        <v>510</v>
      </c>
      <c r="L1049" s="62">
        <v>510</v>
      </c>
      <c r="M1049" s="232"/>
      <c r="N1049" s="55" t="s">
        <v>1592</v>
      </c>
      <c r="O1049" s="61" t="s">
        <v>52</v>
      </c>
      <c r="P1049" s="200"/>
      <c r="Q1049" s="200"/>
      <c r="R1049" s="200"/>
      <c r="S1049" s="200"/>
      <c r="T1049" s="66"/>
      <c r="U1049" s="66"/>
      <c r="V1049" s="66"/>
    </row>
    <row r="1050" spans="1:22" s="64" customFormat="1" x14ac:dyDescent="0.25">
      <c r="A1050" s="65" t="s">
        <v>1433</v>
      </c>
      <c r="B1050" s="511" t="s">
        <v>1454</v>
      </c>
      <c r="C1050" s="511"/>
      <c r="D1050" s="511"/>
      <c r="E1050" s="61" t="s">
        <v>1437</v>
      </c>
      <c r="F1050" s="61" t="s">
        <v>56</v>
      </c>
      <c r="G1050" s="61" t="s">
        <v>55</v>
      </c>
      <c r="H1050" s="61"/>
      <c r="I1050" s="61" t="s">
        <v>1366</v>
      </c>
      <c r="J1050" s="62">
        <v>445</v>
      </c>
      <c r="K1050" s="62">
        <v>595</v>
      </c>
      <c r="L1050" s="62">
        <v>595</v>
      </c>
      <c r="M1050" s="232"/>
      <c r="N1050" s="55" t="s">
        <v>1592</v>
      </c>
      <c r="O1050" s="61" t="s">
        <v>52</v>
      </c>
      <c r="P1050" s="200"/>
      <c r="Q1050" s="200"/>
      <c r="R1050" s="200"/>
      <c r="S1050" s="200"/>
      <c r="T1050" s="66"/>
      <c r="U1050" s="66"/>
      <c r="V1050" s="66"/>
    </row>
    <row r="1051" spans="1:22" s="64" customFormat="1" x14ac:dyDescent="0.25">
      <c r="A1051" s="65" t="s">
        <v>1433</v>
      </c>
      <c r="B1051" s="511" t="s">
        <v>1456</v>
      </c>
      <c r="C1051" s="511"/>
      <c r="D1051" s="511"/>
      <c r="E1051" s="61" t="s">
        <v>1437</v>
      </c>
      <c r="F1051" s="61" t="s">
        <v>54</v>
      </c>
      <c r="G1051" s="61" t="s">
        <v>55</v>
      </c>
      <c r="H1051" s="61"/>
      <c r="I1051" s="61" t="s">
        <v>1366</v>
      </c>
      <c r="J1051" s="62">
        <v>180</v>
      </c>
      <c r="K1051" s="62">
        <v>200</v>
      </c>
      <c r="L1051" s="62">
        <v>200</v>
      </c>
      <c r="M1051" s="232">
        <v>255</v>
      </c>
      <c r="N1051" s="55" t="s">
        <v>1592</v>
      </c>
      <c r="O1051" s="61" t="s">
        <v>52</v>
      </c>
      <c r="P1051" s="200"/>
      <c r="Q1051" s="200"/>
      <c r="R1051" s="200"/>
      <c r="S1051" s="200"/>
      <c r="T1051" s="66"/>
      <c r="U1051" s="66"/>
      <c r="V1051" s="66"/>
    </row>
    <row r="1052" spans="1:22" s="64" customFormat="1" x14ac:dyDescent="0.25">
      <c r="A1052" s="65" t="s">
        <v>1433</v>
      </c>
      <c r="B1052" s="511" t="s">
        <v>1456</v>
      </c>
      <c r="C1052" s="511"/>
      <c r="D1052" s="511"/>
      <c r="E1052" s="61" t="s">
        <v>1438</v>
      </c>
      <c r="F1052" s="61" t="s">
        <v>389</v>
      </c>
      <c r="G1052" s="61" t="s">
        <v>55</v>
      </c>
      <c r="H1052" s="61"/>
      <c r="I1052" s="61" t="s">
        <v>1366</v>
      </c>
      <c r="J1052" s="62">
        <v>180</v>
      </c>
      <c r="K1052" s="62">
        <v>200</v>
      </c>
      <c r="L1052" s="62">
        <v>200</v>
      </c>
      <c r="M1052" s="232">
        <v>255</v>
      </c>
      <c r="N1052" s="55" t="s">
        <v>1592</v>
      </c>
      <c r="O1052" s="61" t="s">
        <v>52</v>
      </c>
      <c r="P1052" s="200"/>
      <c r="Q1052" s="200"/>
      <c r="R1052" s="200"/>
      <c r="S1052" s="200"/>
      <c r="T1052" s="66"/>
      <c r="U1052" s="66"/>
      <c r="V1052" s="66"/>
    </row>
    <row r="1053" spans="1:22" s="64" customFormat="1" x14ac:dyDescent="0.25">
      <c r="A1053" s="65" t="s">
        <v>1433</v>
      </c>
      <c r="B1053" s="511" t="s">
        <v>1456</v>
      </c>
      <c r="C1053" s="511"/>
      <c r="D1053" s="511"/>
      <c r="E1053" s="61" t="s">
        <v>1439</v>
      </c>
      <c r="F1053" s="61" t="s">
        <v>389</v>
      </c>
      <c r="G1053" s="61" t="s">
        <v>55</v>
      </c>
      <c r="H1053" s="61"/>
      <c r="I1053" s="61" t="s">
        <v>1366</v>
      </c>
      <c r="J1053" s="62">
        <v>180</v>
      </c>
      <c r="K1053" s="62">
        <v>200</v>
      </c>
      <c r="L1053" s="62">
        <v>200</v>
      </c>
      <c r="M1053" s="232">
        <v>255</v>
      </c>
      <c r="N1053" s="55" t="s">
        <v>1592</v>
      </c>
      <c r="O1053" s="61" t="s">
        <v>52</v>
      </c>
      <c r="P1053" s="200"/>
      <c r="Q1053" s="200"/>
      <c r="R1053" s="200"/>
      <c r="S1053" s="200"/>
      <c r="T1053" s="66"/>
      <c r="U1053" s="66"/>
      <c r="V1053" s="66"/>
    </row>
    <row r="1054" spans="1:22" s="64" customFormat="1" x14ac:dyDescent="0.25">
      <c r="A1054" s="65" t="s">
        <v>1433</v>
      </c>
      <c r="B1054" s="511" t="s">
        <v>1456</v>
      </c>
      <c r="C1054" s="511"/>
      <c r="D1054" s="511"/>
      <c r="E1054" s="61" t="s">
        <v>1437</v>
      </c>
      <c r="F1054" s="61" t="s">
        <v>389</v>
      </c>
      <c r="G1054" s="61" t="s">
        <v>55</v>
      </c>
      <c r="H1054" s="61"/>
      <c r="I1054" s="61" t="s">
        <v>1366</v>
      </c>
      <c r="J1054" s="62">
        <v>180</v>
      </c>
      <c r="K1054" s="62">
        <v>200</v>
      </c>
      <c r="L1054" s="62">
        <v>200</v>
      </c>
      <c r="M1054" s="232">
        <v>255</v>
      </c>
      <c r="N1054" s="55" t="s">
        <v>1592</v>
      </c>
      <c r="O1054" s="61" t="s">
        <v>52</v>
      </c>
      <c r="P1054" s="200"/>
      <c r="Q1054" s="200"/>
      <c r="R1054" s="200"/>
      <c r="S1054" s="200"/>
      <c r="T1054" s="66"/>
      <c r="U1054" s="66"/>
      <c r="V1054" s="66"/>
    </row>
    <row r="1055" spans="1:22" s="64" customFormat="1" x14ac:dyDescent="0.25">
      <c r="A1055" s="65" t="s">
        <v>1433</v>
      </c>
      <c r="B1055" s="511" t="s">
        <v>1655</v>
      </c>
      <c r="C1055" s="511"/>
      <c r="D1055" s="511"/>
      <c r="E1055" s="61" t="s">
        <v>1437</v>
      </c>
      <c r="F1055" s="61" t="s">
        <v>54</v>
      </c>
      <c r="G1055" s="61" t="s">
        <v>55</v>
      </c>
      <c r="H1055" s="61"/>
      <c r="I1055" s="61" t="s">
        <v>1366</v>
      </c>
      <c r="J1055" s="62">
        <v>225</v>
      </c>
      <c r="K1055" s="62">
        <v>250</v>
      </c>
      <c r="L1055" s="62">
        <v>250</v>
      </c>
      <c r="M1055" s="232">
        <v>320</v>
      </c>
      <c r="N1055" s="55" t="s">
        <v>1592</v>
      </c>
      <c r="O1055" s="61" t="s">
        <v>52</v>
      </c>
      <c r="P1055" s="200"/>
      <c r="Q1055" s="200"/>
      <c r="R1055" s="200"/>
      <c r="S1055" s="200"/>
      <c r="T1055" s="66"/>
      <c r="U1055" s="66"/>
      <c r="V1055" s="66"/>
    </row>
    <row r="1056" spans="1:22" s="64" customFormat="1" x14ac:dyDescent="0.25">
      <c r="A1056" s="65" t="s">
        <v>1433</v>
      </c>
      <c r="B1056" s="511" t="s">
        <v>1655</v>
      </c>
      <c r="C1056" s="511"/>
      <c r="D1056" s="511"/>
      <c r="E1056" s="61" t="s">
        <v>1438</v>
      </c>
      <c r="F1056" s="61" t="s">
        <v>389</v>
      </c>
      <c r="G1056" s="61" t="s">
        <v>55</v>
      </c>
      <c r="H1056" s="61"/>
      <c r="I1056" s="61" t="s">
        <v>1366</v>
      </c>
      <c r="J1056" s="62">
        <v>225</v>
      </c>
      <c r="K1056" s="62">
        <v>250</v>
      </c>
      <c r="L1056" s="62">
        <v>250</v>
      </c>
      <c r="M1056" s="232">
        <v>320</v>
      </c>
      <c r="N1056" s="55" t="s">
        <v>1592</v>
      </c>
      <c r="O1056" s="61" t="s">
        <v>52</v>
      </c>
      <c r="P1056" s="200"/>
      <c r="Q1056" s="200"/>
      <c r="R1056" s="200"/>
      <c r="S1056" s="200"/>
      <c r="T1056" s="66"/>
      <c r="U1056" s="66"/>
      <c r="V1056" s="66"/>
    </row>
    <row r="1057" spans="1:22" s="64" customFormat="1" x14ac:dyDescent="0.25">
      <c r="A1057" s="65" t="s">
        <v>1433</v>
      </c>
      <c r="B1057" s="511" t="s">
        <v>1655</v>
      </c>
      <c r="C1057" s="511"/>
      <c r="D1057" s="511"/>
      <c r="E1057" s="61" t="s">
        <v>1439</v>
      </c>
      <c r="F1057" s="61" t="s">
        <v>389</v>
      </c>
      <c r="G1057" s="61" t="s">
        <v>55</v>
      </c>
      <c r="H1057" s="61"/>
      <c r="I1057" s="61" t="s">
        <v>1366</v>
      </c>
      <c r="J1057" s="62">
        <v>225</v>
      </c>
      <c r="K1057" s="62">
        <v>250</v>
      </c>
      <c r="L1057" s="62">
        <v>250</v>
      </c>
      <c r="M1057" s="232">
        <v>320</v>
      </c>
      <c r="N1057" s="55" t="s">
        <v>1592</v>
      </c>
      <c r="O1057" s="61" t="s">
        <v>52</v>
      </c>
      <c r="P1057" s="200"/>
      <c r="Q1057" s="200"/>
      <c r="R1057" s="200"/>
      <c r="S1057" s="200"/>
      <c r="T1057" s="66"/>
      <c r="U1057" s="66"/>
      <c r="V1057" s="66"/>
    </row>
    <row r="1058" spans="1:22" s="64" customFormat="1" x14ac:dyDescent="0.25">
      <c r="A1058" s="65" t="s">
        <v>1433</v>
      </c>
      <c r="B1058" s="511" t="s">
        <v>1655</v>
      </c>
      <c r="C1058" s="511"/>
      <c r="D1058" s="511"/>
      <c r="E1058" s="61" t="s">
        <v>1437</v>
      </c>
      <c r="F1058" s="61" t="s">
        <v>389</v>
      </c>
      <c r="G1058" s="61" t="s">
        <v>55</v>
      </c>
      <c r="H1058" s="61"/>
      <c r="I1058" s="61" t="s">
        <v>1366</v>
      </c>
      <c r="J1058" s="62">
        <v>225</v>
      </c>
      <c r="K1058" s="62">
        <v>250</v>
      </c>
      <c r="L1058" s="62">
        <v>250</v>
      </c>
      <c r="M1058" s="232">
        <v>320</v>
      </c>
      <c r="N1058" s="55" t="s">
        <v>1592</v>
      </c>
      <c r="O1058" s="61" t="s">
        <v>52</v>
      </c>
      <c r="P1058" s="200"/>
      <c r="Q1058" s="200"/>
      <c r="R1058" s="200"/>
      <c r="S1058" s="200"/>
      <c r="T1058" s="66"/>
      <c r="U1058" s="66"/>
      <c r="V1058" s="66"/>
    </row>
    <row r="1059" spans="1:22" s="64" customFormat="1" x14ac:dyDescent="0.25">
      <c r="A1059" s="65" t="s">
        <v>1433</v>
      </c>
      <c r="B1059" s="511" t="s">
        <v>1458</v>
      </c>
      <c r="C1059" s="511"/>
      <c r="D1059" s="511"/>
      <c r="E1059" s="61" t="s">
        <v>1437</v>
      </c>
      <c r="F1059" s="61" t="s">
        <v>54</v>
      </c>
      <c r="G1059" s="61" t="s">
        <v>55</v>
      </c>
      <c r="H1059" s="61"/>
      <c r="I1059" s="61" t="s">
        <v>1366</v>
      </c>
      <c r="J1059" s="62">
        <v>270</v>
      </c>
      <c r="K1059" s="62">
        <v>300</v>
      </c>
      <c r="L1059" s="62">
        <v>300</v>
      </c>
      <c r="M1059" s="232">
        <v>385</v>
      </c>
      <c r="N1059" s="55" t="s">
        <v>1592</v>
      </c>
      <c r="O1059" s="61" t="s">
        <v>52</v>
      </c>
      <c r="P1059" s="200"/>
      <c r="Q1059" s="200"/>
      <c r="R1059" s="200"/>
      <c r="S1059" s="200"/>
      <c r="T1059" s="66"/>
      <c r="U1059" s="66"/>
      <c r="V1059" s="66"/>
    </row>
    <row r="1060" spans="1:22" s="64" customFormat="1" x14ac:dyDescent="0.25">
      <c r="A1060" s="65" t="s">
        <v>1433</v>
      </c>
      <c r="B1060" s="511" t="s">
        <v>1458</v>
      </c>
      <c r="C1060" s="511"/>
      <c r="D1060" s="511"/>
      <c r="E1060" s="61" t="s">
        <v>1438</v>
      </c>
      <c r="F1060" s="61" t="s">
        <v>389</v>
      </c>
      <c r="G1060" s="61" t="s">
        <v>55</v>
      </c>
      <c r="H1060" s="61"/>
      <c r="I1060" s="61" t="s">
        <v>1366</v>
      </c>
      <c r="J1060" s="62">
        <v>270</v>
      </c>
      <c r="K1060" s="62">
        <v>300</v>
      </c>
      <c r="L1060" s="62">
        <v>300</v>
      </c>
      <c r="M1060" s="232">
        <v>385</v>
      </c>
      <c r="N1060" s="55" t="s">
        <v>1592</v>
      </c>
      <c r="O1060" s="61" t="s">
        <v>52</v>
      </c>
      <c r="P1060" s="200"/>
      <c r="Q1060" s="200"/>
      <c r="R1060" s="200"/>
      <c r="S1060" s="200"/>
      <c r="T1060" s="66"/>
      <c r="U1060" s="66"/>
      <c r="V1060" s="66"/>
    </row>
    <row r="1061" spans="1:22" s="64" customFormat="1" x14ac:dyDescent="0.25">
      <c r="A1061" s="65" t="s">
        <v>1433</v>
      </c>
      <c r="B1061" s="511" t="s">
        <v>1458</v>
      </c>
      <c r="C1061" s="511"/>
      <c r="D1061" s="511"/>
      <c r="E1061" s="61" t="s">
        <v>1439</v>
      </c>
      <c r="F1061" s="61" t="s">
        <v>389</v>
      </c>
      <c r="G1061" s="61" t="s">
        <v>55</v>
      </c>
      <c r="H1061" s="61"/>
      <c r="I1061" s="61" t="s">
        <v>1366</v>
      </c>
      <c r="J1061" s="62">
        <v>270</v>
      </c>
      <c r="K1061" s="62">
        <v>300</v>
      </c>
      <c r="L1061" s="62">
        <v>300</v>
      </c>
      <c r="M1061" s="232">
        <v>385</v>
      </c>
      <c r="N1061" s="55" t="s">
        <v>1592</v>
      </c>
      <c r="O1061" s="61" t="s">
        <v>52</v>
      </c>
      <c r="P1061" s="200"/>
      <c r="Q1061" s="200"/>
      <c r="R1061" s="200"/>
      <c r="S1061" s="200"/>
      <c r="T1061" s="66"/>
      <c r="U1061" s="66"/>
      <c r="V1061" s="66"/>
    </row>
    <row r="1062" spans="1:22" s="64" customFormat="1" x14ac:dyDescent="0.25">
      <c r="A1062" s="65" t="s">
        <v>1433</v>
      </c>
      <c r="B1062" s="511" t="s">
        <v>1458</v>
      </c>
      <c r="C1062" s="511"/>
      <c r="D1062" s="511"/>
      <c r="E1062" s="61" t="s">
        <v>1437</v>
      </c>
      <c r="F1062" s="61" t="s">
        <v>389</v>
      </c>
      <c r="G1062" s="61" t="s">
        <v>55</v>
      </c>
      <c r="H1062" s="61"/>
      <c r="I1062" s="61" t="s">
        <v>1366</v>
      </c>
      <c r="J1062" s="62">
        <v>270</v>
      </c>
      <c r="K1062" s="62">
        <v>300</v>
      </c>
      <c r="L1062" s="62">
        <v>300</v>
      </c>
      <c r="M1062" s="232">
        <v>385</v>
      </c>
      <c r="N1062" s="55" t="s">
        <v>1592</v>
      </c>
      <c r="O1062" s="61" t="s">
        <v>52</v>
      </c>
      <c r="P1062" s="200"/>
      <c r="Q1062" s="200"/>
      <c r="R1062" s="200"/>
      <c r="S1062" s="200"/>
      <c r="T1062" s="66"/>
      <c r="U1062" s="66"/>
      <c r="V1062" s="66"/>
    </row>
    <row r="1063" spans="1:22" s="64" customFormat="1" x14ac:dyDescent="0.25">
      <c r="A1063" s="65" t="s">
        <v>1433</v>
      </c>
      <c r="B1063" s="511" t="s">
        <v>1459</v>
      </c>
      <c r="C1063" s="511"/>
      <c r="D1063" s="511"/>
      <c r="E1063" s="61" t="s">
        <v>1447</v>
      </c>
      <c r="F1063" s="61" t="s">
        <v>56</v>
      </c>
      <c r="G1063" s="61" t="s">
        <v>55</v>
      </c>
      <c r="H1063" s="61"/>
      <c r="I1063" s="61" t="s">
        <v>1366</v>
      </c>
      <c r="J1063" s="62">
        <v>195</v>
      </c>
      <c r="K1063" s="62">
        <v>220</v>
      </c>
      <c r="L1063" s="62">
        <v>220</v>
      </c>
      <c r="M1063" s="232"/>
      <c r="N1063" s="55" t="s">
        <v>1592</v>
      </c>
      <c r="O1063" s="61" t="s">
        <v>52</v>
      </c>
      <c r="P1063" s="200"/>
      <c r="Q1063" s="200"/>
      <c r="R1063" s="200"/>
      <c r="S1063" s="200"/>
      <c r="T1063" s="66"/>
      <c r="U1063" s="66"/>
      <c r="V1063" s="66"/>
    </row>
    <row r="1064" spans="1:22" s="64" customFormat="1" x14ac:dyDescent="0.25">
      <c r="A1064" s="65" t="s">
        <v>1433</v>
      </c>
      <c r="B1064" s="511" t="s">
        <v>1460</v>
      </c>
      <c r="C1064" s="511"/>
      <c r="D1064" s="511"/>
      <c r="E1064" s="61" t="s">
        <v>1447</v>
      </c>
      <c r="F1064" s="61" t="s">
        <v>56</v>
      </c>
      <c r="G1064" s="61" t="s">
        <v>55</v>
      </c>
      <c r="H1064" s="61"/>
      <c r="I1064" s="61" t="s">
        <v>1366</v>
      </c>
      <c r="J1064" s="62">
        <v>360</v>
      </c>
      <c r="K1064" s="62">
        <v>330</v>
      </c>
      <c r="L1064" s="62">
        <v>330</v>
      </c>
      <c r="M1064" s="232"/>
      <c r="N1064" s="55" t="s">
        <v>1592</v>
      </c>
      <c r="O1064" s="61" t="s">
        <v>52</v>
      </c>
      <c r="P1064" s="200"/>
      <c r="Q1064" s="200"/>
      <c r="R1064" s="200"/>
      <c r="S1064" s="200"/>
      <c r="T1064" s="66"/>
      <c r="U1064" s="66"/>
      <c r="V1064" s="66"/>
    </row>
    <row r="1065" spans="1:22" s="64" customFormat="1" x14ac:dyDescent="0.25">
      <c r="A1065" s="65" t="s">
        <v>1433</v>
      </c>
      <c r="B1065" s="511" t="s">
        <v>1461</v>
      </c>
      <c r="C1065" s="511"/>
      <c r="D1065" s="511"/>
      <c r="E1065" s="61" t="s">
        <v>1437</v>
      </c>
      <c r="F1065" s="61" t="s">
        <v>54</v>
      </c>
      <c r="G1065" s="61" t="s">
        <v>55</v>
      </c>
      <c r="H1065" s="61"/>
      <c r="I1065" s="61" t="s">
        <v>1366</v>
      </c>
      <c r="J1065" s="62">
        <v>180</v>
      </c>
      <c r="K1065" s="62">
        <v>200</v>
      </c>
      <c r="L1065" s="62">
        <v>200</v>
      </c>
      <c r="M1065" s="232">
        <v>255</v>
      </c>
      <c r="N1065" s="55" t="s">
        <v>1592</v>
      </c>
      <c r="O1065" s="61" t="s">
        <v>52</v>
      </c>
      <c r="P1065" s="200"/>
      <c r="Q1065" s="200"/>
      <c r="R1065" s="200"/>
      <c r="S1065" s="200"/>
      <c r="T1065" s="66"/>
      <c r="U1065" s="66"/>
      <c r="V1065" s="66"/>
    </row>
    <row r="1066" spans="1:22" s="64" customFormat="1" x14ac:dyDescent="0.25">
      <c r="A1066" s="65" t="s">
        <v>1433</v>
      </c>
      <c r="B1066" s="511" t="s">
        <v>1461</v>
      </c>
      <c r="C1066" s="511"/>
      <c r="D1066" s="511"/>
      <c r="E1066" s="61" t="s">
        <v>1438</v>
      </c>
      <c r="F1066" s="61" t="s">
        <v>389</v>
      </c>
      <c r="G1066" s="61" t="s">
        <v>55</v>
      </c>
      <c r="H1066" s="61"/>
      <c r="I1066" s="61" t="s">
        <v>1366</v>
      </c>
      <c r="J1066" s="62">
        <v>180</v>
      </c>
      <c r="K1066" s="62">
        <v>200</v>
      </c>
      <c r="L1066" s="62">
        <v>200</v>
      </c>
      <c r="M1066" s="232">
        <v>255</v>
      </c>
      <c r="N1066" s="55" t="s">
        <v>1592</v>
      </c>
      <c r="O1066" s="61" t="s">
        <v>52</v>
      </c>
      <c r="P1066" s="200"/>
      <c r="Q1066" s="200"/>
      <c r="R1066" s="200"/>
      <c r="S1066" s="200"/>
      <c r="T1066" s="66"/>
      <c r="U1066" s="66"/>
      <c r="V1066" s="66"/>
    </row>
    <row r="1067" spans="1:22" s="64" customFormat="1" x14ac:dyDescent="0.25">
      <c r="A1067" s="65" t="s">
        <v>1433</v>
      </c>
      <c r="B1067" s="511" t="s">
        <v>1461</v>
      </c>
      <c r="C1067" s="511"/>
      <c r="D1067" s="511"/>
      <c r="E1067" s="61" t="s">
        <v>1439</v>
      </c>
      <c r="F1067" s="61" t="s">
        <v>389</v>
      </c>
      <c r="G1067" s="61" t="s">
        <v>55</v>
      </c>
      <c r="H1067" s="61"/>
      <c r="I1067" s="61" t="s">
        <v>1366</v>
      </c>
      <c r="J1067" s="62">
        <v>180</v>
      </c>
      <c r="K1067" s="62">
        <v>200</v>
      </c>
      <c r="L1067" s="62">
        <v>200</v>
      </c>
      <c r="M1067" s="232">
        <v>255</v>
      </c>
      <c r="N1067" s="55" t="s">
        <v>1592</v>
      </c>
      <c r="O1067" s="61" t="s">
        <v>52</v>
      </c>
      <c r="P1067" s="200"/>
      <c r="Q1067" s="200"/>
      <c r="R1067" s="200"/>
      <c r="S1067" s="200"/>
      <c r="T1067" s="66"/>
      <c r="U1067" s="66"/>
      <c r="V1067" s="66"/>
    </row>
    <row r="1068" spans="1:22" s="64" customFormat="1" x14ac:dyDescent="0.25">
      <c r="A1068" s="65" t="s">
        <v>1433</v>
      </c>
      <c r="B1068" s="511" t="s">
        <v>1461</v>
      </c>
      <c r="C1068" s="511"/>
      <c r="D1068" s="511"/>
      <c r="E1068" s="61" t="s">
        <v>1437</v>
      </c>
      <c r="F1068" s="61" t="s">
        <v>389</v>
      </c>
      <c r="G1068" s="61" t="s">
        <v>55</v>
      </c>
      <c r="H1068" s="61"/>
      <c r="I1068" s="61" t="s">
        <v>1366</v>
      </c>
      <c r="J1068" s="62">
        <v>180</v>
      </c>
      <c r="K1068" s="62">
        <v>200</v>
      </c>
      <c r="L1068" s="62">
        <v>200</v>
      </c>
      <c r="M1068" s="232">
        <v>255</v>
      </c>
      <c r="N1068" s="55" t="s">
        <v>1592</v>
      </c>
      <c r="O1068" s="61" t="s">
        <v>52</v>
      </c>
      <c r="P1068" s="200"/>
      <c r="Q1068" s="200"/>
      <c r="R1068" s="200"/>
      <c r="S1068" s="200"/>
      <c r="T1068" s="66"/>
      <c r="U1068" s="66"/>
      <c r="V1068" s="66"/>
    </row>
    <row r="1069" spans="1:22" s="64" customFormat="1" x14ac:dyDescent="0.25">
      <c r="A1069" s="65" t="s">
        <v>1433</v>
      </c>
      <c r="B1069" s="511" t="s">
        <v>1462</v>
      </c>
      <c r="C1069" s="511"/>
      <c r="D1069" s="511"/>
      <c r="E1069" s="61" t="s">
        <v>1437</v>
      </c>
      <c r="F1069" s="61" t="s">
        <v>54</v>
      </c>
      <c r="G1069" s="61" t="s">
        <v>55</v>
      </c>
      <c r="H1069" s="61"/>
      <c r="I1069" s="61" t="s">
        <v>1366</v>
      </c>
      <c r="J1069" s="62">
        <v>90</v>
      </c>
      <c r="K1069" s="62">
        <v>100</v>
      </c>
      <c r="L1069" s="62">
        <v>100</v>
      </c>
      <c r="M1069" s="232">
        <v>130</v>
      </c>
      <c r="N1069" s="55" t="s">
        <v>1592</v>
      </c>
      <c r="O1069" s="61" t="s">
        <v>52</v>
      </c>
      <c r="P1069" s="200"/>
      <c r="Q1069" s="200"/>
      <c r="R1069" s="200"/>
      <c r="S1069" s="200"/>
      <c r="T1069" s="66"/>
      <c r="U1069" s="66"/>
      <c r="V1069" s="66"/>
    </row>
    <row r="1070" spans="1:22" s="64" customFormat="1" x14ac:dyDescent="0.25">
      <c r="A1070" s="65" t="s">
        <v>1433</v>
      </c>
      <c r="B1070" s="511" t="s">
        <v>1462</v>
      </c>
      <c r="C1070" s="511"/>
      <c r="D1070" s="511"/>
      <c r="E1070" s="61" t="s">
        <v>1438</v>
      </c>
      <c r="F1070" s="61" t="s">
        <v>389</v>
      </c>
      <c r="G1070" s="61" t="s">
        <v>55</v>
      </c>
      <c r="H1070" s="61"/>
      <c r="I1070" s="61" t="s">
        <v>1366</v>
      </c>
      <c r="J1070" s="62">
        <v>90</v>
      </c>
      <c r="K1070" s="62">
        <v>100</v>
      </c>
      <c r="L1070" s="62">
        <v>100</v>
      </c>
      <c r="M1070" s="232">
        <v>130</v>
      </c>
      <c r="N1070" s="55" t="s">
        <v>1592</v>
      </c>
      <c r="O1070" s="61" t="s">
        <v>52</v>
      </c>
      <c r="P1070" s="200"/>
      <c r="Q1070" s="200"/>
      <c r="R1070" s="200"/>
      <c r="S1070" s="200"/>
      <c r="T1070" s="66"/>
      <c r="U1070" s="66"/>
      <c r="V1070" s="66"/>
    </row>
    <row r="1071" spans="1:22" s="64" customFormat="1" x14ac:dyDescent="0.25">
      <c r="A1071" s="65" t="s">
        <v>1433</v>
      </c>
      <c r="B1071" s="511" t="s">
        <v>1462</v>
      </c>
      <c r="C1071" s="511"/>
      <c r="D1071" s="511"/>
      <c r="E1071" s="61" t="s">
        <v>1439</v>
      </c>
      <c r="F1071" s="61" t="s">
        <v>389</v>
      </c>
      <c r="G1071" s="61" t="s">
        <v>55</v>
      </c>
      <c r="H1071" s="61"/>
      <c r="I1071" s="61" t="s">
        <v>1366</v>
      </c>
      <c r="J1071" s="62">
        <v>90</v>
      </c>
      <c r="K1071" s="62">
        <v>100</v>
      </c>
      <c r="L1071" s="62">
        <v>100</v>
      </c>
      <c r="M1071" s="232">
        <v>130</v>
      </c>
      <c r="N1071" s="55" t="s">
        <v>1592</v>
      </c>
      <c r="O1071" s="61" t="s">
        <v>52</v>
      </c>
      <c r="P1071" s="200"/>
      <c r="Q1071" s="200"/>
      <c r="R1071" s="200"/>
      <c r="S1071" s="200"/>
      <c r="T1071" s="66"/>
      <c r="U1071" s="66"/>
      <c r="V1071" s="66"/>
    </row>
    <row r="1072" spans="1:22" s="64" customFormat="1" x14ac:dyDescent="0.25">
      <c r="A1072" s="65" t="s">
        <v>1433</v>
      </c>
      <c r="B1072" s="511" t="s">
        <v>1462</v>
      </c>
      <c r="C1072" s="511"/>
      <c r="D1072" s="511"/>
      <c r="E1072" s="61" t="s">
        <v>1437</v>
      </c>
      <c r="F1072" s="61" t="s">
        <v>389</v>
      </c>
      <c r="G1072" s="61" t="s">
        <v>55</v>
      </c>
      <c r="H1072" s="61"/>
      <c r="I1072" s="61" t="s">
        <v>1366</v>
      </c>
      <c r="J1072" s="62">
        <v>90</v>
      </c>
      <c r="K1072" s="62">
        <v>100</v>
      </c>
      <c r="L1072" s="62">
        <v>100</v>
      </c>
      <c r="M1072" s="232">
        <v>130</v>
      </c>
      <c r="N1072" s="55" t="s">
        <v>1592</v>
      </c>
      <c r="O1072" s="61" t="s">
        <v>52</v>
      </c>
      <c r="P1072" s="200"/>
      <c r="Q1072" s="200"/>
      <c r="R1072" s="200"/>
      <c r="S1072" s="200"/>
      <c r="T1072" s="66"/>
      <c r="U1072" s="66"/>
      <c r="V1072" s="66"/>
    </row>
    <row r="1073" spans="1:22" s="64" customFormat="1" x14ac:dyDescent="0.25">
      <c r="A1073" s="65" t="s">
        <v>1433</v>
      </c>
      <c r="B1073" s="511" t="s">
        <v>1463</v>
      </c>
      <c r="C1073" s="511"/>
      <c r="D1073" s="511"/>
      <c r="E1073" s="61" t="s">
        <v>1435</v>
      </c>
      <c r="F1073" s="61" t="s">
        <v>54</v>
      </c>
      <c r="G1073" s="61" t="s">
        <v>55</v>
      </c>
      <c r="H1073" s="61"/>
      <c r="I1073" s="61" t="s">
        <v>1366</v>
      </c>
      <c r="J1073" s="62">
        <v>270</v>
      </c>
      <c r="K1073" s="62">
        <v>300</v>
      </c>
      <c r="L1073" s="62">
        <v>300</v>
      </c>
      <c r="M1073" s="232">
        <v>385</v>
      </c>
      <c r="N1073" s="55" t="s">
        <v>1592</v>
      </c>
      <c r="O1073" s="61" t="s">
        <v>52</v>
      </c>
      <c r="P1073" s="200"/>
      <c r="Q1073" s="200"/>
      <c r="R1073" s="200"/>
      <c r="S1073" s="200"/>
      <c r="T1073" s="66"/>
      <c r="U1073" s="66"/>
      <c r="V1073" s="66"/>
    </row>
    <row r="1074" spans="1:22" s="64" customFormat="1" x14ac:dyDescent="0.25">
      <c r="A1074" s="65" t="s">
        <v>1433</v>
      </c>
      <c r="B1074" s="511" t="s">
        <v>1463</v>
      </c>
      <c r="C1074" s="511"/>
      <c r="D1074" s="511"/>
      <c r="E1074" s="61" t="s">
        <v>1435</v>
      </c>
      <c r="F1074" s="61" t="s">
        <v>389</v>
      </c>
      <c r="G1074" s="61" t="s">
        <v>55</v>
      </c>
      <c r="H1074" s="61"/>
      <c r="I1074" s="61" t="s">
        <v>1366</v>
      </c>
      <c r="J1074" s="62">
        <v>270</v>
      </c>
      <c r="K1074" s="62">
        <v>300</v>
      </c>
      <c r="L1074" s="62">
        <v>300</v>
      </c>
      <c r="M1074" s="232">
        <v>385</v>
      </c>
      <c r="N1074" s="55" t="s">
        <v>1592</v>
      </c>
      <c r="O1074" s="61" t="s">
        <v>52</v>
      </c>
      <c r="P1074" s="200"/>
      <c r="Q1074" s="200"/>
      <c r="R1074" s="200"/>
      <c r="S1074" s="200"/>
      <c r="T1074" s="66"/>
      <c r="U1074" s="66"/>
      <c r="V1074" s="66"/>
    </row>
    <row r="1075" spans="1:22" s="64" customFormat="1" x14ac:dyDescent="0.25">
      <c r="A1075" s="65" t="s">
        <v>1433</v>
      </c>
      <c r="B1075" s="511" t="s">
        <v>1464</v>
      </c>
      <c r="C1075" s="511"/>
      <c r="D1075" s="511"/>
      <c r="E1075" s="61" t="s">
        <v>1447</v>
      </c>
      <c r="F1075" s="61" t="s">
        <v>56</v>
      </c>
      <c r="G1075" s="61" t="s">
        <v>55</v>
      </c>
      <c r="H1075" s="61"/>
      <c r="I1075" s="61" t="s">
        <v>1366</v>
      </c>
      <c r="J1075" s="62">
        <v>235</v>
      </c>
      <c r="K1075" s="62">
        <v>240</v>
      </c>
      <c r="L1075" s="62">
        <v>240</v>
      </c>
      <c r="M1075" s="232"/>
      <c r="N1075" s="55" t="s">
        <v>1592</v>
      </c>
      <c r="O1075" s="61" t="s">
        <v>52</v>
      </c>
      <c r="P1075" s="200"/>
      <c r="Q1075" s="200"/>
      <c r="R1075" s="200"/>
      <c r="S1075" s="200"/>
      <c r="T1075" s="66"/>
      <c r="U1075" s="66"/>
      <c r="V1075" s="66"/>
    </row>
    <row r="1076" spans="1:22" s="64" customFormat="1" x14ac:dyDescent="0.25">
      <c r="A1076" s="65" t="s">
        <v>1433</v>
      </c>
      <c r="B1076" s="511" t="s">
        <v>1465</v>
      </c>
      <c r="C1076" s="511"/>
      <c r="D1076" s="511"/>
      <c r="E1076" s="61" t="s">
        <v>1437</v>
      </c>
      <c r="F1076" s="61" t="s">
        <v>54</v>
      </c>
      <c r="G1076" s="61" t="s">
        <v>55</v>
      </c>
      <c r="H1076" s="61"/>
      <c r="I1076" s="61" t="s">
        <v>1366</v>
      </c>
      <c r="J1076" s="62">
        <v>180</v>
      </c>
      <c r="K1076" s="62">
        <v>200</v>
      </c>
      <c r="L1076" s="62">
        <v>200</v>
      </c>
      <c r="M1076" s="232">
        <v>250</v>
      </c>
      <c r="N1076" s="55" t="s">
        <v>1592</v>
      </c>
      <c r="O1076" s="61" t="s">
        <v>52</v>
      </c>
      <c r="P1076" s="200"/>
      <c r="Q1076" s="200"/>
      <c r="R1076" s="200"/>
      <c r="S1076" s="200"/>
      <c r="T1076" s="66"/>
      <c r="U1076" s="66"/>
      <c r="V1076" s="66"/>
    </row>
    <row r="1077" spans="1:22" s="64" customFormat="1" x14ac:dyDescent="0.25">
      <c r="A1077" s="65" t="s">
        <v>1433</v>
      </c>
      <c r="B1077" s="511" t="s">
        <v>1465</v>
      </c>
      <c r="C1077" s="511"/>
      <c r="D1077" s="511"/>
      <c r="E1077" s="61" t="s">
        <v>1438</v>
      </c>
      <c r="F1077" s="61" t="s">
        <v>389</v>
      </c>
      <c r="G1077" s="61" t="s">
        <v>55</v>
      </c>
      <c r="H1077" s="61"/>
      <c r="I1077" s="61" t="s">
        <v>1366</v>
      </c>
      <c r="J1077" s="62">
        <v>180</v>
      </c>
      <c r="K1077" s="62">
        <v>200</v>
      </c>
      <c r="L1077" s="62">
        <v>200</v>
      </c>
      <c r="M1077" s="232">
        <v>250</v>
      </c>
      <c r="N1077" s="55" t="s">
        <v>1592</v>
      </c>
      <c r="O1077" s="61" t="s">
        <v>52</v>
      </c>
      <c r="P1077" s="200"/>
      <c r="Q1077" s="200"/>
      <c r="R1077" s="200"/>
      <c r="S1077" s="200"/>
      <c r="T1077" s="66"/>
      <c r="U1077" s="66"/>
      <c r="V1077" s="66"/>
    </row>
    <row r="1078" spans="1:22" s="64" customFormat="1" x14ac:dyDescent="0.25">
      <c r="A1078" s="65" t="s">
        <v>1433</v>
      </c>
      <c r="B1078" s="511" t="s">
        <v>1465</v>
      </c>
      <c r="C1078" s="511"/>
      <c r="D1078" s="511"/>
      <c r="E1078" s="61" t="s">
        <v>1439</v>
      </c>
      <c r="F1078" s="61" t="s">
        <v>389</v>
      </c>
      <c r="G1078" s="61" t="s">
        <v>55</v>
      </c>
      <c r="H1078" s="61"/>
      <c r="I1078" s="61" t="s">
        <v>1366</v>
      </c>
      <c r="J1078" s="62">
        <v>180</v>
      </c>
      <c r="K1078" s="62">
        <v>200</v>
      </c>
      <c r="L1078" s="62">
        <v>200</v>
      </c>
      <c r="M1078" s="232">
        <v>250</v>
      </c>
      <c r="N1078" s="55" t="s">
        <v>1592</v>
      </c>
      <c r="O1078" s="61" t="s">
        <v>52</v>
      </c>
      <c r="P1078" s="200"/>
      <c r="Q1078" s="200"/>
      <c r="R1078" s="200"/>
      <c r="S1078" s="200"/>
      <c r="T1078" s="66"/>
      <c r="U1078" s="66"/>
      <c r="V1078" s="66"/>
    </row>
    <row r="1079" spans="1:22" s="64" customFormat="1" x14ac:dyDescent="0.25">
      <c r="A1079" s="65" t="s">
        <v>1433</v>
      </c>
      <c r="B1079" s="511" t="s">
        <v>1465</v>
      </c>
      <c r="C1079" s="511"/>
      <c r="D1079" s="511"/>
      <c r="E1079" s="61" t="s">
        <v>1437</v>
      </c>
      <c r="F1079" s="61" t="s">
        <v>389</v>
      </c>
      <c r="G1079" s="61" t="s">
        <v>55</v>
      </c>
      <c r="H1079" s="61"/>
      <c r="I1079" s="61" t="s">
        <v>1366</v>
      </c>
      <c r="J1079" s="62">
        <v>180</v>
      </c>
      <c r="K1079" s="62">
        <v>200</v>
      </c>
      <c r="L1079" s="62">
        <v>200</v>
      </c>
      <c r="M1079" s="232">
        <v>250</v>
      </c>
      <c r="N1079" s="55" t="s">
        <v>1592</v>
      </c>
      <c r="O1079" s="61" t="s">
        <v>52</v>
      </c>
      <c r="P1079" s="200"/>
      <c r="Q1079" s="200"/>
      <c r="R1079" s="200"/>
      <c r="S1079" s="200"/>
      <c r="T1079" s="66"/>
      <c r="U1079" s="66"/>
      <c r="V1079" s="66"/>
    </row>
    <row r="1080" spans="1:22" s="64" customFormat="1" x14ac:dyDescent="0.25">
      <c r="A1080" s="65" t="s">
        <v>1433</v>
      </c>
      <c r="B1080" s="511" t="s">
        <v>1466</v>
      </c>
      <c r="C1080" s="511"/>
      <c r="D1080" s="511"/>
      <c r="E1080" s="61" t="s">
        <v>1435</v>
      </c>
      <c r="F1080" s="61" t="s">
        <v>54</v>
      </c>
      <c r="G1080" s="61" t="s">
        <v>55</v>
      </c>
      <c r="H1080" s="61"/>
      <c r="I1080" s="61" t="s">
        <v>1366</v>
      </c>
      <c r="J1080" s="62">
        <v>270</v>
      </c>
      <c r="K1080" s="62">
        <v>300</v>
      </c>
      <c r="L1080" s="62">
        <v>300</v>
      </c>
      <c r="M1080" s="232">
        <v>385</v>
      </c>
      <c r="N1080" s="55" t="s">
        <v>1592</v>
      </c>
      <c r="O1080" s="61" t="s">
        <v>52</v>
      </c>
      <c r="P1080" s="200"/>
      <c r="Q1080" s="200"/>
      <c r="R1080" s="200"/>
      <c r="S1080" s="200"/>
      <c r="T1080" s="66"/>
      <c r="U1080" s="66"/>
      <c r="V1080" s="66"/>
    </row>
    <row r="1081" spans="1:22" s="64" customFormat="1" x14ac:dyDescent="0.25">
      <c r="A1081" s="65" t="s">
        <v>1433</v>
      </c>
      <c r="B1081" s="511" t="s">
        <v>1466</v>
      </c>
      <c r="C1081" s="511"/>
      <c r="D1081" s="511"/>
      <c r="E1081" s="61" t="s">
        <v>1435</v>
      </c>
      <c r="F1081" s="61" t="s">
        <v>389</v>
      </c>
      <c r="G1081" s="61" t="s">
        <v>55</v>
      </c>
      <c r="H1081" s="61"/>
      <c r="I1081" s="61" t="s">
        <v>1366</v>
      </c>
      <c r="J1081" s="62">
        <v>270</v>
      </c>
      <c r="K1081" s="62">
        <v>300</v>
      </c>
      <c r="L1081" s="62">
        <v>300</v>
      </c>
      <c r="M1081" s="232">
        <v>385</v>
      </c>
      <c r="N1081" s="55" t="s">
        <v>1592</v>
      </c>
      <c r="O1081" s="61" t="s">
        <v>52</v>
      </c>
      <c r="P1081" s="200"/>
      <c r="Q1081" s="200"/>
      <c r="R1081" s="200"/>
      <c r="S1081" s="200"/>
      <c r="T1081" s="66"/>
      <c r="U1081" s="66"/>
      <c r="V1081" s="66"/>
    </row>
    <row r="1082" spans="1:22" s="64" customFormat="1" x14ac:dyDescent="0.25">
      <c r="A1082" s="65" t="s">
        <v>1433</v>
      </c>
      <c r="B1082" s="511" t="s">
        <v>1469</v>
      </c>
      <c r="C1082" s="511"/>
      <c r="D1082" s="511"/>
      <c r="E1082" s="61" t="s">
        <v>1435</v>
      </c>
      <c r="F1082" s="61" t="s">
        <v>54</v>
      </c>
      <c r="G1082" s="61" t="s">
        <v>55</v>
      </c>
      <c r="H1082" s="61"/>
      <c r="I1082" s="61" t="s">
        <v>1366</v>
      </c>
      <c r="J1082" s="62">
        <v>360</v>
      </c>
      <c r="K1082" s="62">
        <v>400</v>
      </c>
      <c r="L1082" s="62">
        <v>400</v>
      </c>
      <c r="M1082" s="232">
        <v>510</v>
      </c>
      <c r="N1082" s="55" t="s">
        <v>1592</v>
      </c>
      <c r="O1082" s="61" t="s">
        <v>52</v>
      </c>
      <c r="P1082" s="200"/>
      <c r="Q1082" s="200"/>
      <c r="R1082" s="200"/>
      <c r="S1082" s="200"/>
      <c r="T1082" s="66"/>
      <c r="U1082" s="66"/>
      <c r="V1082" s="66"/>
    </row>
    <row r="1083" spans="1:22" s="64" customFormat="1" x14ac:dyDescent="0.25">
      <c r="A1083" s="65" t="s">
        <v>1433</v>
      </c>
      <c r="B1083" s="511" t="s">
        <v>1469</v>
      </c>
      <c r="C1083" s="511"/>
      <c r="D1083" s="511"/>
      <c r="E1083" s="61" t="s">
        <v>1435</v>
      </c>
      <c r="F1083" s="61" t="s">
        <v>389</v>
      </c>
      <c r="G1083" s="61" t="s">
        <v>55</v>
      </c>
      <c r="H1083" s="61"/>
      <c r="I1083" s="61" t="s">
        <v>1366</v>
      </c>
      <c r="J1083" s="62">
        <v>360</v>
      </c>
      <c r="K1083" s="62">
        <v>400</v>
      </c>
      <c r="L1083" s="62">
        <v>400</v>
      </c>
      <c r="M1083" s="232">
        <v>510</v>
      </c>
      <c r="N1083" s="55" t="s">
        <v>1592</v>
      </c>
      <c r="O1083" s="61" t="s">
        <v>52</v>
      </c>
      <c r="P1083" s="200"/>
      <c r="Q1083" s="200"/>
      <c r="R1083" s="200"/>
      <c r="S1083" s="200"/>
      <c r="T1083" s="66"/>
      <c r="U1083" s="66"/>
      <c r="V1083" s="66"/>
    </row>
    <row r="1084" spans="1:22" s="64" customFormat="1" x14ac:dyDescent="0.25">
      <c r="A1084" s="65" t="s">
        <v>1433</v>
      </c>
      <c r="B1084" s="511" t="s">
        <v>1470</v>
      </c>
      <c r="C1084" s="511"/>
      <c r="D1084" s="511"/>
      <c r="E1084" s="61" t="s">
        <v>1447</v>
      </c>
      <c r="F1084" s="61" t="s">
        <v>56</v>
      </c>
      <c r="G1084" s="61" t="s">
        <v>55</v>
      </c>
      <c r="H1084" s="61"/>
      <c r="I1084" s="61" t="s">
        <v>1366</v>
      </c>
      <c r="J1084" s="62">
        <v>255</v>
      </c>
      <c r="K1084" s="62">
        <v>270</v>
      </c>
      <c r="L1084" s="62">
        <v>270</v>
      </c>
      <c r="M1084" s="232">
        <v>320</v>
      </c>
      <c r="N1084" s="55" t="s">
        <v>1592</v>
      </c>
      <c r="O1084" s="61" t="s">
        <v>52</v>
      </c>
      <c r="P1084" s="200"/>
      <c r="Q1084" s="200"/>
      <c r="R1084" s="200"/>
      <c r="S1084" s="200"/>
      <c r="T1084" s="66"/>
      <c r="U1084" s="66"/>
      <c r="V1084" s="66"/>
    </row>
    <row r="1085" spans="1:22" s="64" customFormat="1" x14ac:dyDescent="0.25">
      <c r="A1085" s="65" t="s">
        <v>1433</v>
      </c>
      <c r="B1085" s="511" t="s">
        <v>1471</v>
      </c>
      <c r="C1085" s="511"/>
      <c r="D1085" s="511"/>
      <c r="E1085" s="61" t="s">
        <v>1447</v>
      </c>
      <c r="F1085" s="61" t="s">
        <v>56</v>
      </c>
      <c r="G1085" s="61" t="s">
        <v>55</v>
      </c>
      <c r="H1085" s="61"/>
      <c r="I1085" s="61" t="s">
        <v>1366</v>
      </c>
      <c r="J1085" s="62">
        <v>245</v>
      </c>
      <c r="K1085" s="62">
        <v>280</v>
      </c>
      <c r="L1085" s="62">
        <v>280</v>
      </c>
      <c r="M1085" s="232"/>
      <c r="N1085" s="55" t="s">
        <v>1592</v>
      </c>
      <c r="O1085" s="61" t="s">
        <v>52</v>
      </c>
      <c r="P1085" s="200"/>
      <c r="Q1085" s="200"/>
      <c r="R1085" s="200"/>
      <c r="S1085" s="200"/>
      <c r="T1085" s="66"/>
      <c r="U1085" s="66"/>
      <c r="V1085" s="66"/>
    </row>
    <row r="1086" spans="1:22" s="64" customFormat="1" x14ac:dyDescent="0.25">
      <c r="A1086" s="65" t="s">
        <v>1433</v>
      </c>
      <c r="B1086" s="511" t="s">
        <v>1472</v>
      </c>
      <c r="C1086" s="511"/>
      <c r="D1086" s="511"/>
      <c r="E1086" s="61" t="s">
        <v>1437</v>
      </c>
      <c r="F1086" s="61" t="s">
        <v>54</v>
      </c>
      <c r="G1086" s="61" t="s">
        <v>55</v>
      </c>
      <c r="H1086" s="61"/>
      <c r="I1086" s="61" t="s">
        <v>1366</v>
      </c>
      <c r="J1086" s="62">
        <v>225</v>
      </c>
      <c r="K1086" s="62">
        <v>250</v>
      </c>
      <c r="L1086" s="62">
        <v>250</v>
      </c>
      <c r="M1086" s="232">
        <v>320</v>
      </c>
      <c r="N1086" s="55" t="s">
        <v>1592</v>
      </c>
      <c r="O1086" s="61" t="s">
        <v>52</v>
      </c>
      <c r="P1086" s="200"/>
      <c r="Q1086" s="200"/>
      <c r="R1086" s="200"/>
      <c r="S1086" s="200"/>
      <c r="T1086" s="66"/>
      <c r="U1086" s="66"/>
      <c r="V1086" s="66"/>
    </row>
    <row r="1087" spans="1:22" s="64" customFormat="1" x14ac:dyDescent="0.25">
      <c r="A1087" s="65" t="s">
        <v>1433</v>
      </c>
      <c r="B1087" s="511" t="s">
        <v>1472</v>
      </c>
      <c r="C1087" s="511"/>
      <c r="D1087" s="511"/>
      <c r="E1087" s="61" t="s">
        <v>1438</v>
      </c>
      <c r="F1087" s="61" t="s">
        <v>389</v>
      </c>
      <c r="G1087" s="61" t="s">
        <v>55</v>
      </c>
      <c r="H1087" s="61"/>
      <c r="I1087" s="61" t="s">
        <v>1366</v>
      </c>
      <c r="J1087" s="62">
        <v>225</v>
      </c>
      <c r="K1087" s="62">
        <v>250</v>
      </c>
      <c r="L1087" s="62">
        <v>250</v>
      </c>
      <c r="M1087" s="232">
        <v>320</v>
      </c>
      <c r="N1087" s="55" t="s">
        <v>1592</v>
      </c>
      <c r="O1087" s="61" t="s">
        <v>52</v>
      </c>
      <c r="P1087" s="200"/>
      <c r="Q1087" s="200"/>
      <c r="R1087" s="200"/>
      <c r="S1087" s="200"/>
      <c r="T1087" s="66"/>
      <c r="U1087" s="66"/>
      <c r="V1087" s="66"/>
    </row>
    <row r="1088" spans="1:22" s="64" customFormat="1" x14ac:dyDescent="0.25">
      <c r="A1088" s="65" t="s">
        <v>1433</v>
      </c>
      <c r="B1088" s="511" t="s">
        <v>1472</v>
      </c>
      <c r="C1088" s="511"/>
      <c r="D1088" s="511"/>
      <c r="E1088" s="61" t="s">
        <v>1439</v>
      </c>
      <c r="F1088" s="61" t="s">
        <v>389</v>
      </c>
      <c r="G1088" s="61" t="s">
        <v>55</v>
      </c>
      <c r="H1088" s="61"/>
      <c r="I1088" s="61" t="s">
        <v>1366</v>
      </c>
      <c r="J1088" s="62">
        <v>225</v>
      </c>
      <c r="K1088" s="62">
        <v>250</v>
      </c>
      <c r="L1088" s="62">
        <v>250</v>
      </c>
      <c r="M1088" s="232">
        <v>320</v>
      </c>
      <c r="N1088" s="55" t="s">
        <v>1592</v>
      </c>
      <c r="O1088" s="61" t="s">
        <v>52</v>
      </c>
      <c r="P1088" s="200"/>
      <c r="Q1088" s="200"/>
      <c r="R1088" s="200"/>
      <c r="S1088" s="200"/>
      <c r="T1088" s="66"/>
      <c r="U1088" s="66"/>
      <c r="V1088" s="66"/>
    </row>
    <row r="1089" spans="1:22" s="64" customFormat="1" x14ac:dyDescent="0.25">
      <c r="A1089" s="65" t="s">
        <v>1433</v>
      </c>
      <c r="B1089" s="511" t="s">
        <v>1472</v>
      </c>
      <c r="C1089" s="511"/>
      <c r="D1089" s="511"/>
      <c r="E1089" s="61" t="s">
        <v>1437</v>
      </c>
      <c r="F1089" s="61" t="s">
        <v>389</v>
      </c>
      <c r="G1089" s="61" t="s">
        <v>55</v>
      </c>
      <c r="H1089" s="61"/>
      <c r="I1089" s="61" t="s">
        <v>1366</v>
      </c>
      <c r="J1089" s="62">
        <v>225</v>
      </c>
      <c r="K1089" s="62">
        <v>250</v>
      </c>
      <c r="L1089" s="62">
        <v>250</v>
      </c>
      <c r="M1089" s="232">
        <v>320</v>
      </c>
      <c r="N1089" s="55" t="s">
        <v>1592</v>
      </c>
      <c r="O1089" s="61" t="s">
        <v>52</v>
      </c>
      <c r="P1089" s="200"/>
      <c r="Q1089" s="200"/>
      <c r="R1089" s="200"/>
      <c r="S1089" s="200"/>
      <c r="T1089" s="66"/>
      <c r="U1089" s="66"/>
      <c r="V1089" s="66"/>
    </row>
    <row r="1090" spans="1:22" s="64" customFormat="1" x14ac:dyDescent="0.25">
      <c r="A1090" s="65" t="s">
        <v>1433</v>
      </c>
      <c r="B1090" s="511" t="s">
        <v>1473</v>
      </c>
      <c r="C1090" s="511"/>
      <c r="D1090" s="511"/>
      <c r="E1090" s="61" t="s">
        <v>1435</v>
      </c>
      <c r="F1090" s="61" t="s">
        <v>54</v>
      </c>
      <c r="G1090" s="61" t="s">
        <v>55</v>
      </c>
      <c r="H1090" s="61"/>
      <c r="I1090" s="61" t="s">
        <v>1366</v>
      </c>
      <c r="J1090" s="62">
        <v>225</v>
      </c>
      <c r="K1090" s="62">
        <v>250</v>
      </c>
      <c r="L1090" s="62">
        <v>250</v>
      </c>
      <c r="M1090" s="232">
        <v>320</v>
      </c>
      <c r="N1090" s="55" t="s">
        <v>1592</v>
      </c>
      <c r="O1090" s="61" t="s">
        <v>52</v>
      </c>
      <c r="P1090" s="200"/>
      <c r="Q1090" s="200"/>
      <c r="R1090" s="200"/>
      <c r="S1090" s="200"/>
      <c r="T1090" s="66"/>
      <c r="U1090" s="66"/>
      <c r="V1090" s="66"/>
    </row>
    <row r="1091" spans="1:22" s="64" customFormat="1" x14ac:dyDescent="0.25">
      <c r="A1091" s="65" t="s">
        <v>1433</v>
      </c>
      <c r="B1091" s="511" t="s">
        <v>1473</v>
      </c>
      <c r="C1091" s="511"/>
      <c r="D1091" s="511"/>
      <c r="E1091" s="61" t="s">
        <v>1435</v>
      </c>
      <c r="F1091" s="61" t="s">
        <v>389</v>
      </c>
      <c r="G1091" s="61" t="s">
        <v>55</v>
      </c>
      <c r="H1091" s="61"/>
      <c r="I1091" s="61" t="s">
        <v>1366</v>
      </c>
      <c r="J1091" s="62">
        <v>225</v>
      </c>
      <c r="K1091" s="62">
        <v>250</v>
      </c>
      <c r="L1091" s="62">
        <v>250</v>
      </c>
      <c r="M1091" s="232">
        <v>320</v>
      </c>
      <c r="N1091" s="55" t="s">
        <v>1592</v>
      </c>
      <c r="O1091" s="61" t="s">
        <v>52</v>
      </c>
      <c r="P1091" s="200"/>
      <c r="Q1091" s="200"/>
      <c r="R1091" s="200"/>
      <c r="S1091" s="200"/>
      <c r="T1091" s="66"/>
      <c r="U1091" s="66"/>
      <c r="V1091" s="66"/>
    </row>
    <row r="1092" spans="1:22" s="64" customFormat="1" x14ac:dyDescent="0.25">
      <c r="A1092" s="65" t="s">
        <v>1433</v>
      </c>
      <c r="B1092" s="511" t="s">
        <v>1474</v>
      </c>
      <c r="C1092" s="511"/>
      <c r="D1092" s="511"/>
      <c r="E1092" s="61" t="s">
        <v>1435</v>
      </c>
      <c r="F1092" s="61" t="s">
        <v>54</v>
      </c>
      <c r="G1092" s="61" t="s">
        <v>55</v>
      </c>
      <c r="H1092" s="61"/>
      <c r="I1092" s="61" t="s">
        <v>1366</v>
      </c>
      <c r="J1092" s="62">
        <v>225</v>
      </c>
      <c r="K1092" s="62">
        <v>250</v>
      </c>
      <c r="L1092" s="62">
        <v>250</v>
      </c>
      <c r="M1092" s="232">
        <v>320</v>
      </c>
      <c r="N1092" s="55" t="s">
        <v>1592</v>
      </c>
      <c r="O1092" s="61" t="s">
        <v>52</v>
      </c>
      <c r="P1092" s="200"/>
      <c r="Q1092" s="200"/>
      <c r="R1092" s="200"/>
      <c r="S1092" s="200"/>
      <c r="T1092" s="66"/>
      <c r="U1092" s="66"/>
      <c r="V1092" s="66"/>
    </row>
    <row r="1093" spans="1:22" s="64" customFormat="1" x14ac:dyDescent="0.25">
      <c r="A1093" s="65" t="s">
        <v>1433</v>
      </c>
      <c r="B1093" s="511" t="s">
        <v>1476</v>
      </c>
      <c r="C1093" s="511"/>
      <c r="D1093" s="511"/>
      <c r="E1093" s="61" t="s">
        <v>1435</v>
      </c>
      <c r="F1093" s="61" t="s">
        <v>54</v>
      </c>
      <c r="G1093" s="61" t="s">
        <v>55</v>
      </c>
      <c r="H1093" s="61"/>
      <c r="I1093" s="61" t="s">
        <v>1366</v>
      </c>
      <c r="J1093" s="62">
        <v>630</v>
      </c>
      <c r="K1093" s="62">
        <v>700</v>
      </c>
      <c r="L1093" s="62">
        <v>700</v>
      </c>
      <c r="M1093" s="232">
        <v>890</v>
      </c>
      <c r="N1093" s="55" t="s">
        <v>1592</v>
      </c>
      <c r="O1093" s="61" t="s">
        <v>52</v>
      </c>
      <c r="P1093" s="200"/>
      <c r="Q1093" s="200"/>
      <c r="R1093" s="200"/>
      <c r="S1093" s="200"/>
      <c r="T1093" s="66"/>
      <c r="U1093" s="66"/>
      <c r="V1093" s="66"/>
    </row>
    <row r="1094" spans="1:22" s="64" customFormat="1" x14ac:dyDescent="0.25">
      <c r="A1094" s="65" t="s">
        <v>1433</v>
      </c>
      <c r="B1094" s="511" t="s">
        <v>1476</v>
      </c>
      <c r="C1094" s="511"/>
      <c r="D1094" s="511"/>
      <c r="E1094" s="61" t="s">
        <v>1435</v>
      </c>
      <c r="F1094" s="61" t="s">
        <v>389</v>
      </c>
      <c r="G1094" s="61" t="s">
        <v>55</v>
      </c>
      <c r="H1094" s="61"/>
      <c r="I1094" s="61" t="s">
        <v>1366</v>
      </c>
      <c r="J1094" s="62">
        <v>630</v>
      </c>
      <c r="K1094" s="62">
        <v>700</v>
      </c>
      <c r="L1094" s="62">
        <v>700</v>
      </c>
      <c r="M1094" s="232">
        <v>890</v>
      </c>
      <c r="N1094" s="55" t="s">
        <v>1592</v>
      </c>
      <c r="O1094" s="61" t="s">
        <v>52</v>
      </c>
      <c r="P1094" s="200"/>
      <c r="Q1094" s="200"/>
      <c r="R1094" s="200"/>
      <c r="S1094" s="200"/>
      <c r="T1094" s="66"/>
      <c r="U1094" s="66"/>
      <c r="V1094" s="66"/>
    </row>
    <row r="1095" spans="1:22" s="64" customFormat="1" x14ac:dyDescent="0.25">
      <c r="A1095" s="65" t="s">
        <v>1433</v>
      </c>
      <c r="B1095" s="511" t="s">
        <v>1477</v>
      </c>
      <c r="C1095" s="511"/>
      <c r="D1095" s="511"/>
      <c r="E1095" s="61" t="s">
        <v>1435</v>
      </c>
      <c r="F1095" s="61" t="s">
        <v>54</v>
      </c>
      <c r="G1095" s="61" t="s">
        <v>55</v>
      </c>
      <c r="H1095" s="61"/>
      <c r="I1095" s="61" t="s">
        <v>1366</v>
      </c>
      <c r="J1095" s="62">
        <v>270</v>
      </c>
      <c r="K1095" s="62">
        <v>300</v>
      </c>
      <c r="L1095" s="62">
        <v>300</v>
      </c>
      <c r="M1095" s="232">
        <v>385</v>
      </c>
      <c r="N1095" s="55" t="s">
        <v>1592</v>
      </c>
      <c r="O1095" s="61" t="s">
        <v>52</v>
      </c>
      <c r="P1095" s="200"/>
      <c r="Q1095" s="200"/>
      <c r="R1095" s="200"/>
      <c r="S1095" s="200"/>
      <c r="T1095" s="66"/>
      <c r="U1095" s="66"/>
      <c r="V1095" s="66"/>
    </row>
    <row r="1096" spans="1:22" s="64" customFormat="1" x14ac:dyDescent="0.25">
      <c r="A1096" s="65" t="s">
        <v>1433</v>
      </c>
      <c r="B1096" s="511" t="s">
        <v>1477</v>
      </c>
      <c r="C1096" s="511"/>
      <c r="D1096" s="511"/>
      <c r="E1096" s="61" t="s">
        <v>1435</v>
      </c>
      <c r="F1096" s="61" t="s">
        <v>389</v>
      </c>
      <c r="G1096" s="61" t="s">
        <v>55</v>
      </c>
      <c r="H1096" s="61"/>
      <c r="I1096" s="61" t="s">
        <v>1366</v>
      </c>
      <c r="J1096" s="62">
        <v>270</v>
      </c>
      <c r="K1096" s="62">
        <v>300</v>
      </c>
      <c r="L1096" s="62">
        <v>300</v>
      </c>
      <c r="M1096" s="232">
        <v>385</v>
      </c>
      <c r="N1096" s="55" t="s">
        <v>1592</v>
      </c>
      <c r="O1096" s="61" t="s">
        <v>52</v>
      </c>
      <c r="P1096" s="200"/>
      <c r="Q1096" s="200"/>
      <c r="R1096" s="200"/>
      <c r="S1096" s="200"/>
      <c r="T1096" s="66"/>
      <c r="U1096" s="66"/>
      <c r="V1096" s="66"/>
    </row>
    <row r="1097" spans="1:22" s="64" customFormat="1" x14ac:dyDescent="0.25">
      <c r="A1097" s="65" t="s">
        <v>1433</v>
      </c>
      <c r="B1097" s="511" t="s">
        <v>1478</v>
      </c>
      <c r="C1097" s="511"/>
      <c r="D1097" s="511"/>
      <c r="E1097" s="61" t="s">
        <v>1437</v>
      </c>
      <c r="F1097" s="61" t="s">
        <v>54</v>
      </c>
      <c r="G1097" s="61" t="s">
        <v>55</v>
      </c>
      <c r="H1097" s="61"/>
      <c r="I1097" s="61" t="s">
        <v>1366</v>
      </c>
      <c r="J1097" s="62">
        <v>225</v>
      </c>
      <c r="K1097" s="62">
        <v>250</v>
      </c>
      <c r="L1097" s="62">
        <v>250</v>
      </c>
      <c r="M1097" s="232">
        <v>320</v>
      </c>
      <c r="N1097" s="55" t="s">
        <v>1592</v>
      </c>
      <c r="O1097" s="61" t="s">
        <v>52</v>
      </c>
      <c r="P1097" s="200"/>
      <c r="Q1097" s="200"/>
      <c r="R1097" s="200"/>
      <c r="S1097" s="200"/>
      <c r="T1097" s="66"/>
      <c r="U1097" s="66"/>
      <c r="V1097" s="66"/>
    </row>
    <row r="1098" spans="1:22" s="64" customFormat="1" x14ac:dyDescent="0.25">
      <c r="A1098" s="65" t="s">
        <v>1433</v>
      </c>
      <c r="B1098" s="511" t="s">
        <v>1478</v>
      </c>
      <c r="C1098" s="511"/>
      <c r="D1098" s="511"/>
      <c r="E1098" s="61" t="s">
        <v>1438</v>
      </c>
      <c r="F1098" s="61" t="s">
        <v>389</v>
      </c>
      <c r="G1098" s="61" t="s">
        <v>55</v>
      </c>
      <c r="H1098" s="61"/>
      <c r="I1098" s="61" t="s">
        <v>1366</v>
      </c>
      <c r="J1098" s="62">
        <v>225</v>
      </c>
      <c r="K1098" s="62">
        <v>250</v>
      </c>
      <c r="L1098" s="62">
        <v>250</v>
      </c>
      <c r="M1098" s="232">
        <v>320</v>
      </c>
      <c r="N1098" s="55" t="s">
        <v>1592</v>
      </c>
      <c r="O1098" s="61" t="s">
        <v>52</v>
      </c>
      <c r="P1098" s="200"/>
      <c r="Q1098" s="200"/>
      <c r="R1098" s="200"/>
      <c r="S1098" s="200"/>
      <c r="T1098" s="66"/>
      <c r="U1098" s="66"/>
      <c r="V1098" s="66"/>
    </row>
    <row r="1099" spans="1:22" s="64" customFormat="1" x14ac:dyDescent="0.25">
      <c r="A1099" s="65" t="s">
        <v>1433</v>
      </c>
      <c r="B1099" s="511" t="s">
        <v>1478</v>
      </c>
      <c r="C1099" s="511"/>
      <c r="D1099" s="511"/>
      <c r="E1099" s="61" t="s">
        <v>1439</v>
      </c>
      <c r="F1099" s="61" t="s">
        <v>389</v>
      </c>
      <c r="G1099" s="61" t="s">
        <v>55</v>
      </c>
      <c r="H1099" s="61"/>
      <c r="I1099" s="61" t="s">
        <v>1366</v>
      </c>
      <c r="J1099" s="62">
        <v>225</v>
      </c>
      <c r="K1099" s="62">
        <v>250</v>
      </c>
      <c r="L1099" s="62">
        <v>250</v>
      </c>
      <c r="M1099" s="232">
        <v>320</v>
      </c>
      <c r="N1099" s="55" t="s">
        <v>1592</v>
      </c>
      <c r="O1099" s="61" t="s">
        <v>52</v>
      </c>
      <c r="P1099" s="200"/>
      <c r="Q1099" s="200"/>
      <c r="R1099" s="200"/>
      <c r="S1099" s="200"/>
      <c r="T1099" s="66"/>
      <c r="U1099" s="66"/>
      <c r="V1099" s="66"/>
    </row>
    <row r="1100" spans="1:22" s="64" customFormat="1" x14ac:dyDescent="0.25">
      <c r="A1100" s="65" t="s">
        <v>1433</v>
      </c>
      <c r="B1100" s="511" t="s">
        <v>1478</v>
      </c>
      <c r="C1100" s="511"/>
      <c r="D1100" s="511"/>
      <c r="E1100" s="61" t="s">
        <v>1437</v>
      </c>
      <c r="F1100" s="61" t="s">
        <v>389</v>
      </c>
      <c r="G1100" s="61" t="s">
        <v>55</v>
      </c>
      <c r="H1100" s="61"/>
      <c r="I1100" s="61" t="s">
        <v>1366</v>
      </c>
      <c r="J1100" s="62">
        <v>225</v>
      </c>
      <c r="K1100" s="62">
        <v>250</v>
      </c>
      <c r="L1100" s="62">
        <v>250</v>
      </c>
      <c r="M1100" s="232">
        <v>320</v>
      </c>
      <c r="N1100" s="55" t="s">
        <v>1592</v>
      </c>
      <c r="O1100" s="61" t="s">
        <v>52</v>
      </c>
      <c r="P1100" s="200"/>
      <c r="Q1100" s="200"/>
      <c r="R1100" s="200"/>
      <c r="S1100" s="200"/>
      <c r="T1100" s="66"/>
      <c r="U1100" s="66"/>
      <c r="V1100" s="66"/>
    </row>
    <row r="1101" spans="1:22" s="64" customFormat="1" x14ac:dyDescent="0.25">
      <c r="A1101" s="65" t="s">
        <v>1433</v>
      </c>
      <c r="B1101" s="511" t="s">
        <v>1479</v>
      </c>
      <c r="C1101" s="511"/>
      <c r="D1101" s="511"/>
      <c r="E1101" s="61" t="s">
        <v>1437</v>
      </c>
      <c r="F1101" s="61" t="s">
        <v>54</v>
      </c>
      <c r="G1101" s="61" t="s">
        <v>55</v>
      </c>
      <c r="H1101" s="61"/>
      <c r="I1101" s="61" t="s">
        <v>1366</v>
      </c>
      <c r="J1101" s="62">
        <v>270</v>
      </c>
      <c r="K1101" s="62">
        <v>300</v>
      </c>
      <c r="L1101" s="62">
        <v>300</v>
      </c>
      <c r="M1101" s="232">
        <v>380</v>
      </c>
      <c r="N1101" s="55" t="s">
        <v>1592</v>
      </c>
      <c r="O1101" s="61" t="s">
        <v>52</v>
      </c>
      <c r="P1101" s="200"/>
      <c r="Q1101" s="200"/>
      <c r="R1101" s="200"/>
      <c r="S1101" s="200"/>
      <c r="T1101" s="66"/>
      <c r="U1101" s="66"/>
      <c r="V1101" s="66"/>
    </row>
    <row r="1102" spans="1:22" s="64" customFormat="1" x14ac:dyDescent="0.25">
      <c r="A1102" s="65" t="s">
        <v>1433</v>
      </c>
      <c r="B1102" s="511" t="s">
        <v>1479</v>
      </c>
      <c r="C1102" s="511"/>
      <c r="D1102" s="511"/>
      <c r="E1102" s="61" t="s">
        <v>1438</v>
      </c>
      <c r="F1102" s="61" t="s">
        <v>389</v>
      </c>
      <c r="G1102" s="61" t="s">
        <v>55</v>
      </c>
      <c r="H1102" s="61"/>
      <c r="I1102" s="61" t="s">
        <v>1366</v>
      </c>
      <c r="J1102" s="62">
        <v>270</v>
      </c>
      <c r="K1102" s="62">
        <v>300</v>
      </c>
      <c r="L1102" s="62">
        <v>300</v>
      </c>
      <c r="M1102" s="232">
        <v>380</v>
      </c>
      <c r="N1102" s="55" t="s">
        <v>1592</v>
      </c>
      <c r="O1102" s="61" t="s">
        <v>52</v>
      </c>
      <c r="P1102" s="200"/>
      <c r="Q1102" s="200"/>
      <c r="R1102" s="200"/>
      <c r="S1102" s="200"/>
      <c r="T1102" s="66"/>
      <c r="U1102" s="66"/>
      <c r="V1102" s="66"/>
    </row>
    <row r="1103" spans="1:22" s="64" customFormat="1" x14ac:dyDescent="0.25">
      <c r="A1103" s="65" t="s">
        <v>1433</v>
      </c>
      <c r="B1103" s="511" t="s">
        <v>1479</v>
      </c>
      <c r="C1103" s="511"/>
      <c r="D1103" s="511"/>
      <c r="E1103" s="61" t="s">
        <v>1439</v>
      </c>
      <c r="F1103" s="61" t="s">
        <v>389</v>
      </c>
      <c r="G1103" s="61" t="s">
        <v>55</v>
      </c>
      <c r="H1103" s="61"/>
      <c r="I1103" s="61" t="s">
        <v>1366</v>
      </c>
      <c r="J1103" s="62">
        <v>270</v>
      </c>
      <c r="K1103" s="62">
        <v>300</v>
      </c>
      <c r="L1103" s="62">
        <v>300</v>
      </c>
      <c r="M1103" s="232">
        <v>380</v>
      </c>
      <c r="N1103" s="55" t="s">
        <v>1592</v>
      </c>
      <c r="O1103" s="61" t="s">
        <v>52</v>
      </c>
      <c r="P1103" s="200"/>
      <c r="Q1103" s="200"/>
      <c r="R1103" s="200"/>
      <c r="S1103" s="200"/>
      <c r="T1103" s="66"/>
      <c r="U1103" s="66"/>
      <c r="V1103" s="66"/>
    </row>
    <row r="1104" spans="1:22" s="64" customFormat="1" x14ac:dyDescent="0.25">
      <c r="A1104" s="65" t="s">
        <v>1433</v>
      </c>
      <c r="B1104" s="511" t="s">
        <v>1479</v>
      </c>
      <c r="C1104" s="511"/>
      <c r="D1104" s="511"/>
      <c r="E1104" s="61" t="s">
        <v>1437</v>
      </c>
      <c r="F1104" s="61" t="s">
        <v>389</v>
      </c>
      <c r="G1104" s="61" t="s">
        <v>55</v>
      </c>
      <c r="H1104" s="61"/>
      <c r="I1104" s="61" t="s">
        <v>1366</v>
      </c>
      <c r="J1104" s="62">
        <v>270</v>
      </c>
      <c r="K1104" s="62">
        <v>300</v>
      </c>
      <c r="L1104" s="62">
        <v>300</v>
      </c>
      <c r="M1104" s="232">
        <v>380</v>
      </c>
      <c r="N1104" s="55" t="s">
        <v>1592</v>
      </c>
      <c r="O1104" s="61" t="s">
        <v>52</v>
      </c>
      <c r="P1104" s="200"/>
      <c r="Q1104" s="200"/>
      <c r="R1104" s="200"/>
      <c r="S1104" s="200"/>
      <c r="T1104" s="66"/>
      <c r="U1104" s="66"/>
      <c r="V1104" s="66"/>
    </row>
    <row r="1105" spans="1:22" s="64" customFormat="1" x14ac:dyDescent="0.25">
      <c r="A1105" s="65" t="s">
        <v>1433</v>
      </c>
      <c r="B1105" s="511" t="s">
        <v>1480</v>
      </c>
      <c r="C1105" s="511"/>
      <c r="D1105" s="511"/>
      <c r="E1105" s="61" t="s">
        <v>1437</v>
      </c>
      <c r="F1105" s="61" t="s">
        <v>54</v>
      </c>
      <c r="G1105" s="61" t="s">
        <v>55</v>
      </c>
      <c r="H1105" s="61"/>
      <c r="I1105" s="61" t="s">
        <v>1366</v>
      </c>
      <c r="J1105" s="62">
        <v>135</v>
      </c>
      <c r="K1105" s="62">
        <v>150</v>
      </c>
      <c r="L1105" s="62">
        <v>150</v>
      </c>
      <c r="M1105" s="232">
        <v>190</v>
      </c>
      <c r="N1105" s="55" t="s">
        <v>1592</v>
      </c>
      <c r="O1105" s="61" t="s">
        <v>52</v>
      </c>
      <c r="P1105" s="200"/>
      <c r="Q1105" s="200"/>
      <c r="R1105" s="200"/>
      <c r="S1105" s="200"/>
      <c r="T1105" s="66"/>
      <c r="U1105" s="66"/>
      <c r="V1105" s="66"/>
    </row>
    <row r="1106" spans="1:22" s="64" customFormat="1" x14ac:dyDescent="0.25">
      <c r="A1106" s="65" t="s">
        <v>1433</v>
      </c>
      <c r="B1106" s="511" t="s">
        <v>1481</v>
      </c>
      <c r="C1106" s="511"/>
      <c r="D1106" s="511"/>
      <c r="E1106" s="61" t="s">
        <v>1435</v>
      </c>
      <c r="F1106" s="61" t="s">
        <v>54</v>
      </c>
      <c r="G1106" s="61" t="s">
        <v>55</v>
      </c>
      <c r="H1106" s="61"/>
      <c r="I1106" s="61" t="s">
        <v>1366</v>
      </c>
      <c r="J1106" s="62">
        <v>450</v>
      </c>
      <c r="K1106" s="62">
        <v>500</v>
      </c>
      <c r="L1106" s="62">
        <v>500</v>
      </c>
      <c r="M1106" s="232">
        <v>635</v>
      </c>
      <c r="N1106" s="55" t="s">
        <v>1592</v>
      </c>
      <c r="O1106" s="61" t="s">
        <v>52</v>
      </c>
      <c r="P1106" s="200"/>
      <c r="Q1106" s="200"/>
      <c r="R1106" s="200"/>
      <c r="S1106" s="200"/>
      <c r="T1106" s="66"/>
      <c r="U1106" s="66"/>
      <c r="V1106" s="66"/>
    </row>
    <row r="1107" spans="1:22" s="64" customFormat="1" x14ac:dyDescent="0.25">
      <c r="A1107" s="65" t="s">
        <v>1433</v>
      </c>
      <c r="B1107" s="511" t="s">
        <v>1481</v>
      </c>
      <c r="C1107" s="511"/>
      <c r="D1107" s="511"/>
      <c r="E1107" s="61" t="s">
        <v>1435</v>
      </c>
      <c r="F1107" s="61" t="s">
        <v>389</v>
      </c>
      <c r="G1107" s="61" t="s">
        <v>55</v>
      </c>
      <c r="H1107" s="61"/>
      <c r="I1107" s="61" t="s">
        <v>1366</v>
      </c>
      <c r="J1107" s="62">
        <v>450</v>
      </c>
      <c r="K1107" s="62">
        <v>500</v>
      </c>
      <c r="L1107" s="62">
        <v>500</v>
      </c>
      <c r="M1107" s="232">
        <v>635</v>
      </c>
      <c r="N1107" s="55" t="s">
        <v>1592</v>
      </c>
      <c r="O1107" s="61" t="s">
        <v>52</v>
      </c>
      <c r="P1107" s="200"/>
      <c r="Q1107" s="200"/>
      <c r="R1107" s="200"/>
      <c r="S1107" s="200"/>
      <c r="T1107" s="66"/>
      <c r="U1107" s="66"/>
      <c r="V1107" s="66"/>
    </row>
    <row r="1108" spans="1:22" s="64" customFormat="1" x14ac:dyDescent="0.25">
      <c r="A1108" s="65" t="s">
        <v>1433</v>
      </c>
      <c r="B1108" s="511" t="s">
        <v>1481</v>
      </c>
      <c r="C1108" s="511"/>
      <c r="D1108" s="511"/>
      <c r="E1108" s="61" t="s">
        <v>1447</v>
      </c>
      <c r="F1108" s="61" t="s">
        <v>56</v>
      </c>
      <c r="G1108" s="61" t="s">
        <v>55</v>
      </c>
      <c r="H1108" s="61"/>
      <c r="I1108" s="61" t="s">
        <v>1366</v>
      </c>
      <c r="J1108" s="62">
        <v>620</v>
      </c>
      <c r="K1108" s="62">
        <v>815</v>
      </c>
      <c r="L1108" s="62">
        <v>815</v>
      </c>
      <c r="M1108" s="232"/>
      <c r="N1108" s="55" t="s">
        <v>1592</v>
      </c>
      <c r="O1108" s="61" t="s">
        <v>52</v>
      </c>
      <c r="P1108" s="200"/>
      <c r="Q1108" s="200"/>
      <c r="R1108" s="200"/>
      <c r="S1108" s="200"/>
      <c r="T1108" s="66"/>
      <c r="U1108" s="66"/>
      <c r="V1108" s="66"/>
    </row>
    <row r="1109" spans="1:22" s="64" customFormat="1" x14ac:dyDescent="0.25">
      <c r="A1109" s="65" t="s">
        <v>1433</v>
      </c>
      <c r="B1109" s="511" t="s">
        <v>1481</v>
      </c>
      <c r="C1109" s="511"/>
      <c r="D1109" s="511"/>
      <c r="E1109" s="61" t="s">
        <v>1455</v>
      </c>
      <c r="F1109" s="61" t="s">
        <v>56</v>
      </c>
      <c r="G1109" s="61" t="s">
        <v>55</v>
      </c>
      <c r="H1109" s="61"/>
      <c r="I1109" s="61" t="s">
        <v>1366</v>
      </c>
      <c r="J1109" s="62">
        <v>495</v>
      </c>
      <c r="K1109" s="62">
        <v>720</v>
      </c>
      <c r="L1109" s="62">
        <v>720</v>
      </c>
      <c r="M1109" s="232"/>
      <c r="N1109" s="55" t="s">
        <v>1592</v>
      </c>
      <c r="O1109" s="61" t="s">
        <v>52</v>
      </c>
      <c r="P1109" s="200"/>
      <c r="Q1109" s="200"/>
      <c r="R1109" s="200"/>
      <c r="S1109" s="200"/>
      <c r="T1109" s="66"/>
      <c r="U1109" s="66"/>
      <c r="V1109" s="66"/>
    </row>
    <row r="1110" spans="1:22" s="64" customFormat="1" x14ac:dyDescent="0.25">
      <c r="A1110" s="65" t="s">
        <v>1433</v>
      </c>
      <c r="B1110" s="511" t="s">
        <v>1481</v>
      </c>
      <c r="C1110" s="511"/>
      <c r="D1110" s="511"/>
      <c r="E1110" s="61" t="s">
        <v>1437</v>
      </c>
      <c r="F1110" s="61" t="s">
        <v>56</v>
      </c>
      <c r="G1110" s="61" t="s">
        <v>55</v>
      </c>
      <c r="H1110" s="61"/>
      <c r="I1110" s="61" t="s">
        <v>1366</v>
      </c>
      <c r="J1110" s="62">
        <v>705</v>
      </c>
      <c r="K1110" s="62">
        <v>815</v>
      </c>
      <c r="L1110" s="62">
        <v>815</v>
      </c>
      <c r="M1110" s="232"/>
      <c r="N1110" s="55" t="s">
        <v>1592</v>
      </c>
      <c r="O1110" s="61" t="s">
        <v>52</v>
      </c>
      <c r="P1110" s="200"/>
      <c r="Q1110" s="200"/>
      <c r="R1110" s="200"/>
      <c r="S1110" s="200"/>
      <c r="T1110" s="66"/>
      <c r="U1110" s="66"/>
      <c r="V1110" s="66"/>
    </row>
    <row r="1111" spans="1:22" s="64" customFormat="1" x14ac:dyDescent="0.25">
      <c r="A1111" s="65" t="s">
        <v>1433</v>
      </c>
      <c r="B1111" s="511" t="s">
        <v>1482</v>
      </c>
      <c r="C1111" s="511"/>
      <c r="D1111" s="511"/>
      <c r="E1111" s="61" t="s">
        <v>1435</v>
      </c>
      <c r="F1111" s="61" t="s">
        <v>54</v>
      </c>
      <c r="G1111" s="61" t="s">
        <v>55</v>
      </c>
      <c r="H1111" s="61"/>
      <c r="I1111" s="61" t="s">
        <v>1366</v>
      </c>
      <c r="J1111" s="62">
        <v>225</v>
      </c>
      <c r="K1111" s="62">
        <v>250</v>
      </c>
      <c r="L1111" s="62">
        <v>250</v>
      </c>
      <c r="M1111" s="232">
        <v>320</v>
      </c>
      <c r="N1111" s="55" t="s">
        <v>1592</v>
      </c>
      <c r="O1111" s="61" t="s">
        <v>52</v>
      </c>
      <c r="P1111" s="200"/>
      <c r="Q1111" s="200"/>
      <c r="R1111" s="200"/>
      <c r="S1111" s="200"/>
      <c r="T1111" s="66"/>
      <c r="U1111" s="66"/>
      <c r="V1111" s="66"/>
    </row>
    <row r="1112" spans="1:22" s="64" customFormat="1" x14ac:dyDescent="0.25">
      <c r="A1112" s="65" t="s">
        <v>1433</v>
      </c>
      <c r="B1112" s="511" t="s">
        <v>1482</v>
      </c>
      <c r="C1112" s="511"/>
      <c r="D1112" s="511"/>
      <c r="E1112" s="61" t="s">
        <v>1435</v>
      </c>
      <c r="F1112" s="61" t="s">
        <v>389</v>
      </c>
      <c r="G1112" s="61" t="s">
        <v>55</v>
      </c>
      <c r="H1112" s="61"/>
      <c r="I1112" s="61" t="s">
        <v>1366</v>
      </c>
      <c r="J1112" s="62">
        <v>225</v>
      </c>
      <c r="K1112" s="62">
        <v>250</v>
      </c>
      <c r="L1112" s="62">
        <v>250</v>
      </c>
      <c r="M1112" s="232">
        <v>320</v>
      </c>
      <c r="N1112" s="55" t="s">
        <v>1592</v>
      </c>
      <c r="O1112" s="61" t="s">
        <v>52</v>
      </c>
      <c r="P1112" s="200"/>
      <c r="Q1112" s="200"/>
      <c r="R1112" s="200"/>
      <c r="S1112" s="200"/>
      <c r="T1112" s="66"/>
      <c r="U1112" s="66"/>
      <c r="V1112" s="66"/>
    </row>
    <row r="1113" spans="1:22" s="64" customFormat="1" x14ac:dyDescent="0.25">
      <c r="A1113" s="65" t="s">
        <v>1433</v>
      </c>
      <c r="B1113" s="511" t="s">
        <v>1482</v>
      </c>
      <c r="C1113" s="511"/>
      <c r="D1113" s="511"/>
      <c r="E1113" s="61" t="s">
        <v>1435</v>
      </c>
      <c r="F1113" s="61" t="s">
        <v>56</v>
      </c>
      <c r="G1113" s="61" t="s">
        <v>55</v>
      </c>
      <c r="H1113" s="61"/>
      <c r="I1113" s="61" t="s">
        <v>1366</v>
      </c>
      <c r="J1113" s="62">
        <v>745</v>
      </c>
      <c r="K1113" s="62">
        <v>970</v>
      </c>
      <c r="L1113" s="62">
        <v>970</v>
      </c>
      <c r="M1113" s="232">
        <v>510</v>
      </c>
      <c r="N1113" s="55" t="s">
        <v>1592</v>
      </c>
      <c r="O1113" s="61" t="s">
        <v>52</v>
      </c>
      <c r="P1113" s="200"/>
      <c r="Q1113" s="200"/>
      <c r="R1113" s="200"/>
      <c r="S1113" s="200"/>
      <c r="T1113" s="66"/>
      <c r="U1113" s="66"/>
      <c r="V1113" s="66"/>
    </row>
    <row r="1114" spans="1:22" s="64" customFormat="1" x14ac:dyDescent="0.25">
      <c r="A1114" s="65" t="s">
        <v>1433</v>
      </c>
      <c r="B1114" s="511" t="s">
        <v>1440</v>
      </c>
      <c r="C1114" s="511"/>
      <c r="D1114" s="511"/>
      <c r="E1114" s="61" t="s">
        <v>1437</v>
      </c>
      <c r="F1114" s="61" t="s">
        <v>54</v>
      </c>
      <c r="G1114" s="61" t="s">
        <v>55</v>
      </c>
      <c r="H1114" s="61"/>
      <c r="I1114" s="61" t="s">
        <v>1366</v>
      </c>
      <c r="J1114" s="62">
        <v>90</v>
      </c>
      <c r="K1114" s="62">
        <v>100</v>
      </c>
      <c r="L1114" s="62">
        <v>100</v>
      </c>
      <c r="M1114" s="232">
        <v>130</v>
      </c>
      <c r="N1114" s="55" t="s">
        <v>1592</v>
      </c>
      <c r="O1114" s="61" t="s">
        <v>52</v>
      </c>
      <c r="P1114" s="200"/>
      <c r="Q1114" s="200"/>
      <c r="R1114" s="200"/>
      <c r="S1114" s="200"/>
      <c r="T1114" s="66"/>
      <c r="U1114" s="66"/>
      <c r="V1114" s="66"/>
    </row>
    <row r="1115" spans="1:22" s="64" customFormat="1" x14ac:dyDescent="0.25">
      <c r="A1115" s="65" t="s">
        <v>1433</v>
      </c>
      <c r="B1115" s="511" t="s">
        <v>1440</v>
      </c>
      <c r="C1115" s="511"/>
      <c r="D1115" s="511"/>
      <c r="E1115" s="61" t="s">
        <v>1438</v>
      </c>
      <c r="F1115" s="61" t="s">
        <v>389</v>
      </c>
      <c r="G1115" s="61" t="s">
        <v>55</v>
      </c>
      <c r="H1115" s="61"/>
      <c r="I1115" s="61" t="s">
        <v>1366</v>
      </c>
      <c r="J1115" s="62">
        <v>90</v>
      </c>
      <c r="K1115" s="62">
        <v>100</v>
      </c>
      <c r="L1115" s="62">
        <v>100</v>
      </c>
      <c r="M1115" s="232">
        <v>130</v>
      </c>
      <c r="N1115" s="55" t="s">
        <v>1592</v>
      </c>
      <c r="O1115" s="61" t="s">
        <v>52</v>
      </c>
      <c r="P1115" s="200"/>
      <c r="Q1115" s="200"/>
      <c r="R1115" s="200"/>
      <c r="S1115" s="200"/>
      <c r="T1115" s="66"/>
      <c r="U1115" s="66"/>
      <c r="V1115" s="66"/>
    </row>
    <row r="1116" spans="1:22" s="64" customFormat="1" x14ac:dyDescent="0.25">
      <c r="A1116" s="65" t="s">
        <v>1433</v>
      </c>
      <c r="B1116" s="511" t="s">
        <v>1440</v>
      </c>
      <c r="C1116" s="511"/>
      <c r="D1116" s="511"/>
      <c r="E1116" s="61" t="s">
        <v>1439</v>
      </c>
      <c r="F1116" s="61" t="s">
        <v>389</v>
      </c>
      <c r="G1116" s="61" t="s">
        <v>55</v>
      </c>
      <c r="H1116" s="61"/>
      <c r="I1116" s="61" t="s">
        <v>1366</v>
      </c>
      <c r="J1116" s="62">
        <v>90</v>
      </c>
      <c r="K1116" s="62">
        <v>100</v>
      </c>
      <c r="L1116" s="62">
        <v>100</v>
      </c>
      <c r="M1116" s="232">
        <v>130</v>
      </c>
      <c r="N1116" s="55" t="s">
        <v>1592</v>
      </c>
      <c r="O1116" s="61" t="s">
        <v>52</v>
      </c>
      <c r="P1116" s="200"/>
      <c r="Q1116" s="200"/>
      <c r="R1116" s="200"/>
      <c r="S1116" s="200"/>
      <c r="T1116" s="66"/>
      <c r="U1116" s="66"/>
      <c r="V1116" s="66"/>
    </row>
    <row r="1117" spans="1:22" s="64" customFormat="1" x14ac:dyDescent="0.25">
      <c r="A1117" s="65" t="s">
        <v>1433</v>
      </c>
      <c r="B1117" s="511" t="s">
        <v>1440</v>
      </c>
      <c r="C1117" s="511"/>
      <c r="D1117" s="511"/>
      <c r="E1117" s="61" t="s">
        <v>1437</v>
      </c>
      <c r="F1117" s="61" t="s">
        <v>389</v>
      </c>
      <c r="G1117" s="61" t="s">
        <v>55</v>
      </c>
      <c r="H1117" s="61"/>
      <c r="I1117" s="61" t="s">
        <v>1366</v>
      </c>
      <c r="J1117" s="62">
        <v>90</v>
      </c>
      <c r="K1117" s="62">
        <v>100</v>
      </c>
      <c r="L1117" s="62">
        <v>100</v>
      </c>
      <c r="M1117" s="232">
        <v>130</v>
      </c>
      <c r="N1117" s="55" t="s">
        <v>1592</v>
      </c>
      <c r="O1117" s="61" t="s">
        <v>52</v>
      </c>
      <c r="P1117" s="200"/>
      <c r="Q1117" s="200"/>
      <c r="R1117" s="200"/>
      <c r="S1117" s="200"/>
      <c r="T1117" s="66"/>
      <c r="U1117" s="66"/>
      <c r="V1117" s="66"/>
    </row>
    <row r="1118" spans="1:22" s="64" customFormat="1" x14ac:dyDescent="0.25">
      <c r="A1118" s="65" t="s">
        <v>1433</v>
      </c>
      <c r="B1118" s="511" t="s">
        <v>1483</v>
      </c>
      <c r="C1118" s="511"/>
      <c r="D1118" s="511"/>
      <c r="E1118" s="61" t="s">
        <v>1435</v>
      </c>
      <c r="F1118" s="61" t="s">
        <v>56</v>
      </c>
      <c r="G1118" s="61" t="s">
        <v>55</v>
      </c>
      <c r="H1118" s="61"/>
      <c r="I1118" s="61" t="s">
        <v>1366</v>
      </c>
      <c r="J1118" s="62">
        <v>235</v>
      </c>
      <c r="K1118" s="62">
        <v>265</v>
      </c>
      <c r="L1118" s="62">
        <v>265</v>
      </c>
      <c r="M1118" s="232"/>
      <c r="N1118" s="55" t="s">
        <v>1592</v>
      </c>
      <c r="O1118" s="61" t="s">
        <v>52</v>
      </c>
      <c r="P1118" s="200"/>
      <c r="Q1118" s="200"/>
      <c r="R1118" s="200"/>
      <c r="S1118" s="200"/>
      <c r="T1118" s="66"/>
      <c r="U1118" s="66"/>
      <c r="V1118" s="66"/>
    </row>
    <row r="1119" spans="1:22" s="64" customFormat="1" x14ac:dyDescent="0.25">
      <c r="A1119" s="65" t="s">
        <v>1433</v>
      </c>
      <c r="B1119" s="511" t="s">
        <v>1484</v>
      </c>
      <c r="C1119" s="511"/>
      <c r="D1119" s="511"/>
      <c r="E1119" s="61" t="s">
        <v>1435</v>
      </c>
      <c r="F1119" s="61" t="s">
        <v>54</v>
      </c>
      <c r="G1119" s="61" t="s">
        <v>55</v>
      </c>
      <c r="H1119" s="61"/>
      <c r="I1119" s="61" t="s">
        <v>1366</v>
      </c>
      <c r="J1119" s="62">
        <v>180</v>
      </c>
      <c r="K1119" s="62">
        <v>200</v>
      </c>
      <c r="L1119" s="62">
        <v>200</v>
      </c>
      <c r="M1119" s="232">
        <v>255</v>
      </c>
      <c r="N1119" s="55" t="s">
        <v>1592</v>
      </c>
      <c r="O1119" s="61" t="s">
        <v>52</v>
      </c>
      <c r="P1119" s="200"/>
      <c r="Q1119" s="200"/>
      <c r="R1119" s="200"/>
      <c r="S1119" s="200"/>
      <c r="T1119" s="66"/>
      <c r="U1119" s="66"/>
      <c r="V1119" s="66"/>
    </row>
    <row r="1120" spans="1:22" s="64" customFormat="1" x14ac:dyDescent="0.25">
      <c r="A1120" s="65" t="s">
        <v>1433</v>
      </c>
      <c r="B1120" s="511" t="s">
        <v>1484</v>
      </c>
      <c r="C1120" s="511"/>
      <c r="D1120" s="511"/>
      <c r="E1120" s="61" t="s">
        <v>1435</v>
      </c>
      <c r="F1120" s="61" t="s">
        <v>389</v>
      </c>
      <c r="G1120" s="61" t="s">
        <v>55</v>
      </c>
      <c r="H1120" s="61"/>
      <c r="I1120" s="61" t="s">
        <v>1366</v>
      </c>
      <c r="J1120" s="62">
        <v>180</v>
      </c>
      <c r="K1120" s="62">
        <v>200</v>
      </c>
      <c r="L1120" s="62">
        <v>200</v>
      </c>
      <c r="M1120" s="232">
        <v>255</v>
      </c>
      <c r="N1120" s="55" t="s">
        <v>1592</v>
      </c>
      <c r="O1120" s="61" t="s">
        <v>52</v>
      </c>
      <c r="P1120" s="200"/>
      <c r="Q1120" s="200"/>
      <c r="R1120" s="200"/>
      <c r="S1120" s="200"/>
      <c r="T1120" s="66"/>
      <c r="U1120" s="66"/>
      <c r="V1120" s="66"/>
    </row>
    <row r="1121" spans="1:22" s="64" customFormat="1" x14ac:dyDescent="0.25">
      <c r="A1121" s="65" t="s">
        <v>1433</v>
      </c>
      <c r="B1121" s="511" t="s">
        <v>1468</v>
      </c>
      <c r="C1121" s="511"/>
      <c r="D1121" s="511"/>
      <c r="E1121" s="61" t="s">
        <v>1435</v>
      </c>
      <c r="F1121" s="61" t="s">
        <v>54</v>
      </c>
      <c r="G1121" s="61" t="s">
        <v>55</v>
      </c>
      <c r="H1121" s="61"/>
      <c r="I1121" s="61" t="s">
        <v>1366</v>
      </c>
      <c r="J1121" s="62">
        <v>0</v>
      </c>
      <c r="K1121" s="62">
        <v>0</v>
      </c>
      <c r="L1121" s="62">
        <v>0</v>
      </c>
      <c r="M1121" s="232">
        <v>0</v>
      </c>
      <c r="N1121" s="55" t="s">
        <v>1592</v>
      </c>
      <c r="O1121" s="61" t="s">
        <v>52</v>
      </c>
      <c r="P1121" s="200"/>
      <c r="Q1121" s="200"/>
      <c r="R1121" s="200"/>
      <c r="S1121" s="200"/>
      <c r="T1121" s="66"/>
      <c r="U1121" s="66"/>
      <c r="V1121" s="66"/>
    </row>
    <row r="1122" spans="1:22" s="64" customFormat="1" x14ac:dyDescent="0.25">
      <c r="A1122" s="65" t="s">
        <v>1433</v>
      </c>
      <c r="B1122" s="511" t="s">
        <v>1485</v>
      </c>
      <c r="C1122" s="511"/>
      <c r="D1122" s="511"/>
      <c r="E1122" s="61" t="s">
        <v>1437</v>
      </c>
      <c r="F1122" s="61" t="s">
        <v>54</v>
      </c>
      <c r="G1122" s="61" t="s">
        <v>55</v>
      </c>
      <c r="H1122" s="61"/>
      <c r="I1122" s="61" t="s">
        <v>1366</v>
      </c>
      <c r="J1122" s="62">
        <v>225</v>
      </c>
      <c r="K1122" s="62">
        <v>250</v>
      </c>
      <c r="L1122" s="62">
        <v>250</v>
      </c>
      <c r="M1122" s="232">
        <v>320</v>
      </c>
      <c r="N1122" s="55" t="s">
        <v>1592</v>
      </c>
      <c r="O1122" s="61" t="s">
        <v>52</v>
      </c>
      <c r="P1122" s="200"/>
      <c r="Q1122" s="200"/>
      <c r="R1122" s="200"/>
      <c r="S1122" s="200"/>
      <c r="T1122" s="66"/>
      <c r="U1122" s="66"/>
      <c r="V1122" s="66"/>
    </row>
    <row r="1123" spans="1:22" s="64" customFormat="1" x14ac:dyDescent="0.25">
      <c r="A1123" s="65" t="s">
        <v>1433</v>
      </c>
      <c r="B1123" s="511" t="s">
        <v>1485</v>
      </c>
      <c r="C1123" s="511"/>
      <c r="D1123" s="511"/>
      <c r="E1123" s="61" t="s">
        <v>1438</v>
      </c>
      <c r="F1123" s="61" t="s">
        <v>389</v>
      </c>
      <c r="G1123" s="61" t="s">
        <v>55</v>
      </c>
      <c r="H1123" s="61"/>
      <c r="I1123" s="61" t="s">
        <v>1366</v>
      </c>
      <c r="J1123" s="62">
        <v>225</v>
      </c>
      <c r="K1123" s="62">
        <v>250</v>
      </c>
      <c r="L1123" s="62">
        <v>250</v>
      </c>
      <c r="M1123" s="232">
        <v>320</v>
      </c>
      <c r="N1123" s="55" t="s">
        <v>1592</v>
      </c>
      <c r="O1123" s="61" t="s">
        <v>52</v>
      </c>
      <c r="P1123" s="200"/>
      <c r="Q1123" s="200"/>
      <c r="R1123" s="200"/>
      <c r="S1123" s="200"/>
      <c r="T1123" s="66"/>
      <c r="U1123" s="66"/>
      <c r="V1123" s="66"/>
    </row>
    <row r="1124" spans="1:22" s="64" customFormat="1" x14ac:dyDescent="0.25">
      <c r="A1124" s="65" t="s">
        <v>1433</v>
      </c>
      <c r="B1124" s="511" t="s">
        <v>1485</v>
      </c>
      <c r="C1124" s="511"/>
      <c r="D1124" s="511"/>
      <c r="E1124" s="61" t="s">
        <v>1439</v>
      </c>
      <c r="F1124" s="61" t="s">
        <v>389</v>
      </c>
      <c r="G1124" s="61" t="s">
        <v>55</v>
      </c>
      <c r="H1124" s="61"/>
      <c r="I1124" s="61" t="s">
        <v>1366</v>
      </c>
      <c r="J1124" s="62">
        <v>225</v>
      </c>
      <c r="K1124" s="62">
        <v>250</v>
      </c>
      <c r="L1124" s="62">
        <v>250</v>
      </c>
      <c r="M1124" s="232">
        <v>320</v>
      </c>
      <c r="N1124" s="55" t="s">
        <v>1592</v>
      </c>
      <c r="O1124" s="61" t="s">
        <v>52</v>
      </c>
      <c r="P1124" s="200"/>
      <c r="Q1124" s="200"/>
      <c r="R1124" s="200"/>
      <c r="S1124" s="200"/>
      <c r="T1124" s="66"/>
      <c r="U1124" s="66"/>
      <c r="V1124" s="66"/>
    </row>
    <row r="1125" spans="1:22" s="64" customFormat="1" x14ac:dyDescent="0.25">
      <c r="A1125" s="65" t="s">
        <v>1433</v>
      </c>
      <c r="B1125" s="511" t="s">
        <v>1485</v>
      </c>
      <c r="C1125" s="511"/>
      <c r="D1125" s="511"/>
      <c r="E1125" s="61" t="s">
        <v>1437</v>
      </c>
      <c r="F1125" s="61" t="s">
        <v>389</v>
      </c>
      <c r="G1125" s="61" t="s">
        <v>55</v>
      </c>
      <c r="H1125" s="61"/>
      <c r="I1125" s="61" t="s">
        <v>1366</v>
      </c>
      <c r="J1125" s="62">
        <v>225</v>
      </c>
      <c r="K1125" s="62">
        <v>250</v>
      </c>
      <c r="L1125" s="62">
        <v>250</v>
      </c>
      <c r="M1125" s="232">
        <v>320</v>
      </c>
      <c r="N1125" s="55" t="s">
        <v>1592</v>
      </c>
      <c r="O1125" s="61" t="s">
        <v>52</v>
      </c>
      <c r="P1125" s="200"/>
      <c r="Q1125" s="200"/>
      <c r="R1125" s="200"/>
      <c r="S1125" s="200"/>
      <c r="T1125" s="66"/>
      <c r="U1125" s="66"/>
      <c r="V1125" s="66"/>
    </row>
    <row r="1126" spans="1:22" s="64" customFormat="1" x14ac:dyDescent="0.25">
      <c r="A1126" s="65" t="s">
        <v>1433</v>
      </c>
      <c r="B1126" s="511" t="s">
        <v>1486</v>
      </c>
      <c r="C1126" s="511"/>
      <c r="D1126" s="511"/>
      <c r="E1126" s="61" t="s">
        <v>1437</v>
      </c>
      <c r="F1126" s="61" t="s">
        <v>54</v>
      </c>
      <c r="G1126" s="61" t="s">
        <v>55</v>
      </c>
      <c r="H1126" s="61"/>
      <c r="I1126" s="61" t="s">
        <v>1366</v>
      </c>
      <c r="J1126" s="62">
        <v>270</v>
      </c>
      <c r="K1126" s="62">
        <v>300</v>
      </c>
      <c r="L1126" s="62">
        <v>300</v>
      </c>
      <c r="M1126" s="232">
        <v>380</v>
      </c>
      <c r="N1126" s="55" t="s">
        <v>1592</v>
      </c>
      <c r="O1126" s="61" t="s">
        <v>52</v>
      </c>
      <c r="P1126" s="200"/>
      <c r="Q1126" s="200"/>
      <c r="R1126" s="200"/>
      <c r="S1126" s="200"/>
      <c r="T1126" s="66"/>
      <c r="U1126" s="66"/>
      <c r="V1126" s="66"/>
    </row>
    <row r="1127" spans="1:22" s="64" customFormat="1" x14ac:dyDescent="0.25">
      <c r="A1127" s="65" t="s">
        <v>1433</v>
      </c>
      <c r="B1127" s="511" t="s">
        <v>1486</v>
      </c>
      <c r="C1127" s="511"/>
      <c r="D1127" s="511"/>
      <c r="E1127" s="61" t="s">
        <v>1438</v>
      </c>
      <c r="F1127" s="61" t="s">
        <v>389</v>
      </c>
      <c r="G1127" s="61" t="s">
        <v>55</v>
      </c>
      <c r="H1127" s="61"/>
      <c r="I1127" s="61" t="s">
        <v>1366</v>
      </c>
      <c r="J1127" s="62">
        <v>270</v>
      </c>
      <c r="K1127" s="62">
        <v>300</v>
      </c>
      <c r="L1127" s="62">
        <v>300</v>
      </c>
      <c r="M1127" s="232">
        <v>380</v>
      </c>
      <c r="N1127" s="55" t="s">
        <v>1592</v>
      </c>
      <c r="O1127" s="61" t="s">
        <v>52</v>
      </c>
      <c r="P1127" s="200"/>
      <c r="Q1127" s="200"/>
      <c r="R1127" s="200"/>
      <c r="S1127" s="200"/>
      <c r="T1127" s="66"/>
      <c r="U1127" s="66"/>
      <c r="V1127" s="66"/>
    </row>
    <row r="1128" spans="1:22" s="64" customFormat="1" x14ac:dyDescent="0.25">
      <c r="A1128" s="65" t="s">
        <v>1433</v>
      </c>
      <c r="B1128" s="511" t="s">
        <v>1486</v>
      </c>
      <c r="C1128" s="511"/>
      <c r="D1128" s="511"/>
      <c r="E1128" s="61" t="s">
        <v>1439</v>
      </c>
      <c r="F1128" s="61" t="s">
        <v>389</v>
      </c>
      <c r="G1128" s="61" t="s">
        <v>55</v>
      </c>
      <c r="H1128" s="61"/>
      <c r="I1128" s="61" t="s">
        <v>1366</v>
      </c>
      <c r="J1128" s="62">
        <v>270</v>
      </c>
      <c r="K1128" s="62">
        <v>300</v>
      </c>
      <c r="L1128" s="62">
        <v>300</v>
      </c>
      <c r="M1128" s="232">
        <v>380</v>
      </c>
      <c r="N1128" s="55" t="s">
        <v>1592</v>
      </c>
      <c r="O1128" s="61" t="s">
        <v>52</v>
      </c>
      <c r="P1128" s="200"/>
      <c r="Q1128" s="200"/>
      <c r="R1128" s="200"/>
      <c r="S1128" s="200"/>
      <c r="T1128" s="66"/>
      <c r="U1128" s="66"/>
      <c r="V1128" s="66"/>
    </row>
    <row r="1129" spans="1:22" s="64" customFormat="1" x14ac:dyDescent="0.25">
      <c r="A1129" s="65" t="s">
        <v>1433</v>
      </c>
      <c r="B1129" s="511" t="s">
        <v>1486</v>
      </c>
      <c r="C1129" s="511"/>
      <c r="D1129" s="511"/>
      <c r="E1129" s="61" t="s">
        <v>1437</v>
      </c>
      <c r="F1129" s="61" t="s">
        <v>389</v>
      </c>
      <c r="G1129" s="61" t="s">
        <v>55</v>
      </c>
      <c r="H1129" s="61"/>
      <c r="I1129" s="61" t="s">
        <v>1366</v>
      </c>
      <c r="J1129" s="62">
        <v>270</v>
      </c>
      <c r="K1129" s="62">
        <v>300</v>
      </c>
      <c r="L1129" s="62">
        <v>300</v>
      </c>
      <c r="M1129" s="232">
        <v>380</v>
      </c>
      <c r="N1129" s="55" t="s">
        <v>1592</v>
      </c>
      <c r="O1129" s="61" t="s">
        <v>52</v>
      </c>
      <c r="P1129" s="200"/>
      <c r="Q1129" s="200"/>
      <c r="R1129" s="200"/>
      <c r="S1129" s="200"/>
      <c r="T1129" s="66"/>
      <c r="U1129" s="66"/>
      <c r="V1129" s="66"/>
    </row>
    <row r="1130" spans="1:22" s="64" customFormat="1" x14ac:dyDescent="0.25">
      <c r="A1130" s="65" t="s">
        <v>1433</v>
      </c>
      <c r="B1130" s="511" t="s">
        <v>1487</v>
      </c>
      <c r="C1130" s="511"/>
      <c r="D1130" s="511"/>
      <c r="E1130" s="61" t="s">
        <v>1437</v>
      </c>
      <c r="F1130" s="61" t="s">
        <v>54</v>
      </c>
      <c r="G1130" s="61" t="s">
        <v>55</v>
      </c>
      <c r="H1130" s="61"/>
      <c r="I1130" s="61" t="s">
        <v>1366</v>
      </c>
      <c r="J1130" s="62">
        <v>135</v>
      </c>
      <c r="K1130" s="62">
        <v>150</v>
      </c>
      <c r="L1130" s="62">
        <v>150</v>
      </c>
      <c r="M1130" s="232">
        <v>190</v>
      </c>
      <c r="N1130" s="55" t="s">
        <v>1592</v>
      </c>
      <c r="O1130" s="61" t="s">
        <v>52</v>
      </c>
      <c r="P1130" s="200"/>
      <c r="Q1130" s="200"/>
      <c r="R1130" s="200"/>
      <c r="S1130" s="200"/>
      <c r="T1130" s="66"/>
      <c r="U1130" s="66"/>
      <c r="V1130" s="66"/>
    </row>
    <row r="1131" spans="1:22" s="64" customFormat="1" x14ac:dyDescent="0.25">
      <c r="A1131" s="65" t="s">
        <v>1433</v>
      </c>
      <c r="B1131" s="511" t="s">
        <v>1487</v>
      </c>
      <c r="C1131" s="511"/>
      <c r="D1131" s="511"/>
      <c r="E1131" s="61" t="s">
        <v>1438</v>
      </c>
      <c r="F1131" s="61" t="s">
        <v>389</v>
      </c>
      <c r="G1131" s="61" t="s">
        <v>55</v>
      </c>
      <c r="H1131" s="61"/>
      <c r="I1131" s="61" t="s">
        <v>1366</v>
      </c>
      <c r="J1131" s="62">
        <v>135</v>
      </c>
      <c r="K1131" s="62">
        <v>150</v>
      </c>
      <c r="L1131" s="62">
        <v>150</v>
      </c>
      <c r="M1131" s="232">
        <v>190</v>
      </c>
      <c r="N1131" s="55" t="s">
        <v>1592</v>
      </c>
      <c r="O1131" s="61" t="s">
        <v>52</v>
      </c>
      <c r="P1131" s="200"/>
      <c r="Q1131" s="200"/>
      <c r="R1131" s="200"/>
      <c r="S1131" s="200"/>
      <c r="T1131" s="66"/>
      <c r="U1131" s="66"/>
      <c r="V1131" s="66"/>
    </row>
    <row r="1132" spans="1:22" s="64" customFormat="1" x14ac:dyDescent="0.25">
      <c r="A1132" s="65" t="s">
        <v>1433</v>
      </c>
      <c r="B1132" s="511" t="s">
        <v>1487</v>
      </c>
      <c r="C1132" s="511"/>
      <c r="D1132" s="511"/>
      <c r="E1132" s="61" t="s">
        <v>1439</v>
      </c>
      <c r="F1132" s="61" t="s">
        <v>389</v>
      </c>
      <c r="G1132" s="61" t="s">
        <v>55</v>
      </c>
      <c r="H1132" s="61"/>
      <c r="I1132" s="61" t="s">
        <v>1366</v>
      </c>
      <c r="J1132" s="62">
        <v>135</v>
      </c>
      <c r="K1132" s="62">
        <v>150</v>
      </c>
      <c r="L1132" s="62">
        <v>150</v>
      </c>
      <c r="M1132" s="232">
        <v>190</v>
      </c>
      <c r="N1132" s="55" t="s">
        <v>1592</v>
      </c>
      <c r="O1132" s="61" t="s">
        <v>52</v>
      </c>
      <c r="P1132" s="200"/>
      <c r="Q1132" s="200"/>
      <c r="R1132" s="200"/>
      <c r="S1132" s="200"/>
      <c r="T1132" s="66"/>
      <c r="U1132" s="66"/>
      <c r="V1132" s="66"/>
    </row>
    <row r="1133" spans="1:22" s="64" customFormat="1" x14ac:dyDescent="0.25">
      <c r="A1133" s="65" t="s">
        <v>1433</v>
      </c>
      <c r="B1133" s="511" t="s">
        <v>1487</v>
      </c>
      <c r="C1133" s="511"/>
      <c r="D1133" s="511"/>
      <c r="E1133" s="61" t="s">
        <v>1437</v>
      </c>
      <c r="F1133" s="61" t="s">
        <v>389</v>
      </c>
      <c r="G1133" s="61" t="s">
        <v>55</v>
      </c>
      <c r="H1133" s="61"/>
      <c r="I1133" s="61" t="s">
        <v>1366</v>
      </c>
      <c r="J1133" s="62">
        <v>135</v>
      </c>
      <c r="K1133" s="62">
        <v>150</v>
      </c>
      <c r="L1133" s="62">
        <v>150</v>
      </c>
      <c r="M1133" s="232">
        <v>190</v>
      </c>
      <c r="N1133" s="55" t="s">
        <v>1592</v>
      </c>
      <c r="O1133" s="61" t="s">
        <v>52</v>
      </c>
      <c r="P1133" s="200"/>
      <c r="Q1133" s="200"/>
      <c r="R1133" s="200"/>
      <c r="S1133" s="200"/>
      <c r="T1133" s="66"/>
      <c r="U1133" s="66"/>
      <c r="V1133" s="66"/>
    </row>
    <row r="1134" spans="1:22" s="64" customFormat="1" x14ac:dyDescent="0.25">
      <c r="A1134" s="65" t="s">
        <v>1433</v>
      </c>
      <c r="B1134" s="511" t="s">
        <v>1488</v>
      </c>
      <c r="C1134" s="511"/>
      <c r="D1134" s="511"/>
      <c r="E1134" s="61" t="s">
        <v>1437</v>
      </c>
      <c r="F1134" s="61" t="s">
        <v>54</v>
      </c>
      <c r="G1134" s="61" t="s">
        <v>55</v>
      </c>
      <c r="H1134" s="61"/>
      <c r="I1134" s="61" t="s">
        <v>1366</v>
      </c>
      <c r="J1134" s="62">
        <v>135</v>
      </c>
      <c r="K1134" s="62">
        <v>150</v>
      </c>
      <c r="L1134" s="62">
        <v>150</v>
      </c>
      <c r="M1134" s="232">
        <v>190</v>
      </c>
      <c r="N1134" s="55" t="s">
        <v>1592</v>
      </c>
      <c r="O1134" s="61" t="s">
        <v>52</v>
      </c>
      <c r="P1134" s="200"/>
      <c r="Q1134" s="200"/>
      <c r="R1134" s="200"/>
      <c r="S1134" s="200"/>
      <c r="T1134" s="66"/>
      <c r="U1134" s="66"/>
      <c r="V1134" s="66"/>
    </row>
    <row r="1135" spans="1:22" s="64" customFormat="1" x14ac:dyDescent="0.25">
      <c r="A1135" s="65" t="s">
        <v>1433</v>
      </c>
      <c r="B1135" s="511" t="s">
        <v>1488</v>
      </c>
      <c r="C1135" s="511"/>
      <c r="D1135" s="511"/>
      <c r="E1135" s="61" t="s">
        <v>1438</v>
      </c>
      <c r="F1135" s="61" t="s">
        <v>389</v>
      </c>
      <c r="G1135" s="61" t="s">
        <v>55</v>
      </c>
      <c r="H1135" s="61"/>
      <c r="I1135" s="61" t="s">
        <v>1366</v>
      </c>
      <c r="J1135" s="62">
        <v>135</v>
      </c>
      <c r="K1135" s="62">
        <v>150</v>
      </c>
      <c r="L1135" s="62">
        <v>150</v>
      </c>
      <c r="M1135" s="232">
        <v>190</v>
      </c>
      <c r="N1135" s="55" t="s">
        <v>1592</v>
      </c>
      <c r="O1135" s="61" t="s">
        <v>52</v>
      </c>
      <c r="P1135" s="200"/>
      <c r="Q1135" s="200"/>
      <c r="R1135" s="200"/>
      <c r="S1135" s="200"/>
      <c r="T1135" s="66"/>
      <c r="U1135" s="66"/>
      <c r="V1135" s="66"/>
    </row>
    <row r="1136" spans="1:22" s="64" customFormat="1" x14ac:dyDescent="0.25">
      <c r="A1136" s="65" t="s">
        <v>1433</v>
      </c>
      <c r="B1136" s="511" t="s">
        <v>1488</v>
      </c>
      <c r="C1136" s="511"/>
      <c r="D1136" s="511"/>
      <c r="E1136" s="61" t="s">
        <v>1439</v>
      </c>
      <c r="F1136" s="61" t="s">
        <v>389</v>
      </c>
      <c r="G1136" s="61" t="s">
        <v>55</v>
      </c>
      <c r="H1136" s="61"/>
      <c r="I1136" s="61" t="s">
        <v>1366</v>
      </c>
      <c r="J1136" s="62">
        <v>135</v>
      </c>
      <c r="K1136" s="62">
        <v>150</v>
      </c>
      <c r="L1136" s="62">
        <v>150</v>
      </c>
      <c r="M1136" s="232">
        <v>190</v>
      </c>
      <c r="N1136" s="55" t="s">
        <v>1592</v>
      </c>
      <c r="O1136" s="61" t="s">
        <v>52</v>
      </c>
      <c r="P1136" s="200"/>
      <c r="Q1136" s="200"/>
      <c r="R1136" s="200"/>
      <c r="S1136" s="200"/>
      <c r="T1136" s="66"/>
      <c r="U1136" s="66"/>
      <c r="V1136" s="66"/>
    </row>
    <row r="1137" spans="1:22" s="64" customFormat="1" x14ac:dyDescent="0.25">
      <c r="A1137" s="65" t="s">
        <v>1433</v>
      </c>
      <c r="B1137" s="511" t="s">
        <v>1488</v>
      </c>
      <c r="C1137" s="511"/>
      <c r="D1137" s="511"/>
      <c r="E1137" s="61" t="s">
        <v>1437</v>
      </c>
      <c r="F1137" s="61" t="s">
        <v>389</v>
      </c>
      <c r="G1137" s="61" t="s">
        <v>55</v>
      </c>
      <c r="H1137" s="61"/>
      <c r="I1137" s="61" t="s">
        <v>1366</v>
      </c>
      <c r="J1137" s="62">
        <v>135</v>
      </c>
      <c r="K1137" s="62">
        <v>150</v>
      </c>
      <c r="L1137" s="62">
        <v>150</v>
      </c>
      <c r="M1137" s="232">
        <v>190</v>
      </c>
      <c r="N1137" s="55" t="s">
        <v>1592</v>
      </c>
      <c r="O1137" s="61" t="s">
        <v>52</v>
      </c>
      <c r="P1137" s="200"/>
      <c r="Q1137" s="200"/>
      <c r="R1137" s="200"/>
      <c r="S1137" s="200"/>
      <c r="T1137" s="66"/>
      <c r="U1137" s="66"/>
      <c r="V1137" s="66"/>
    </row>
    <row r="1138" spans="1:22" s="64" customFormat="1" x14ac:dyDescent="0.25">
      <c r="A1138" s="65" t="s">
        <v>1433</v>
      </c>
      <c r="B1138" s="511" t="s">
        <v>1489</v>
      </c>
      <c r="C1138" s="511"/>
      <c r="D1138" s="511"/>
      <c r="E1138" s="61" t="s">
        <v>1447</v>
      </c>
      <c r="F1138" s="61" t="s">
        <v>56</v>
      </c>
      <c r="G1138" s="61" t="s">
        <v>55</v>
      </c>
      <c r="H1138" s="61"/>
      <c r="I1138" s="61" t="s">
        <v>1366</v>
      </c>
      <c r="J1138" s="62">
        <v>570</v>
      </c>
      <c r="K1138" s="62">
        <v>585</v>
      </c>
      <c r="L1138" s="62">
        <v>585</v>
      </c>
      <c r="M1138" s="232"/>
      <c r="N1138" s="55" t="s">
        <v>1592</v>
      </c>
      <c r="O1138" s="61" t="s">
        <v>52</v>
      </c>
      <c r="P1138" s="200"/>
      <c r="Q1138" s="200"/>
      <c r="R1138" s="200"/>
      <c r="S1138" s="200"/>
      <c r="T1138" s="66"/>
      <c r="U1138" s="66"/>
      <c r="V1138" s="66"/>
    </row>
    <row r="1139" spans="1:22" s="64" customFormat="1" x14ac:dyDescent="0.25">
      <c r="A1139" s="65" t="s">
        <v>1433</v>
      </c>
      <c r="B1139" s="511" t="s">
        <v>1490</v>
      </c>
      <c r="C1139" s="511"/>
      <c r="D1139" s="511"/>
      <c r="E1139" s="61" t="s">
        <v>1437</v>
      </c>
      <c r="F1139" s="61" t="s">
        <v>54</v>
      </c>
      <c r="G1139" s="61" t="s">
        <v>55</v>
      </c>
      <c r="H1139" s="61"/>
      <c r="I1139" s="61" t="s">
        <v>1366</v>
      </c>
      <c r="J1139" s="62">
        <v>180</v>
      </c>
      <c r="K1139" s="62">
        <v>200</v>
      </c>
      <c r="L1139" s="62">
        <v>200</v>
      </c>
      <c r="M1139" s="232">
        <v>255</v>
      </c>
      <c r="N1139" s="55" t="s">
        <v>1592</v>
      </c>
      <c r="O1139" s="61" t="s">
        <v>52</v>
      </c>
      <c r="P1139" s="200"/>
      <c r="Q1139" s="200"/>
      <c r="R1139" s="200"/>
      <c r="S1139" s="200"/>
      <c r="T1139" s="66"/>
      <c r="U1139" s="66"/>
      <c r="V1139" s="66"/>
    </row>
    <row r="1140" spans="1:22" s="64" customFormat="1" x14ac:dyDescent="0.25">
      <c r="A1140" s="65" t="s">
        <v>1433</v>
      </c>
      <c r="B1140" s="511" t="s">
        <v>1490</v>
      </c>
      <c r="C1140" s="511"/>
      <c r="D1140" s="511"/>
      <c r="E1140" s="61" t="s">
        <v>1438</v>
      </c>
      <c r="F1140" s="61" t="s">
        <v>389</v>
      </c>
      <c r="G1140" s="61" t="s">
        <v>55</v>
      </c>
      <c r="H1140" s="61"/>
      <c r="I1140" s="61" t="s">
        <v>1366</v>
      </c>
      <c r="J1140" s="62">
        <v>180</v>
      </c>
      <c r="K1140" s="62">
        <v>200</v>
      </c>
      <c r="L1140" s="62">
        <v>200</v>
      </c>
      <c r="M1140" s="232">
        <v>255</v>
      </c>
      <c r="N1140" s="55" t="s">
        <v>1592</v>
      </c>
      <c r="O1140" s="61" t="s">
        <v>52</v>
      </c>
      <c r="P1140" s="200"/>
      <c r="Q1140" s="200"/>
      <c r="R1140" s="200"/>
      <c r="S1140" s="200"/>
      <c r="T1140" s="66"/>
      <c r="U1140" s="66"/>
      <c r="V1140" s="66"/>
    </row>
    <row r="1141" spans="1:22" s="64" customFormat="1" x14ac:dyDescent="0.25">
      <c r="A1141" s="65" t="s">
        <v>1433</v>
      </c>
      <c r="B1141" s="511" t="s">
        <v>1490</v>
      </c>
      <c r="C1141" s="511"/>
      <c r="D1141" s="511"/>
      <c r="E1141" s="61" t="s">
        <v>1439</v>
      </c>
      <c r="F1141" s="61" t="s">
        <v>389</v>
      </c>
      <c r="G1141" s="61" t="s">
        <v>55</v>
      </c>
      <c r="H1141" s="61"/>
      <c r="I1141" s="61" t="s">
        <v>1366</v>
      </c>
      <c r="J1141" s="62">
        <v>180</v>
      </c>
      <c r="K1141" s="62">
        <v>200</v>
      </c>
      <c r="L1141" s="62">
        <v>200</v>
      </c>
      <c r="M1141" s="232">
        <v>255</v>
      </c>
      <c r="N1141" s="55" t="s">
        <v>1592</v>
      </c>
      <c r="O1141" s="61" t="s">
        <v>52</v>
      </c>
      <c r="P1141" s="200"/>
      <c r="Q1141" s="200"/>
      <c r="R1141" s="200"/>
      <c r="S1141" s="200"/>
      <c r="T1141" s="66"/>
      <c r="U1141" s="66"/>
      <c r="V1141" s="66"/>
    </row>
    <row r="1142" spans="1:22" s="64" customFormat="1" x14ac:dyDescent="0.25">
      <c r="A1142" s="65" t="s">
        <v>1433</v>
      </c>
      <c r="B1142" s="511" t="s">
        <v>1490</v>
      </c>
      <c r="C1142" s="511"/>
      <c r="D1142" s="511"/>
      <c r="E1142" s="61" t="s">
        <v>1437</v>
      </c>
      <c r="F1142" s="61" t="s">
        <v>389</v>
      </c>
      <c r="G1142" s="61" t="s">
        <v>55</v>
      </c>
      <c r="H1142" s="61"/>
      <c r="I1142" s="61" t="s">
        <v>1366</v>
      </c>
      <c r="J1142" s="62">
        <v>180</v>
      </c>
      <c r="K1142" s="62">
        <v>200</v>
      </c>
      <c r="L1142" s="62">
        <v>200</v>
      </c>
      <c r="M1142" s="232">
        <v>255</v>
      </c>
      <c r="N1142" s="55" t="s">
        <v>1592</v>
      </c>
      <c r="O1142" s="61" t="s">
        <v>52</v>
      </c>
      <c r="P1142" s="200"/>
      <c r="Q1142" s="200"/>
      <c r="R1142" s="200"/>
      <c r="S1142" s="200"/>
      <c r="T1142" s="66"/>
      <c r="U1142" s="66"/>
      <c r="V1142" s="66"/>
    </row>
    <row r="1143" spans="1:22" s="64" customFormat="1" x14ac:dyDescent="0.25">
      <c r="A1143" s="65" t="s">
        <v>1433</v>
      </c>
      <c r="B1143" s="511" t="s">
        <v>1491</v>
      </c>
      <c r="C1143" s="511"/>
      <c r="D1143" s="511"/>
      <c r="E1143" s="61" t="s">
        <v>1447</v>
      </c>
      <c r="F1143" s="61" t="s">
        <v>56</v>
      </c>
      <c r="G1143" s="61" t="s">
        <v>55</v>
      </c>
      <c r="H1143" s="61"/>
      <c r="I1143" s="61" t="s">
        <v>1366</v>
      </c>
      <c r="J1143" s="62">
        <v>340</v>
      </c>
      <c r="K1143" s="62">
        <v>520</v>
      </c>
      <c r="L1143" s="62">
        <v>520</v>
      </c>
      <c r="M1143" s="232"/>
      <c r="N1143" s="55" t="s">
        <v>1592</v>
      </c>
      <c r="O1143" s="61" t="s">
        <v>52</v>
      </c>
      <c r="P1143" s="200"/>
      <c r="Q1143" s="200"/>
      <c r="R1143" s="200"/>
      <c r="S1143" s="200"/>
      <c r="T1143" s="66"/>
      <c r="U1143" s="66"/>
      <c r="V1143" s="66"/>
    </row>
    <row r="1144" spans="1:22" s="64" customFormat="1" x14ac:dyDescent="0.25">
      <c r="A1144" s="65" t="s">
        <v>1433</v>
      </c>
      <c r="B1144" s="511" t="s">
        <v>1492</v>
      </c>
      <c r="C1144" s="511"/>
      <c r="D1144" s="511"/>
      <c r="E1144" s="61" t="s">
        <v>1435</v>
      </c>
      <c r="F1144" s="61" t="s">
        <v>54</v>
      </c>
      <c r="G1144" s="61" t="s">
        <v>55</v>
      </c>
      <c r="H1144" s="61"/>
      <c r="I1144" s="61" t="s">
        <v>1366</v>
      </c>
      <c r="J1144" s="62">
        <v>315</v>
      </c>
      <c r="K1144" s="62">
        <v>350</v>
      </c>
      <c r="L1144" s="62">
        <v>350</v>
      </c>
      <c r="M1144" s="232">
        <v>445</v>
      </c>
      <c r="N1144" s="55" t="s">
        <v>1592</v>
      </c>
      <c r="O1144" s="61" t="s">
        <v>52</v>
      </c>
      <c r="P1144" s="200"/>
      <c r="Q1144" s="200"/>
      <c r="R1144" s="200"/>
      <c r="S1144" s="200"/>
      <c r="T1144" s="66"/>
      <c r="U1144" s="66"/>
      <c r="V1144" s="66"/>
    </row>
    <row r="1145" spans="1:22" s="64" customFormat="1" x14ac:dyDescent="0.25">
      <c r="A1145" s="65" t="s">
        <v>1433</v>
      </c>
      <c r="B1145" s="511" t="s">
        <v>1492</v>
      </c>
      <c r="C1145" s="511"/>
      <c r="D1145" s="511"/>
      <c r="E1145" s="61" t="s">
        <v>1435</v>
      </c>
      <c r="F1145" s="61" t="s">
        <v>389</v>
      </c>
      <c r="G1145" s="61" t="s">
        <v>55</v>
      </c>
      <c r="H1145" s="61"/>
      <c r="I1145" s="61" t="s">
        <v>1366</v>
      </c>
      <c r="J1145" s="62">
        <v>315</v>
      </c>
      <c r="K1145" s="62">
        <v>350</v>
      </c>
      <c r="L1145" s="62">
        <v>350</v>
      </c>
      <c r="M1145" s="232">
        <v>445</v>
      </c>
      <c r="N1145" s="55" t="s">
        <v>1592</v>
      </c>
      <c r="O1145" s="61" t="s">
        <v>52</v>
      </c>
      <c r="P1145" s="200"/>
      <c r="Q1145" s="200"/>
      <c r="R1145" s="200"/>
      <c r="S1145" s="200"/>
      <c r="T1145" s="66"/>
      <c r="U1145" s="66"/>
      <c r="V1145" s="66"/>
    </row>
    <row r="1146" spans="1:22" s="64" customFormat="1" x14ac:dyDescent="0.25">
      <c r="A1146" s="65" t="s">
        <v>1433</v>
      </c>
      <c r="B1146" s="511" t="s">
        <v>1493</v>
      </c>
      <c r="C1146" s="511"/>
      <c r="D1146" s="511"/>
      <c r="E1146" s="61" t="s">
        <v>1437</v>
      </c>
      <c r="F1146" s="61" t="s">
        <v>54</v>
      </c>
      <c r="G1146" s="61" t="s">
        <v>55</v>
      </c>
      <c r="H1146" s="61"/>
      <c r="I1146" s="61" t="s">
        <v>1366</v>
      </c>
      <c r="J1146" s="62">
        <v>360</v>
      </c>
      <c r="K1146" s="62">
        <v>400</v>
      </c>
      <c r="L1146" s="62">
        <v>400</v>
      </c>
      <c r="M1146" s="232">
        <v>510</v>
      </c>
      <c r="N1146" s="55" t="s">
        <v>1592</v>
      </c>
      <c r="O1146" s="61" t="s">
        <v>52</v>
      </c>
      <c r="P1146" s="200"/>
      <c r="Q1146" s="200"/>
      <c r="R1146" s="200"/>
      <c r="S1146" s="200"/>
      <c r="T1146" s="66"/>
      <c r="U1146" s="66"/>
      <c r="V1146" s="66"/>
    </row>
    <row r="1147" spans="1:22" s="64" customFormat="1" x14ac:dyDescent="0.25">
      <c r="A1147" s="65" t="s">
        <v>1433</v>
      </c>
      <c r="B1147" s="511" t="s">
        <v>1493</v>
      </c>
      <c r="C1147" s="511"/>
      <c r="D1147" s="511"/>
      <c r="E1147" s="61" t="s">
        <v>1438</v>
      </c>
      <c r="F1147" s="61" t="s">
        <v>389</v>
      </c>
      <c r="G1147" s="61" t="s">
        <v>55</v>
      </c>
      <c r="H1147" s="61"/>
      <c r="I1147" s="61" t="s">
        <v>1366</v>
      </c>
      <c r="J1147" s="62">
        <v>360</v>
      </c>
      <c r="K1147" s="62">
        <v>400</v>
      </c>
      <c r="L1147" s="62">
        <v>400</v>
      </c>
      <c r="M1147" s="232">
        <v>510</v>
      </c>
      <c r="N1147" s="55" t="s">
        <v>1592</v>
      </c>
      <c r="O1147" s="61" t="s">
        <v>52</v>
      </c>
      <c r="P1147" s="200"/>
      <c r="Q1147" s="200"/>
      <c r="R1147" s="200"/>
      <c r="S1147" s="200"/>
      <c r="T1147" s="66"/>
      <c r="U1147" s="66"/>
      <c r="V1147" s="66"/>
    </row>
    <row r="1148" spans="1:22" s="64" customFormat="1" x14ac:dyDescent="0.25">
      <c r="A1148" s="65" t="s">
        <v>1433</v>
      </c>
      <c r="B1148" s="511" t="s">
        <v>1493</v>
      </c>
      <c r="C1148" s="511"/>
      <c r="D1148" s="511"/>
      <c r="E1148" s="61" t="s">
        <v>1439</v>
      </c>
      <c r="F1148" s="61" t="s">
        <v>389</v>
      </c>
      <c r="G1148" s="61" t="s">
        <v>55</v>
      </c>
      <c r="H1148" s="61"/>
      <c r="I1148" s="61" t="s">
        <v>1366</v>
      </c>
      <c r="J1148" s="62">
        <v>360</v>
      </c>
      <c r="K1148" s="62">
        <v>400</v>
      </c>
      <c r="L1148" s="62">
        <v>400</v>
      </c>
      <c r="M1148" s="232">
        <v>510</v>
      </c>
      <c r="N1148" s="55" t="s">
        <v>1592</v>
      </c>
      <c r="O1148" s="61" t="s">
        <v>52</v>
      </c>
      <c r="P1148" s="200"/>
      <c r="Q1148" s="200"/>
      <c r="R1148" s="200"/>
      <c r="S1148" s="200"/>
      <c r="T1148" s="66"/>
      <c r="U1148" s="66"/>
      <c r="V1148" s="66"/>
    </row>
    <row r="1149" spans="1:22" s="64" customFormat="1" x14ac:dyDescent="0.25">
      <c r="A1149" s="65" t="s">
        <v>1433</v>
      </c>
      <c r="B1149" s="511" t="s">
        <v>1493</v>
      </c>
      <c r="C1149" s="511"/>
      <c r="D1149" s="511"/>
      <c r="E1149" s="61" t="s">
        <v>1437</v>
      </c>
      <c r="F1149" s="61" t="s">
        <v>389</v>
      </c>
      <c r="G1149" s="61" t="s">
        <v>55</v>
      </c>
      <c r="H1149" s="61"/>
      <c r="I1149" s="61" t="s">
        <v>1366</v>
      </c>
      <c r="J1149" s="62">
        <v>360</v>
      </c>
      <c r="K1149" s="62">
        <v>400</v>
      </c>
      <c r="L1149" s="62">
        <v>400</v>
      </c>
      <c r="M1149" s="232">
        <v>510</v>
      </c>
      <c r="N1149" s="55" t="s">
        <v>1592</v>
      </c>
      <c r="O1149" s="61" t="s">
        <v>52</v>
      </c>
      <c r="P1149" s="200"/>
      <c r="Q1149" s="200"/>
      <c r="R1149" s="200"/>
      <c r="S1149" s="200"/>
      <c r="T1149" s="66"/>
      <c r="U1149" s="66"/>
      <c r="V1149" s="66"/>
    </row>
    <row r="1150" spans="1:22" s="64" customFormat="1" x14ac:dyDescent="0.25">
      <c r="A1150" s="65" t="s">
        <v>1433</v>
      </c>
      <c r="B1150" s="511" t="s">
        <v>1494</v>
      </c>
      <c r="C1150" s="511"/>
      <c r="D1150" s="511"/>
      <c r="E1150" s="61" t="s">
        <v>1435</v>
      </c>
      <c r="F1150" s="61" t="s">
        <v>56</v>
      </c>
      <c r="G1150" s="61" t="s">
        <v>55</v>
      </c>
      <c r="H1150" s="61"/>
      <c r="I1150" s="61" t="s">
        <v>1366</v>
      </c>
      <c r="J1150" s="62">
        <v>340</v>
      </c>
      <c r="K1150" s="62">
        <v>450</v>
      </c>
      <c r="L1150" s="62">
        <v>450</v>
      </c>
      <c r="M1150" s="232"/>
      <c r="N1150" s="55" t="s">
        <v>1592</v>
      </c>
      <c r="O1150" s="61" t="s">
        <v>52</v>
      </c>
      <c r="P1150" s="200"/>
      <c r="Q1150" s="200"/>
      <c r="R1150" s="200"/>
      <c r="S1150" s="200"/>
      <c r="T1150" s="66"/>
      <c r="U1150" s="66"/>
      <c r="V1150" s="66"/>
    </row>
    <row r="1151" spans="1:22" s="64" customFormat="1" x14ac:dyDescent="0.25">
      <c r="A1151" s="65" t="s">
        <v>1433</v>
      </c>
      <c r="B1151" s="511" t="s">
        <v>1495</v>
      </c>
      <c r="C1151" s="511"/>
      <c r="D1151" s="511"/>
      <c r="E1151" s="61" t="s">
        <v>1435</v>
      </c>
      <c r="F1151" s="61" t="s">
        <v>54</v>
      </c>
      <c r="G1151" s="61" t="s">
        <v>55</v>
      </c>
      <c r="H1151" s="61"/>
      <c r="I1151" s="61" t="s">
        <v>1366</v>
      </c>
      <c r="J1151" s="62">
        <v>180</v>
      </c>
      <c r="K1151" s="62">
        <v>200</v>
      </c>
      <c r="L1151" s="62">
        <v>200</v>
      </c>
      <c r="M1151" s="232">
        <v>255</v>
      </c>
      <c r="N1151" s="55" t="s">
        <v>1592</v>
      </c>
      <c r="O1151" s="61" t="s">
        <v>52</v>
      </c>
      <c r="P1151" s="200"/>
      <c r="Q1151" s="200"/>
      <c r="R1151" s="200"/>
      <c r="S1151" s="200"/>
      <c r="T1151" s="66"/>
      <c r="U1151" s="66"/>
      <c r="V1151" s="66"/>
    </row>
    <row r="1152" spans="1:22" s="64" customFormat="1" x14ac:dyDescent="0.25">
      <c r="A1152" s="65" t="s">
        <v>1433</v>
      </c>
      <c r="B1152" s="511" t="s">
        <v>1495</v>
      </c>
      <c r="C1152" s="511"/>
      <c r="D1152" s="511"/>
      <c r="E1152" s="61" t="s">
        <v>1435</v>
      </c>
      <c r="F1152" s="61" t="s">
        <v>389</v>
      </c>
      <c r="G1152" s="61" t="s">
        <v>55</v>
      </c>
      <c r="H1152" s="61"/>
      <c r="I1152" s="61" t="s">
        <v>1366</v>
      </c>
      <c r="J1152" s="62">
        <v>180</v>
      </c>
      <c r="K1152" s="62">
        <v>200</v>
      </c>
      <c r="L1152" s="62">
        <v>200</v>
      </c>
      <c r="M1152" s="232">
        <v>255</v>
      </c>
      <c r="N1152" s="55" t="s">
        <v>1592</v>
      </c>
      <c r="O1152" s="61" t="s">
        <v>52</v>
      </c>
      <c r="P1152" s="200"/>
      <c r="Q1152" s="200"/>
      <c r="R1152" s="200"/>
      <c r="S1152" s="200"/>
      <c r="T1152" s="66"/>
      <c r="U1152" s="66"/>
      <c r="V1152" s="66"/>
    </row>
    <row r="1153" spans="1:22" s="64" customFormat="1" x14ac:dyDescent="0.25">
      <c r="A1153" s="65" t="s">
        <v>1433</v>
      </c>
      <c r="B1153" s="511" t="s">
        <v>1496</v>
      </c>
      <c r="C1153" s="511"/>
      <c r="D1153" s="511"/>
      <c r="E1153" s="61" t="s">
        <v>1447</v>
      </c>
      <c r="F1153" s="61" t="s">
        <v>56</v>
      </c>
      <c r="G1153" s="61" t="s">
        <v>55</v>
      </c>
      <c r="H1153" s="61"/>
      <c r="I1153" s="61" t="s">
        <v>1366</v>
      </c>
      <c r="J1153" s="62">
        <v>230</v>
      </c>
      <c r="K1153" s="62">
        <v>265</v>
      </c>
      <c r="L1153" s="62">
        <v>265</v>
      </c>
      <c r="M1153" s="232"/>
      <c r="N1153" s="55" t="s">
        <v>1592</v>
      </c>
      <c r="O1153" s="61" t="s">
        <v>52</v>
      </c>
      <c r="P1153" s="200"/>
      <c r="Q1153" s="200"/>
      <c r="R1153" s="200"/>
      <c r="S1153" s="200"/>
      <c r="T1153" s="66"/>
      <c r="U1153" s="66"/>
      <c r="V1153" s="66"/>
    </row>
    <row r="1154" spans="1:22" s="64" customFormat="1" x14ac:dyDescent="0.25">
      <c r="A1154" s="65" t="s">
        <v>1433</v>
      </c>
      <c r="B1154" s="511" t="s">
        <v>1497</v>
      </c>
      <c r="C1154" s="511"/>
      <c r="D1154" s="511"/>
      <c r="E1154" s="61" t="s">
        <v>1435</v>
      </c>
      <c r="F1154" s="61" t="s">
        <v>54</v>
      </c>
      <c r="G1154" s="61" t="s">
        <v>55</v>
      </c>
      <c r="H1154" s="61"/>
      <c r="I1154" s="61" t="s">
        <v>1366</v>
      </c>
      <c r="J1154" s="62">
        <v>270</v>
      </c>
      <c r="K1154" s="62">
        <v>300</v>
      </c>
      <c r="L1154" s="62">
        <v>300</v>
      </c>
      <c r="M1154" s="232">
        <v>385</v>
      </c>
      <c r="N1154" s="55" t="s">
        <v>1592</v>
      </c>
      <c r="O1154" s="61" t="s">
        <v>52</v>
      </c>
      <c r="P1154" s="200"/>
      <c r="Q1154" s="200"/>
      <c r="R1154" s="200"/>
      <c r="S1154" s="200"/>
      <c r="T1154" s="66"/>
      <c r="U1154" s="66"/>
      <c r="V1154" s="66"/>
    </row>
    <row r="1155" spans="1:22" s="64" customFormat="1" x14ac:dyDescent="0.25">
      <c r="A1155" s="65" t="s">
        <v>1433</v>
      </c>
      <c r="B1155" s="511" t="s">
        <v>1497</v>
      </c>
      <c r="C1155" s="511"/>
      <c r="D1155" s="511"/>
      <c r="E1155" s="61" t="s">
        <v>1435</v>
      </c>
      <c r="F1155" s="61" t="s">
        <v>389</v>
      </c>
      <c r="G1155" s="61" t="s">
        <v>55</v>
      </c>
      <c r="H1155" s="61"/>
      <c r="I1155" s="61" t="s">
        <v>1366</v>
      </c>
      <c r="J1155" s="62">
        <v>270</v>
      </c>
      <c r="K1155" s="62">
        <v>300</v>
      </c>
      <c r="L1155" s="62">
        <v>300</v>
      </c>
      <c r="M1155" s="232">
        <v>385</v>
      </c>
      <c r="N1155" s="55" t="s">
        <v>1592</v>
      </c>
      <c r="O1155" s="61" t="s">
        <v>52</v>
      </c>
      <c r="P1155" s="200"/>
      <c r="Q1155" s="200"/>
      <c r="R1155" s="200"/>
      <c r="S1155" s="200"/>
      <c r="T1155" s="66"/>
      <c r="U1155" s="66"/>
      <c r="V1155" s="66"/>
    </row>
    <row r="1156" spans="1:22" s="64" customFormat="1" x14ac:dyDescent="0.25">
      <c r="A1156" s="65" t="s">
        <v>1433</v>
      </c>
      <c r="B1156" s="511" t="s">
        <v>1406</v>
      </c>
      <c r="C1156" s="511"/>
      <c r="D1156" s="511"/>
      <c r="E1156" s="61" t="s">
        <v>1435</v>
      </c>
      <c r="F1156" s="61" t="s">
        <v>54</v>
      </c>
      <c r="G1156" s="61" t="s">
        <v>55</v>
      </c>
      <c r="H1156" s="61"/>
      <c r="I1156" s="61" t="s">
        <v>1366</v>
      </c>
      <c r="J1156" s="62">
        <v>225</v>
      </c>
      <c r="K1156" s="62">
        <v>250</v>
      </c>
      <c r="L1156" s="62">
        <v>250</v>
      </c>
      <c r="M1156" s="232">
        <v>320</v>
      </c>
      <c r="N1156" s="55" t="s">
        <v>1592</v>
      </c>
      <c r="O1156" s="61" t="s">
        <v>52</v>
      </c>
      <c r="P1156" s="200"/>
      <c r="Q1156" s="200"/>
      <c r="R1156" s="200"/>
      <c r="S1156" s="200"/>
      <c r="T1156" s="66"/>
      <c r="U1156" s="66"/>
      <c r="V1156" s="66"/>
    </row>
    <row r="1157" spans="1:22" s="64" customFormat="1" x14ac:dyDescent="0.25">
      <c r="A1157" s="65" t="s">
        <v>1433</v>
      </c>
      <c r="B1157" s="511" t="s">
        <v>1498</v>
      </c>
      <c r="C1157" s="511"/>
      <c r="D1157" s="511"/>
      <c r="E1157" s="61" t="s">
        <v>1435</v>
      </c>
      <c r="F1157" s="61" t="s">
        <v>54</v>
      </c>
      <c r="G1157" s="61" t="s">
        <v>55</v>
      </c>
      <c r="H1157" s="61"/>
      <c r="I1157" s="61" t="s">
        <v>1366</v>
      </c>
      <c r="J1157" s="62">
        <v>225</v>
      </c>
      <c r="K1157" s="62">
        <v>250</v>
      </c>
      <c r="L1157" s="62">
        <v>250</v>
      </c>
      <c r="M1157" s="232">
        <v>320</v>
      </c>
      <c r="N1157" s="55" t="s">
        <v>1592</v>
      </c>
      <c r="O1157" s="61" t="s">
        <v>52</v>
      </c>
      <c r="P1157" s="200"/>
      <c r="Q1157" s="200"/>
      <c r="R1157" s="200"/>
      <c r="S1157" s="200"/>
      <c r="T1157" s="66"/>
      <c r="U1157" s="66"/>
      <c r="V1157" s="66"/>
    </row>
    <row r="1158" spans="1:22" s="64" customFormat="1" x14ac:dyDescent="0.25">
      <c r="A1158" s="65" t="s">
        <v>1433</v>
      </c>
      <c r="B1158" s="511" t="s">
        <v>1498</v>
      </c>
      <c r="C1158" s="511"/>
      <c r="D1158" s="511"/>
      <c r="E1158" s="61" t="s">
        <v>1435</v>
      </c>
      <c r="F1158" s="61" t="s">
        <v>389</v>
      </c>
      <c r="G1158" s="61" t="s">
        <v>55</v>
      </c>
      <c r="H1158" s="61"/>
      <c r="I1158" s="61" t="s">
        <v>1366</v>
      </c>
      <c r="J1158" s="62">
        <v>225</v>
      </c>
      <c r="K1158" s="62">
        <v>250</v>
      </c>
      <c r="L1158" s="62">
        <v>250</v>
      </c>
      <c r="M1158" s="232">
        <v>320</v>
      </c>
      <c r="N1158" s="55" t="s">
        <v>1592</v>
      </c>
      <c r="O1158" s="61" t="s">
        <v>52</v>
      </c>
      <c r="P1158" s="200"/>
      <c r="Q1158" s="200"/>
      <c r="R1158" s="200"/>
      <c r="S1158" s="200"/>
      <c r="T1158" s="66"/>
      <c r="U1158" s="66"/>
      <c r="V1158" s="66"/>
    </row>
    <row r="1159" spans="1:22" s="64" customFormat="1" x14ac:dyDescent="0.25">
      <c r="A1159" s="65" t="s">
        <v>1433</v>
      </c>
      <c r="B1159" s="511" t="s">
        <v>1499</v>
      </c>
      <c r="C1159" s="511"/>
      <c r="D1159" s="511"/>
      <c r="E1159" s="61" t="s">
        <v>1435</v>
      </c>
      <c r="F1159" s="61" t="s">
        <v>54</v>
      </c>
      <c r="G1159" s="61" t="s">
        <v>55</v>
      </c>
      <c r="H1159" s="61"/>
      <c r="I1159" s="61" t="s">
        <v>1366</v>
      </c>
      <c r="J1159" s="62">
        <v>675</v>
      </c>
      <c r="K1159" s="62">
        <v>750</v>
      </c>
      <c r="L1159" s="62">
        <v>750</v>
      </c>
      <c r="M1159" s="232">
        <v>955</v>
      </c>
      <c r="N1159" s="55" t="s">
        <v>1592</v>
      </c>
      <c r="O1159" s="61" t="s">
        <v>52</v>
      </c>
      <c r="P1159" s="200"/>
      <c r="Q1159" s="200"/>
      <c r="R1159" s="200"/>
      <c r="S1159" s="200"/>
      <c r="T1159" s="66"/>
      <c r="U1159" s="66"/>
      <c r="V1159" s="66"/>
    </row>
    <row r="1160" spans="1:22" s="64" customFormat="1" x14ac:dyDescent="0.25">
      <c r="A1160" s="65" t="s">
        <v>1433</v>
      </c>
      <c r="B1160" s="511" t="s">
        <v>1499</v>
      </c>
      <c r="C1160" s="511"/>
      <c r="D1160" s="511"/>
      <c r="E1160" s="61" t="s">
        <v>1435</v>
      </c>
      <c r="F1160" s="61" t="s">
        <v>389</v>
      </c>
      <c r="G1160" s="61" t="s">
        <v>55</v>
      </c>
      <c r="H1160" s="61"/>
      <c r="I1160" s="61" t="s">
        <v>1366</v>
      </c>
      <c r="J1160" s="62">
        <v>675</v>
      </c>
      <c r="K1160" s="62">
        <v>750</v>
      </c>
      <c r="L1160" s="62">
        <v>750</v>
      </c>
      <c r="M1160" s="232">
        <v>955</v>
      </c>
      <c r="N1160" s="55" t="s">
        <v>1592</v>
      </c>
      <c r="O1160" s="61" t="s">
        <v>52</v>
      </c>
      <c r="P1160" s="200"/>
      <c r="Q1160" s="200"/>
      <c r="R1160" s="200"/>
      <c r="S1160" s="200"/>
      <c r="T1160" s="66"/>
      <c r="U1160" s="66"/>
      <c r="V1160" s="66"/>
    </row>
    <row r="1161" spans="1:22" s="64" customFormat="1" x14ac:dyDescent="0.25">
      <c r="A1161" s="65" t="s">
        <v>1433</v>
      </c>
      <c r="B1161" s="511" t="s">
        <v>1500</v>
      </c>
      <c r="C1161" s="511"/>
      <c r="D1161" s="511"/>
      <c r="E1161" s="61" t="s">
        <v>1447</v>
      </c>
      <c r="F1161" s="61" t="s">
        <v>54</v>
      </c>
      <c r="G1161" s="61" t="s">
        <v>55</v>
      </c>
      <c r="H1161" s="61"/>
      <c r="I1161" s="61" t="s">
        <v>1366</v>
      </c>
      <c r="J1161" s="62">
        <v>270</v>
      </c>
      <c r="K1161" s="62">
        <v>300</v>
      </c>
      <c r="L1161" s="62">
        <v>300</v>
      </c>
      <c r="M1161" s="232">
        <v>385</v>
      </c>
      <c r="N1161" s="55" t="s">
        <v>1592</v>
      </c>
      <c r="O1161" s="61" t="s">
        <v>52</v>
      </c>
      <c r="P1161" s="200"/>
      <c r="Q1161" s="200"/>
      <c r="R1161" s="200"/>
      <c r="S1161" s="200"/>
      <c r="T1161" s="66"/>
      <c r="U1161" s="66"/>
      <c r="V1161" s="66"/>
    </row>
    <row r="1162" spans="1:22" s="64" customFormat="1" x14ac:dyDescent="0.25">
      <c r="A1162" s="65" t="s">
        <v>1433</v>
      </c>
      <c r="B1162" s="511" t="s">
        <v>1500</v>
      </c>
      <c r="C1162" s="511"/>
      <c r="D1162" s="511"/>
      <c r="E1162" s="61" t="s">
        <v>1447</v>
      </c>
      <c r="F1162" s="61" t="s">
        <v>389</v>
      </c>
      <c r="G1162" s="61" t="s">
        <v>55</v>
      </c>
      <c r="H1162" s="61"/>
      <c r="I1162" s="61" t="s">
        <v>1366</v>
      </c>
      <c r="J1162" s="62">
        <v>270</v>
      </c>
      <c r="K1162" s="62">
        <v>300</v>
      </c>
      <c r="L1162" s="62">
        <v>300</v>
      </c>
      <c r="M1162" s="232">
        <v>385</v>
      </c>
      <c r="N1162" s="55" t="s">
        <v>1592</v>
      </c>
      <c r="O1162" s="61" t="s">
        <v>52</v>
      </c>
      <c r="P1162" s="200"/>
      <c r="Q1162" s="200"/>
      <c r="R1162" s="200"/>
      <c r="S1162" s="200"/>
      <c r="T1162" s="66"/>
      <c r="U1162" s="66"/>
      <c r="V1162" s="66"/>
    </row>
    <row r="1163" spans="1:22" s="64" customFormat="1" x14ac:dyDescent="0.25">
      <c r="A1163" s="65" t="s">
        <v>1433</v>
      </c>
      <c r="B1163" s="511" t="s">
        <v>1501</v>
      </c>
      <c r="C1163" s="511"/>
      <c r="D1163" s="511"/>
      <c r="E1163" s="61" t="s">
        <v>1435</v>
      </c>
      <c r="F1163" s="61" t="s">
        <v>54</v>
      </c>
      <c r="G1163" s="61" t="s">
        <v>55</v>
      </c>
      <c r="H1163" s="61"/>
      <c r="I1163" s="61" t="s">
        <v>1366</v>
      </c>
      <c r="J1163" s="62">
        <v>360</v>
      </c>
      <c r="K1163" s="62">
        <v>400</v>
      </c>
      <c r="L1163" s="62">
        <v>400</v>
      </c>
      <c r="M1163" s="232">
        <v>510</v>
      </c>
      <c r="N1163" s="55" t="s">
        <v>1592</v>
      </c>
      <c r="O1163" s="61" t="s">
        <v>52</v>
      </c>
      <c r="P1163" s="200"/>
      <c r="Q1163" s="200"/>
      <c r="R1163" s="200"/>
      <c r="S1163" s="200"/>
      <c r="T1163" s="66"/>
      <c r="U1163" s="66"/>
      <c r="V1163" s="66"/>
    </row>
    <row r="1164" spans="1:22" s="64" customFormat="1" x14ac:dyDescent="0.25">
      <c r="A1164" s="65" t="s">
        <v>1433</v>
      </c>
      <c r="B1164" s="511" t="s">
        <v>1501</v>
      </c>
      <c r="C1164" s="511"/>
      <c r="D1164" s="511"/>
      <c r="E1164" s="61" t="s">
        <v>1435</v>
      </c>
      <c r="F1164" s="61" t="s">
        <v>389</v>
      </c>
      <c r="G1164" s="61" t="s">
        <v>55</v>
      </c>
      <c r="H1164" s="61"/>
      <c r="I1164" s="61" t="s">
        <v>1366</v>
      </c>
      <c r="J1164" s="62">
        <v>360</v>
      </c>
      <c r="K1164" s="62">
        <v>400</v>
      </c>
      <c r="L1164" s="62">
        <v>400</v>
      </c>
      <c r="M1164" s="232">
        <v>510</v>
      </c>
      <c r="N1164" s="55" t="s">
        <v>1592</v>
      </c>
      <c r="O1164" s="61" t="s">
        <v>52</v>
      </c>
      <c r="P1164" s="200"/>
      <c r="Q1164" s="200"/>
      <c r="R1164" s="200"/>
      <c r="S1164" s="200"/>
      <c r="T1164" s="66"/>
      <c r="U1164" s="66"/>
      <c r="V1164" s="66"/>
    </row>
    <row r="1165" spans="1:22" s="64" customFormat="1" x14ac:dyDescent="0.25">
      <c r="A1165" s="65" t="s">
        <v>1433</v>
      </c>
      <c r="B1165" s="511" t="s">
        <v>1501</v>
      </c>
      <c r="C1165" s="511"/>
      <c r="D1165" s="511"/>
      <c r="E1165" s="61" t="s">
        <v>1447</v>
      </c>
      <c r="F1165" s="61" t="s">
        <v>56</v>
      </c>
      <c r="G1165" s="61" t="s">
        <v>55</v>
      </c>
      <c r="H1165" s="61"/>
      <c r="I1165" s="61" t="s">
        <v>1366</v>
      </c>
      <c r="J1165" s="62">
        <v>430</v>
      </c>
      <c r="K1165" s="62">
        <v>460</v>
      </c>
      <c r="L1165" s="62">
        <v>460</v>
      </c>
      <c r="M1165" s="232"/>
      <c r="N1165" s="55" t="s">
        <v>1592</v>
      </c>
      <c r="O1165" s="61" t="s">
        <v>52</v>
      </c>
      <c r="P1165" s="200"/>
      <c r="Q1165" s="200"/>
      <c r="R1165" s="200"/>
      <c r="S1165" s="200"/>
      <c r="T1165" s="66"/>
      <c r="U1165" s="66"/>
      <c r="V1165" s="66"/>
    </row>
    <row r="1166" spans="1:22" s="64" customFormat="1" x14ac:dyDescent="0.25">
      <c r="A1166" s="65" t="s">
        <v>1433</v>
      </c>
      <c r="B1166" s="511" t="s">
        <v>1501</v>
      </c>
      <c r="C1166" s="511"/>
      <c r="D1166" s="511"/>
      <c r="E1166" s="61" t="s">
        <v>1455</v>
      </c>
      <c r="F1166" s="61" t="s">
        <v>56</v>
      </c>
      <c r="G1166" s="61" t="s">
        <v>55</v>
      </c>
      <c r="H1166" s="61"/>
      <c r="I1166" s="61" t="s">
        <v>1366</v>
      </c>
      <c r="J1166" s="62">
        <v>485</v>
      </c>
      <c r="K1166" s="62">
        <v>505</v>
      </c>
      <c r="L1166" s="62">
        <v>505</v>
      </c>
      <c r="M1166" s="232"/>
      <c r="N1166" s="55" t="s">
        <v>1592</v>
      </c>
      <c r="O1166" s="61" t="s">
        <v>52</v>
      </c>
      <c r="P1166" s="200"/>
      <c r="Q1166" s="200"/>
      <c r="R1166" s="200"/>
      <c r="S1166" s="200"/>
      <c r="T1166" s="66"/>
      <c r="U1166" s="66"/>
      <c r="V1166" s="66"/>
    </row>
    <row r="1167" spans="1:22" s="64" customFormat="1" x14ac:dyDescent="0.25">
      <c r="A1167" s="65" t="s">
        <v>1433</v>
      </c>
      <c r="B1167" s="511" t="s">
        <v>1502</v>
      </c>
      <c r="C1167" s="511"/>
      <c r="D1167" s="511"/>
      <c r="E1167" s="61" t="s">
        <v>1435</v>
      </c>
      <c r="F1167" s="61" t="s">
        <v>54</v>
      </c>
      <c r="G1167" s="61" t="s">
        <v>55</v>
      </c>
      <c r="H1167" s="61"/>
      <c r="I1167" s="61" t="s">
        <v>1366</v>
      </c>
      <c r="J1167" s="62">
        <v>270</v>
      </c>
      <c r="K1167" s="62">
        <v>300</v>
      </c>
      <c r="L1167" s="62">
        <v>300</v>
      </c>
      <c r="M1167" s="232">
        <v>380</v>
      </c>
      <c r="N1167" s="55" t="s">
        <v>1592</v>
      </c>
      <c r="O1167" s="61" t="s">
        <v>52</v>
      </c>
      <c r="P1167" s="200"/>
      <c r="Q1167" s="200"/>
      <c r="R1167" s="200"/>
      <c r="S1167" s="200"/>
      <c r="T1167" s="66"/>
      <c r="U1167" s="66"/>
      <c r="V1167" s="66"/>
    </row>
    <row r="1168" spans="1:22" s="64" customFormat="1" x14ac:dyDescent="0.25">
      <c r="A1168" s="65" t="s">
        <v>1433</v>
      </c>
      <c r="B1168" s="511" t="s">
        <v>1502</v>
      </c>
      <c r="C1168" s="511"/>
      <c r="D1168" s="511"/>
      <c r="E1168" s="61" t="s">
        <v>1435</v>
      </c>
      <c r="F1168" s="61" t="s">
        <v>389</v>
      </c>
      <c r="G1168" s="61" t="s">
        <v>55</v>
      </c>
      <c r="H1168" s="61"/>
      <c r="I1168" s="61" t="s">
        <v>1366</v>
      </c>
      <c r="J1168" s="62">
        <v>270</v>
      </c>
      <c r="K1168" s="62">
        <v>300</v>
      </c>
      <c r="L1168" s="62">
        <v>300</v>
      </c>
      <c r="M1168" s="232">
        <v>380</v>
      </c>
      <c r="N1168" s="55" t="s">
        <v>1592</v>
      </c>
      <c r="O1168" s="61" t="s">
        <v>52</v>
      </c>
      <c r="P1168" s="200"/>
      <c r="Q1168" s="200"/>
      <c r="R1168" s="200"/>
      <c r="S1168" s="200"/>
      <c r="T1168" s="66"/>
      <c r="U1168" s="66"/>
      <c r="V1168" s="66"/>
    </row>
    <row r="1169" spans="1:22" s="64" customFormat="1" x14ac:dyDescent="0.25">
      <c r="A1169" s="65" t="s">
        <v>1433</v>
      </c>
      <c r="B1169" s="511" t="s">
        <v>1503</v>
      </c>
      <c r="C1169" s="511"/>
      <c r="D1169" s="511"/>
      <c r="E1169" s="61" t="s">
        <v>1435</v>
      </c>
      <c r="F1169" s="61" t="s">
        <v>56</v>
      </c>
      <c r="G1169" s="61" t="s">
        <v>55</v>
      </c>
      <c r="H1169" s="61"/>
      <c r="I1169" s="61" t="s">
        <v>1366</v>
      </c>
      <c r="J1169" s="62">
        <v>380</v>
      </c>
      <c r="K1169" s="62">
        <v>520</v>
      </c>
      <c r="L1169" s="62">
        <v>520</v>
      </c>
      <c r="M1169" s="232"/>
      <c r="N1169" s="55" t="s">
        <v>1592</v>
      </c>
      <c r="O1169" s="61" t="s">
        <v>52</v>
      </c>
      <c r="P1169" s="200"/>
      <c r="Q1169" s="200"/>
      <c r="R1169" s="200"/>
      <c r="S1169" s="200"/>
      <c r="T1169" s="66"/>
      <c r="U1169" s="66"/>
      <c r="V1169" s="66"/>
    </row>
    <row r="1170" spans="1:22" s="64" customFormat="1" x14ac:dyDescent="0.25">
      <c r="A1170" s="65" t="s">
        <v>1433</v>
      </c>
      <c r="B1170" s="511" t="s">
        <v>1505</v>
      </c>
      <c r="C1170" s="511"/>
      <c r="D1170" s="511"/>
      <c r="E1170" s="61" t="s">
        <v>1437</v>
      </c>
      <c r="F1170" s="61" t="s">
        <v>54</v>
      </c>
      <c r="G1170" s="61" t="s">
        <v>55</v>
      </c>
      <c r="H1170" s="61"/>
      <c r="I1170" s="61" t="s">
        <v>1366</v>
      </c>
      <c r="J1170" s="62">
        <v>180</v>
      </c>
      <c r="K1170" s="62">
        <v>200</v>
      </c>
      <c r="L1170" s="62">
        <v>200</v>
      </c>
      <c r="M1170" s="232">
        <v>255</v>
      </c>
      <c r="N1170" s="55" t="s">
        <v>1592</v>
      </c>
      <c r="O1170" s="61" t="s">
        <v>52</v>
      </c>
      <c r="P1170" s="200"/>
      <c r="Q1170" s="200"/>
      <c r="R1170" s="200"/>
      <c r="S1170" s="200"/>
      <c r="T1170" s="66"/>
      <c r="U1170" s="66"/>
      <c r="V1170" s="66"/>
    </row>
    <row r="1171" spans="1:22" s="64" customFormat="1" x14ac:dyDescent="0.25">
      <c r="A1171" s="65" t="s">
        <v>1433</v>
      </c>
      <c r="B1171" s="511" t="s">
        <v>1505</v>
      </c>
      <c r="C1171" s="511"/>
      <c r="D1171" s="511"/>
      <c r="E1171" s="61" t="s">
        <v>1438</v>
      </c>
      <c r="F1171" s="61" t="s">
        <v>389</v>
      </c>
      <c r="G1171" s="61" t="s">
        <v>55</v>
      </c>
      <c r="H1171" s="61"/>
      <c r="I1171" s="61" t="s">
        <v>1366</v>
      </c>
      <c r="J1171" s="62">
        <v>180</v>
      </c>
      <c r="K1171" s="62">
        <v>200</v>
      </c>
      <c r="L1171" s="62">
        <v>200</v>
      </c>
      <c r="M1171" s="232">
        <v>255</v>
      </c>
      <c r="N1171" s="55" t="s">
        <v>1592</v>
      </c>
      <c r="O1171" s="61" t="s">
        <v>52</v>
      </c>
      <c r="P1171" s="200"/>
      <c r="Q1171" s="200"/>
      <c r="R1171" s="200"/>
      <c r="S1171" s="200"/>
      <c r="T1171" s="66"/>
      <c r="U1171" s="66"/>
      <c r="V1171" s="66"/>
    </row>
    <row r="1172" spans="1:22" s="64" customFormat="1" x14ac:dyDescent="0.25">
      <c r="A1172" s="65" t="s">
        <v>1433</v>
      </c>
      <c r="B1172" s="511" t="s">
        <v>1505</v>
      </c>
      <c r="C1172" s="511"/>
      <c r="D1172" s="511"/>
      <c r="E1172" s="61" t="s">
        <v>1439</v>
      </c>
      <c r="F1172" s="61" t="s">
        <v>389</v>
      </c>
      <c r="G1172" s="61" t="s">
        <v>55</v>
      </c>
      <c r="H1172" s="61"/>
      <c r="I1172" s="61" t="s">
        <v>1366</v>
      </c>
      <c r="J1172" s="62">
        <v>180</v>
      </c>
      <c r="K1172" s="62">
        <v>200</v>
      </c>
      <c r="L1172" s="62">
        <v>200</v>
      </c>
      <c r="M1172" s="232">
        <v>255</v>
      </c>
      <c r="N1172" s="55" t="s">
        <v>1592</v>
      </c>
      <c r="O1172" s="61" t="s">
        <v>52</v>
      </c>
      <c r="P1172" s="200"/>
      <c r="Q1172" s="200"/>
      <c r="R1172" s="200"/>
      <c r="S1172" s="200"/>
      <c r="T1172" s="66"/>
      <c r="U1172" s="66"/>
      <c r="V1172" s="66"/>
    </row>
    <row r="1173" spans="1:22" s="64" customFormat="1" x14ac:dyDescent="0.25">
      <c r="A1173" s="65" t="s">
        <v>1433</v>
      </c>
      <c r="B1173" s="511" t="s">
        <v>1505</v>
      </c>
      <c r="C1173" s="511"/>
      <c r="D1173" s="511"/>
      <c r="E1173" s="61" t="s">
        <v>1437</v>
      </c>
      <c r="F1173" s="61" t="s">
        <v>389</v>
      </c>
      <c r="G1173" s="61" t="s">
        <v>55</v>
      </c>
      <c r="H1173" s="61"/>
      <c r="I1173" s="61" t="s">
        <v>1366</v>
      </c>
      <c r="J1173" s="62">
        <v>180</v>
      </c>
      <c r="K1173" s="62">
        <v>200</v>
      </c>
      <c r="L1173" s="62">
        <v>200</v>
      </c>
      <c r="M1173" s="232">
        <v>255</v>
      </c>
      <c r="N1173" s="55" t="s">
        <v>1592</v>
      </c>
      <c r="O1173" s="61" t="s">
        <v>52</v>
      </c>
      <c r="P1173" s="200"/>
      <c r="Q1173" s="200"/>
      <c r="R1173" s="200"/>
      <c r="S1173" s="200"/>
      <c r="T1173" s="66"/>
      <c r="U1173" s="66"/>
      <c r="V1173" s="66"/>
    </row>
    <row r="1174" spans="1:22" s="64" customFormat="1" x14ac:dyDescent="0.25">
      <c r="A1174" s="65" t="s">
        <v>1433</v>
      </c>
      <c r="B1174" s="511" t="s">
        <v>1505</v>
      </c>
      <c r="C1174" s="511"/>
      <c r="D1174" s="511"/>
      <c r="E1174" s="61" t="s">
        <v>1437</v>
      </c>
      <c r="F1174" s="61" t="s">
        <v>56</v>
      </c>
      <c r="G1174" s="61" t="s">
        <v>55</v>
      </c>
      <c r="H1174" s="61"/>
      <c r="I1174" s="61" t="s">
        <v>1366</v>
      </c>
      <c r="J1174" s="62">
        <v>255</v>
      </c>
      <c r="K1174" s="62">
        <v>295</v>
      </c>
      <c r="L1174" s="62">
        <v>295</v>
      </c>
      <c r="M1174" s="232">
        <v>205</v>
      </c>
      <c r="N1174" s="55" t="s">
        <v>1592</v>
      </c>
      <c r="O1174" s="61" t="s">
        <v>52</v>
      </c>
      <c r="P1174" s="200"/>
      <c r="Q1174" s="200"/>
      <c r="R1174" s="200"/>
      <c r="S1174" s="200"/>
      <c r="T1174" s="66"/>
      <c r="U1174" s="66"/>
      <c r="V1174" s="66"/>
    </row>
    <row r="1175" spans="1:22" s="64" customFormat="1" x14ac:dyDescent="0.25">
      <c r="A1175" s="65" t="s">
        <v>1433</v>
      </c>
      <c r="B1175" s="511" t="s">
        <v>1506</v>
      </c>
      <c r="C1175" s="511"/>
      <c r="D1175" s="511"/>
      <c r="E1175" s="61" t="s">
        <v>1447</v>
      </c>
      <c r="F1175" s="61" t="s">
        <v>56</v>
      </c>
      <c r="G1175" s="61" t="s">
        <v>55</v>
      </c>
      <c r="H1175" s="61"/>
      <c r="I1175" s="61" t="s">
        <v>1366</v>
      </c>
      <c r="J1175" s="62">
        <v>380</v>
      </c>
      <c r="K1175" s="62">
        <v>370</v>
      </c>
      <c r="L1175" s="62">
        <v>370</v>
      </c>
      <c r="M1175" s="232"/>
      <c r="N1175" s="55" t="s">
        <v>1592</v>
      </c>
      <c r="O1175" s="61" t="s">
        <v>52</v>
      </c>
      <c r="P1175" s="200"/>
      <c r="Q1175" s="200"/>
      <c r="R1175" s="200"/>
      <c r="S1175" s="200"/>
      <c r="T1175" s="66"/>
      <c r="U1175" s="66"/>
      <c r="V1175" s="66"/>
    </row>
    <row r="1176" spans="1:22" s="64" customFormat="1" x14ac:dyDescent="0.25">
      <c r="A1176" s="65" t="s">
        <v>1433</v>
      </c>
      <c r="B1176" s="511" t="s">
        <v>1506</v>
      </c>
      <c r="C1176" s="511"/>
      <c r="D1176" s="511"/>
      <c r="E1176" s="61" t="s">
        <v>1435</v>
      </c>
      <c r="F1176" s="61" t="s">
        <v>56</v>
      </c>
      <c r="G1176" s="61" t="s">
        <v>55</v>
      </c>
      <c r="H1176" s="61"/>
      <c r="I1176" s="61" t="s">
        <v>1366</v>
      </c>
      <c r="J1176" s="62">
        <v>400</v>
      </c>
      <c r="K1176" s="62">
        <v>405</v>
      </c>
      <c r="L1176" s="62">
        <v>405</v>
      </c>
      <c r="M1176" s="232"/>
      <c r="N1176" s="55" t="s">
        <v>1592</v>
      </c>
      <c r="O1176" s="61" t="s">
        <v>52</v>
      </c>
      <c r="P1176" s="200"/>
      <c r="Q1176" s="200"/>
      <c r="R1176" s="200"/>
      <c r="S1176" s="200"/>
      <c r="T1176" s="66"/>
      <c r="U1176" s="66"/>
      <c r="V1176" s="66"/>
    </row>
    <row r="1177" spans="1:22" s="64" customFormat="1" x14ac:dyDescent="0.25">
      <c r="A1177" s="65" t="s">
        <v>1433</v>
      </c>
      <c r="B1177" s="511" t="s">
        <v>1507</v>
      </c>
      <c r="C1177" s="511"/>
      <c r="D1177" s="511"/>
      <c r="E1177" s="61" t="s">
        <v>1435</v>
      </c>
      <c r="F1177" s="61" t="s">
        <v>54</v>
      </c>
      <c r="G1177" s="61" t="s">
        <v>55</v>
      </c>
      <c r="H1177" s="61"/>
      <c r="I1177" s="61" t="s">
        <v>1366</v>
      </c>
      <c r="J1177" s="62">
        <v>405</v>
      </c>
      <c r="K1177" s="62">
        <v>450</v>
      </c>
      <c r="L1177" s="62">
        <v>450</v>
      </c>
      <c r="M1177" s="232">
        <v>570</v>
      </c>
      <c r="N1177" s="55" t="s">
        <v>1592</v>
      </c>
      <c r="O1177" s="61" t="s">
        <v>52</v>
      </c>
      <c r="P1177" s="200"/>
      <c r="Q1177" s="200"/>
      <c r="R1177" s="200"/>
      <c r="S1177" s="200"/>
      <c r="T1177" s="66"/>
      <c r="U1177" s="66"/>
      <c r="V1177" s="66"/>
    </row>
    <row r="1178" spans="1:22" s="64" customFormat="1" x14ac:dyDescent="0.25">
      <c r="A1178" s="65" t="s">
        <v>1433</v>
      </c>
      <c r="B1178" s="511" t="s">
        <v>1507</v>
      </c>
      <c r="C1178" s="511"/>
      <c r="D1178" s="511"/>
      <c r="E1178" s="61" t="s">
        <v>1435</v>
      </c>
      <c r="F1178" s="61" t="s">
        <v>389</v>
      </c>
      <c r="G1178" s="61" t="s">
        <v>55</v>
      </c>
      <c r="H1178" s="61"/>
      <c r="I1178" s="61" t="s">
        <v>1366</v>
      </c>
      <c r="J1178" s="62">
        <v>405</v>
      </c>
      <c r="K1178" s="62">
        <v>450</v>
      </c>
      <c r="L1178" s="62">
        <v>450</v>
      </c>
      <c r="M1178" s="232">
        <v>570</v>
      </c>
      <c r="N1178" s="55" t="s">
        <v>1592</v>
      </c>
      <c r="O1178" s="61" t="s">
        <v>52</v>
      </c>
      <c r="P1178" s="200"/>
      <c r="Q1178" s="200"/>
      <c r="R1178" s="200"/>
      <c r="S1178" s="200"/>
      <c r="T1178" s="66"/>
      <c r="U1178" s="66"/>
      <c r="V1178" s="66"/>
    </row>
    <row r="1179" spans="1:22" s="64" customFormat="1" x14ac:dyDescent="0.25">
      <c r="A1179" s="65" t="s">
        <v>1433</v>
      </c>
      <c r="B1179" s="511" t="s">
        <v>1508</v>
      </c>
      <c r="C1179" s="511"/>
      <c r="D1179" s="511"/>
      <c r="E1179" s="61" t="s">
        <v>1435</v>
      </c>
      <c r="F1179" s="61" t="s">
        <v>54</v>
      </c>
      <c r="G1179" s="61" t="s">
        <v>55</v>
      </c>
      <c r="H1179" s="61"/>
      <c r="I1179" s="61" t="s">
        <v>1366</v>
      </c>
      <c r="J1179" s="62">
        <v>900</v>
      </c>
      <c r="K1179" s="62">
        <v>1000</v>
      </c>
      <c r="L1179" s="62">
        <v>1000</v>
      </c>
      <c r="M1179" s="232">
        <v>1270</v>
      </c>
      <c r="N1179" s="55" t="s">
        <v>1592</v>
      </c>
      <c r="O1179" s="61" t="s">
        <v>52</v>
      </c>
      <c r="P1179" s="200"/>
      <c r="Q1179" s="200"/>
      <c r="R1179" s="200"/>
      <c r="S1179" s="200"/>
      <c r="T1179" s="66"/>
      <c r="U1179" s="66"/>
      <c r="V1179" s="66"/>
    </row>
    <row r="1180" spans="1:22" s="64" customFormat="1" x14ac:dyDescent="0.25">
      <c r="A1180" s="65" t="s">
        <v>1433</v>
      </c>
      <c r="B1180" s="511" t="s">
        <v>1508</v>
      </c>
      <c r="C1180" s="511"/>
      <c r="D1180" s="511"/>
      <c r="E1180" s="61" t="s">
        <v>1435</v>
      </c>
      <c r="F1180" s="61" t="s">
        <v>389</v>
      </c>
      <c r="G1180" s="61" t="s">
        <v>55</v>
      </c>
      <c r="H1180" s="61"/>
      <c r="I1180" s="61" t="s">
        <v>1366</v>
      </c>
      <c r="J1180" s="62">
        <v>900</v>
      </c>
      <c r="K1180" s="62">
        <v>1000</v>
      </c>
      <c r="L1180" s="62">
        <v>1000</v>
      </c>
      <c r="M1180" s="232">
        <v>1270</v>
      </c>
      <c r="N1180" s="55" t="s">
        <v>1592</v>
      </c>
      <c r="O1180" s="61" t="s">
        <v>52</v>
      </c>
      <c r="P1180" s="200"/>
      <c r="Q1180" s="200"/>
      <c r="R1180" s="200"/>
      <c r="S1180" s="200"/>
      <c r="T1180" s="66"/>
      <c r="U1180" s="66"/>
      <c r="V1180" s="66"/>
    </row>
    <row r="1181" spans="1:22" s="64" customFormat="1" x14ac:dyDescent="0.25">
      <c r="A1181" s="65" t="s">
        <v>1433</v>
      </c>
      <c r="B1181" s="511" t="s">
        <v>1509</v>
      </c>
      <c r="C1181" s="511"/>
      <c r="D1181" s="511"/>
      <c r="E1181" s="61" t="s">
        <v>1435</v>
      </c>
      <c r="F1181" s="61" t="s">
        <v>54</v>
      </c>
      <c r="G1181" s="61" t="s">
        <v>55</v>
      </c>
      <c r="H1181" s="61"/>
      <c r="I1181" s="61" t="s">
        <v>1366</v>
      </c>
      <c r="J1181" s="62">
        <v>315</v>
      </c>
      <c r="K1181" s="62">
        <v>350</v>
      </c>
      <c r="L1181" s="62">
        <v>350</v>
      </c>
      <c r="M1181" s="232">
        <v>445</v>
      </c>
      <c r="N1181" s="55" t="s">
        <v>1592</v>
      </c>
      <c r="O1181" s="61" t="s">
        <v>52</v>
      </c>
      <c r="P1181" s="200"/>
      <c r="Q1181" s="200"/>
      <c r="R1181" s="200"/>
      <c r="S1181" s="200"/>
      <c r="T1181" s="66"/>
      <c r="U1181" s="66"/>
      <c r="V1181" s="66"/>
    </row>
    <row r="1182" spans="1:22" s="64" customFormat="1" x14ac:dyDescent="0.25">
      <c r="A1182" s="65" t="s">
        <v>1433</v>
      </c>
      <c r="B1182" s="511" t="s">
        <v>1509</v>
      </c>
      <c r="C1182" s="511"/>
      <c r="D1182" s="511"/>
      <c r="E1182" s="61" t="s">
        <v>1435</v>
      </c>
      <c r="F1182" s="61" t="s">
        <v>389</v>
      </c>
      <c r="G1182" s="61" t="s">
        <v>55</v>
      </c>
      <c r="H1182" s="61"/>
      <c r="I1182" s="61" t="s">
        <v>1366</v>
      </c>
      <c r="J1182" s="62">
        <v>315</v>
      </c>
      <c r="K1182" s="62">
        <v>350</v>
      </c>
      <c r="L1182" s="62">
        <v>350</v>
      </c>
      <c r="M1182" s="232">
        <v>445</v>
      </c>
      <c r="N1182" s="55" t="s">
        <v>1592</v>
      </c>
      <c r="O1182" s="61" t="s">
        <v>52</v>
      </c>
      <c r="P1182" s="200"/>
      <c r="Q1182" s="200"/>
      <c r="R1182" s="200"/>
      <c r="S1182" s="200"/>
      <c r="T1182" s="66"/>
      <c r="U1182" s="66"/>
      <c r="V1182" s="66"/>
    </row>
    <row r="1183" spans="1:22" s="64" customFormat="1" x14ac:dyDescent="0.25">
      <c r="A1183" s="65" t="s">
        <v>1433</v>
      </c>
      <c r="B1183" s="511" t="s">
        <v>1510</v>
      </c>
      <c r="C1183" s="511"/>
      <c r="D1183" s="511"/>
      <c r="E1183" s="61" t="s">
        <v>1435</v>
      </c>
      <c r="F1183" s="61" t="s">
        <v>54</v>
      </c>
      <c r="G1183" s="61" t="s">
        <v>55</v>
      </c>
      <c r="H1183" s="61"/>
      <c r="I1183" s="61" t="s">
        <v>1366</v>
      </c>
      <c r="J1183" s="62">
        <v>315</v>
      </c>
      <c r="K1183" s="62">
        <v>350</v>
      </c>
      <c r="L1183" s="62">
        <v>350</v>
      </c>
      <c r="M1183" s="232">
        <v>445</v>
      </c>
      <c r="N1183" s="55" t="s">
        <v>1592</v>
      </c>
      <c r="O1183" s="61" t="s">
        <v>52</v>
      </c>
      <c r="P1183" s="200"/>
      <c r="Q1183" s="200"/>
      <c r="R1183" s="200"/>
      <c r="S1183" s="200"/>
      <c r="T1183" s="66"/>
      <c r="U1183" s="66"/>
      <c r="V1183" s="66"/>
    </row>
    <row r="1184" spans="1:22" s="64" customFormat="1" x14ac:dyDescent="0.25">
      <c r="A1184" s="65" t="s">
        <v>1433</v>
      </c>
      <c r="B1184" s="511" t="s">
        <v>1510</v>
      </c>
      <c r="C1184" s="511"/>
      <c r="D1184" s="511"/>
      <c r="E1184" s="61" t="s">
        <v>1435</v>
      </c>
      <c r="F1184" s="61" t="s">
        <v>389</v>
      </c>
      <c r="G1184" s="61" t="s">
        <v>55</v>
      </c>
      <c r="H1184" s="61"/>
      <c r="I1184" s="61" t="s">
        <v>1366</v>
      </c>
      <c r="J1184" s="62">
        <v>315</v>
      </c>
      <c r="K1184" s="62">
        <v>350</v>
      </c>
      <c r="L1184" s="62">
        <v>350</v>
      </c>
      <c r="M1184" s="232">
        <v>445</v>
      </c>
      <c r="N1184" s="55" t="s">
        <v>1592</v>
      </c>
      <c r="O1184" s="61" t="s">
        <v>52</v>
      </c>
      <c r="P1184" s="200"/>
      <c r="Q1184" s="200"/>
      <c r="R1184" s="200"/>
      <c r="S1184" s="200"/>
      <c r="T1184" s="66"/>
      <c r="U1184" s="66"/>
      <c r="V1184" s="66"/>
    </row>
    <row r="1185" spans="1:22" s="64" customFormat="1" x14ac:dyDescent="0.25">
      <c r="A1185" s="65" t="s">
        <v>1433</v>
      </c>
      <c r="B1185" s="511" t="s">
        <v>1510</v>
      </c>
      <c r="C1185" s="511"/>
      <c r="D1185" s="511"/>
      <c r="E1185" s="61" t="s">
        <v>1439</v>
      </c>
      <c r="F1185" s="61" t="s">
        <v>56</v>
      </c>
      <c r="G1185" s="61" t="s">
        <v>55</v>
      </c>
      <c r="H1185" s="61"/>
      <c r="I1185" s="61" t="s">
        <v>1366</v>
      </c>
      <c r="J1185" s="62">
        <v>420</v>
      </c>
      <c r="K1185" s="62">
        <v>595</v>
      </c>
      <c r="L1185" s="62">
        <v>595</v>
      </c>
      <c r="M1185" s="232"/>
      <c r="N1185" s="55" t="s">
        <v>1592</v>
      </c>
      <c r="O1185" s="61" t="s">
        <v>52</v>
      </c>
      <c r="P1185" s="200"/>
      <c r="Q1185" s="200"/>
      <c r="R1185" s="200"/>
      <c r="S1185" s="200"/>
      <c r="T1185" s="66"/>
      <c r="U1185" s="66"/>
      <c r="V1185" s="66"/>
    </row>
    <row r="1186" spans="1:22" s="64" customFormat="1" x14ac:dyDescent="0.25">
      <c r="A1186" s="65" t="s">
        <v>1433</v>
      </c>
      <c r="B1186" s="511" t="s">
        <v>1510</v>
      </c>
      <c r="C1186" s="511"/>
      <c r="D1186" s="511"/>
      <c r="E1186" s="61" t="s">
        <v>1437</v>
      </c>
      <c r="F1186" s="61" t="s">
        <v>56</v>
      </c>
      <c r="G1186" s="61" t="s">
        <v>55</v>
      </c>
      <c r="H1186" s="61"/>
      <c r="I1186" s="61" t="s">
        <v>1366</v>
      </c>
      <c r="J1186" s="62">
        <v>475</v>
      </c>
      <c r="K1186" s="62">
        <v>645</v>
      </c>
      <c r="L1186" s="62">
        <v>645</v>
      </c>
      <c r="M1186" s="232"/>
      <c r="N1186" s="55" t="s">
        <v>1592</v>
      </c>
      <c r="O1186" s="61" t="s">
        <v>52</v>
      </c>
      <c r="P1186" s="200"/>
      <c r="Q1186" s="200"/>
      <c r="R1186" s="200"/>
      <c r="S1186" s="200"/>
      <c r="T1186" s="66"/>
      <c r="U1186" s="66"/>
      <c r="V1186" s="66"/>
    </row>
    <row r="1187" spans="1:22" s="64" customFormat="1" x14ac:dyDescent="0.25">
      <c r="A1187" s="65" t="s">
        <v>1433</v>
      </c>
      <c r="B1187" s="511" t="s">
        <v>1511</v>
      </c>
      <c r="C1187" s="511"/>
      <c r="D1187" s="511"/>
      <c r="E1187" s="61" t="s">
        <v>1437</v>
      </c>
      <c r="F1187" s="61" t="s">
        <v>54</v>
      </c>
      <c r="G1187" s="61" t="s">
        <v>55</v>
      </c>
      <c r="H1187" s="61"/>
      <c r="I1187" s="61" t="s">
        <v>1366</v>
      </c>
      <c r="J1187" s="62">
        <v>135</v>
      </c>
      <c r="K1187" s="62">
        <v>150</v>
      </c>
      <c r="L1187" s="62">
        <v>150</v>
      </c>
      <c r="M1187" s="232">
        <v>190</v>
      </c>
      <c r="N1187" s="55" t="s">
        <v>1592</v>
      </c>
      <c r="O1187" s="61" t="s">
        <v>52</v>
      </c>
      <c r="P1187" s="200"/>
      <c r="Q1187" s="200"/>
      <c r="R1187" s="200"/>
      <c r="S1187" s="200"/>
      <c r="T1187" s="66"/>
      <c r="U1187" s="66"/>
      <c r="V1187" s="66"/>
    </row>
    <row r="1188" spans="1:22" s="64" customFormat="1" x14ac:dyDescent="0.25">
      <c r="A1188" s="65" t="s">
        <v>1433</v>
      </c>
      <c r="B1188" s="511" t="s">
        <v>1511</v>
      </c>
      <c r="C1188" s="511"/>
      <c r="D1188" s="511"/>
      <c r="E1188" s="61" t="s">
        <v>1438</v>
      </c>
      <c r="F1188" s="61" t="s">
        <v>389</v>
      </c>
      <c r="G1188" s="61" t="s">
        <v>55</v>
      </c>
      <c r="H1188" s="61"/>
      <c r="I1188" s="61" t="s">
        <v>1366</v>
      </c>
      <c r="J1188" s="62">
        <v>135</v>
      </c>
      <c r="K1188" s="62">
        <v>150</v>
      </c>
      <c r="L1188" s="62">
        <v>150</v>
      </c>
      <c r="M1188" s="232">
        <v>190</v>
      </c>
      <c r="N1188" s="55" t="s">
        <v>1592</v>
      </c>
      <c r="O1188" s="61" t="s">
        <v>52</v>
      </c>
      <c r="P1188" s="200"/>
      <c r="Q1188" s="200"/>
      <c r="R1188" s="200"/>
      <c r="S1188" s="200"/>
      <c r="T1188" s="66"/>
      <c r="U1188" s="66"/>
      <c r="V1188" s="66"/>
    </row>
    <row r="1189" spans="1:22" s="64" customFormat="1" x14ac:dyDescent="0.25">
      <c r="A1189" s="65" t="s">
        <v>1433</v>
      </c>
      <c r="B1189" s="511" t="s">
        <v>1511</v>
      </c>
      <c r="C1189" s="511"/>
      <c r="D1189" s="511"/>
      <c r="E1189" s="61" t="s">
        <v>1439</v>
      </c>
      <c r="F1189" s="61" t="s">
        <v>389</v>
      </c>
      <c r="G1189" s="61" t="s">
        <v>55</v>
      </c>
      <c r="H1189" s="61"/>
      <c r="I1189" s="61" t="s">
        <v>1366</v>
      </c>
      <c r="J1189" s="62">
        <v>135</v>
      </c>
      <c r="K1189" s="62">
        <v>150</v>
      </c>
      <c r="L1189" s="62">
        <v>150</v>
      </c>
      <c r="M1189" s="232">
        <v>190</v>
      </c>
      <c r="N1189" s="55" t="s">
        <v>1592</v>
      </c>
      <c r="O1189" s="61" t="s">
        <v>52</v>
      </c>
      <c r="P1189" s="200"/>
      <c r="Q1189" s="200"/>
      <c r="R1189" s="200"/>
      <c r="S1189" s="200"/>
      <c r="T1189" s="66"/>
      <c r="U1189" s="66"/>
      <c r="V1189" s="66"/>
    </row>
    <row r="1190" spans="1:22" s="64" customFormat="1" x14ac:dyDescent="0.25">
      <c r="A1190" s="65" t="s">
        <v>1433</v>
      </c>
      <c r="B1190" s="511" t="s">
        <v>1511</v>
      </c>
      <c r="C1190" s="511"/>
      <c r="D1190" s="511"/>
      <c r="E1190" s="61" t="s">
        <v>1437</v>
      </c>
      <c r="F1190" s="61" t="s">
        <v>389</v>
      </c>
      <c r="G1190" s="61" t="s">
        <v>55</v>
      </c>
      <c r="H1190" s="61"/>
      <c r="I1190" s="61" t="s">
        <v>1366</v>
      </c>
      <c r="J1190" s="62">
        <v>135</v>
      </c>
      <c r="K1190" s="62">
        <v>150</v>
      </c>
      <c r="L1190" s="62">
        <v>150</v>
      </c>
      <c r="M1190" s="232">
        <v>190</v>
      </c>
      <c r="N1190" s="55" t="s">
        <v>1592</v>
      </c>
      <c r="O1190" s="61" t="s">
        <v>52</v>
      </c>
      <c r="P1190" s="200"/>
      <c r="Q1190" s="200"/>
      <c r="R1190" s="200"/>
      <c r="S1190" s="200"/>
      <c r="T1190" s="66"/>
      <c r="U1190" s="66"/>
      <c r="V1190" s="66"/>
    </row>
    <row r="1191" spans="1:22" s="64" customFormat="1" x14ac:dyDescent="0.25">
      <c r="A1191" s="65" t="s">
        <v>1433</v>
      </c>
      <c r="B1191" s="511" t="s">
        <v>1512</v>
      </c>
      <c r="C1191" s="511"/>
      <c r="D1191" s="511"/>
      <c r="E1191" s="61" t="s">
        <v>1435</v>
      </c>
      <c r="F1191" s="61" t="s">
        <v>54</v>
      </c>
      <c r="G1191" s="61" t="s">
        <v>55</v>
      </c>
      <c r="H1191" s="61"/>
      <c r="I1191" s="61" t="s">
        <v>1366</v>
      </c>
      <c r="J1191" s="62">
        <v>225</v>
      </c>
      <c r="K1191" s="62">
        <v>250</v>
      </c>
      <c r="L1191" s="62">
        <v>250</v>
      </c>
      <c r="M1191" s="232">
        <v>320</v>
      </c>
      <c r="N1191" s="55" t="s">
        <v>1592</v>
      </c>
      <c r="O1191" s="61" t="s">
        <v>52</v>
      </c>
      <c r="P1191" s="200"/>
      <c r="Q1191" s="200"/>
      <c r="R1191" s="200"/>
      <c r="S1191" s="200"/>
      <c r="T1191" s="66"/>
      <c r="U1191" s="66"/>
      <c r="V1191" s="66"/>
    </row>
    <row r="1192" spans="1:22" s="64" customFormat="1" x14ac:dyDescent="0.25">
      <c r="A1192" s="65" t="s">
        <v>1433</v>
      </c>
      <c r="B1192" s="511" t="s">
        <v>1512</v>
      </c>
      <c r="C1192" s="511"/>
      <c r="D1192" s="511"/>
      <c r="E1192" s="61" t="s">
        <v>1435</v>
      </c>
      <c r="F1192" s="61" t="s">
        <v>389</v>
      </c>
      <c r="G1192" s="61" t="s">
        <v>55</v>
      </c>
      <c r="H1192" s="61"/>
      <c r="I1192" s="61" t="s">
        <v>1366</v>
      </c>
      <c r="J1192" s="62">
        <v>225</v>
      </c>
      <c r="K1192" s="62">
        <v>250</v>
      </c>
      <c r="L1192" s="62">
        <v>250</v>
      </c>
      <c r="M1192" s="232">
        <v>320</v>
      </c>
      <c r="N1192" s="55" t="s">
        <v>1592</v>
      </c>
      <c r="O1192" s="61" t="s">
        <v>52</v>
      </c>
      <c r="P1192" s="200"/>
      <c r="Q1192" s="200"/>
      <c r="R1192" s="200"/>
      <c r="S1192" s="200"/>
      <c r="T1192" s="66"/>
      <c r="U1192" s="66"/>
      <c r="V1192" s="66"/>
    </row>
    <row r="1193" spans="1:22" s="64" customFormat="1" x14ac:dyDescent="0.25">
      <c r="A1193" s="65" t="s">
        <v>1433</v>
      </c>
      <c r="B1193" s="511" t="s">
        <v>1513</v>
      </c>
      <c r="C1193" s="511"/>
      <c r="D1193" s="511"/>
      <c r="E1193" s="61" t="s">
        <v>1437</v>
      </c>
      <c r="F1193" s="61" t="s">
        <v>54</v>
      </c>
      <c r="G1193" s="61" t="s">
        <v>55</v>
      </c>
      <c r="H1193" s="61"/>
      <c r="I1193" s="61" t="s">
        <v>1366</v>
      </c>
      <c r="J1193" s="62">
        <v>225</v>
      </c>
      <c r="K1193" s="62">
        <v>250</v>
      </c>
      <c r="L1193" s="62">
        <v>250</v>
      </c>
      <c r="M1193" s="232">
        <v>320</v>
      </c>
      <c r="N1193" s="55" t="s">
        <v>1592</v>
      </c>
      <c r="O1193" s="61" t="s">
        <v>52</v>
      </c>
      <c r="P1193" s="200"/>
      <c r="Q1193" s="200"/>
      <c r="R1193" s="200"/>
      <c r="S1193" s="200"/>
      <c r="T1193" s="66"/>
      <c r="U1193" s="66"/>
      <c r="V1193" s="66"/>
    </row>
    <row r="1194" spans="1:22" s="64" customFormat="1" x14ac:dyDescent="0.25">
      <c r="A1194" s="65" t="s">
        <v>1433</v>
      </c>
      <c r="B1194" s="511" t="s">
        <v>1513</v>
      </c>
      <c r="C1194" s="511"/>
      <c r="D1194" s="511"/>
      <c r="E1194" s="61" t="s">
        <v>1438</v>
      </c>
      <c r="F1194" s="61" t="s">
        <v>389</v>
      </c>
      <c r="G1194" s="61" t="s">
        <v>55</v>
      </c>
      <c r="H1194" s="61"/>
      <c r="I1194" s="61" t="s">
        <v>1366</v>
      </c>
      <c r="J1194" s="62">
        <v>225</v>
      </c>
      <c r="K1194" s="62">
        <v>250</v>
      </c>
      <c r="L1194" s="62">
        <v>250</v>
      </c>
      <c r="M1194" s="232">
        <v>320</v>
      </c>
      <c r="N1194" s="55" t="s">
        <v>1592</v>
      </c>
      <c r="O1194" s="61" t="s">
        <v>52</v>
      </c>
      <c r="P1194" s="200"/>
      <c r="Q1194" s="200"/>
      <c r="R1194" s="200"/>
      <c r="S1194" s="200"/>
      <c r="T1194" s="66"/>
      <c r="U1194" s="66"/>
      <c r="V1194" s="66"/>
    </row>
    <row r="1195" spans="1:22" s="64" customFormat="1" x14ac:dyDescent="0.25">
      <c r="A1195" s="65" t="s">
        <v>1433</v>
      </c>
      <c r="B1195" s="511" t="s">
        <v>1513</v>
      </c>
      <c r="C1195" s="511"/>
      <c r="D1195" s="511"/>
      <c r="E1195" s="61" t="s">
        <v>1439</v>
      </c>
      <c r="F1195" s="61" t="s">
        <v>389</v>
      </c>
      <c r="G1195" s="61" t="s">
        <v>55</v>
      </c>
      <c r="H1195" s="61"/>
      <c r="I1195" s="61" t="s">
        <v>1366</v>
      </c>
      <c r="J1195" s="62">
        <v>225</v>
      </c>
      <c r="K1195" s="62">
        <v>250</v>
      </c>
      <c r="L1195" s="62">
        <v>250</v>
      </c>
      <c r="M1195" s="232">
        <v>320</v>
      </c>
      <c r="N1195" s="55" t="s">
        <v>1592</v>
      </c>
      <c r="O1195" s="61" t="s">
        <v>52</v>
      </c>
      <c r="P1195" s="200"/>
      <c r="Q1195" s="200"/>
      <c r="R1195" s="200"/>
      <c r="S1195" s="200"/>
      <c r="T1195" s="66"/>
      <c r="U1195" s="66"/>
      <c r="V1195" s="66"/>
    </row>
    <row r="1196" spans="1:22" s="64" customFormat="1" x14ac:dyDescent="0.25">
      <c r="A1196" s="65" t="s">
        <v>1433</v>
      </c>
      <c r="B1196" s="511" t="s">
        <v>1513</v>
      </c>
      <c r="C1196" s="511"/>
      <c r="D1196" s="511"/>
      <c r="E1196" s="61" t="s">
        <v>1437</v>
      </c>
      <c r="F1196" s="61" t="s">
        <v>389</v>
      </c>
      <c r="G1196" s="61" t="s">
        <v>55</v>
      </c>
      <c r="H1196" s="61"/>
      <c r="I1196" s="61" t="s">
        <v>1366</v>
      </c>
      <c r="J1196" s="62">
        <v>225</v>
      </c>
      <c r="K1196" s="62">
        <v>250</v>
      </c>
      <c r="L1196" s="62">
        <v>250</v>
      </c>
      <c r="M1196" s="232">
        <v>320</v>
      </c>
      <c r="N1196" s="55" t="s">
        <v>1592</v>
      </c>
      <c r="O1196" s="61" t="s">
        <v>52</v>
      </c>
      <c r="P1196" s="200"/>
      <c r="Q1196" s="200"/>
      <c r="R1196" s="200"/>
      <c r="S1196" s="200"/>
      <c r="T1196" s="66"/>
      <c r="U1196" s="66"/>
      <c r="V1196" s="66"/>
    </row>
    <row r="1197" spans="1:22" s="64" customFormat="1" x14ac:dyDescent="0.25">
      <c r="A1197" s="65" t="s">
        <v>1433</v>
      </c>
      <c r="B1197" s="511" t="s">
        <v>1513</v>
      </c>
      <c r="C1197" s="511"/>
      <c r="D1197" s="511"/>
      <c r="E1197" s="61" t="s">
        <v>1437</v>
      </c>
      <c r="F1197" s="61" t="s">
        <v>56</v>
      </c>
      <c r="G1197" s="61" t="s">
        <v>55</v>
      </c>
      <c r="H1197" s="61"/>
      <c r="I1197" s="61" t="s">
        <v>1366</v>
      </c>
      <c r="J1197" s="62">
        <v>135</v>
      </c>
      <c r="K1197" s="62">
        <v>475</v>
      </c>
      <c r="L1197" s="62">
        <v>475</v>
      </c>
      <c r="M1197" s="232">
        <v>405</v>
      </c>
      <c r="N1197" s="55" t="s">
        <v>1592</v>
      </c>
      <c r="O1197" s="61" t="s">
        <v>52</v>
      </c>
      <c r="P1197" s="200"/>
      <c r="Q1197" s="200"/>
      <c r="R1197" s="200"/>
      <c r="S1197" s="200"/>
      <c r="T1197" s="66"/>
      <c r="U1197" s="66"/>
      <c r="V1197" s="66"/>
    </row>
    <row r="1198" spans="1:22" s="64" customFormat="1" x14ac:dyDescent="0.25">
      <c r="A1198" s="65" t="s">
        <v>1433</v>
      </c>
      <c r="B1198" s="511" t="s">
        <v>1514</v>
      </c>
      <c r="C1198" s="511"/>
      <c r="D1198" s="511"/>
      <c r="E1198" s="61" t="s">
        <v>1437</v>
      </c>
      <c r="F1198" s="61" t="s">
        <v>54</v>
      </c>
      <c r="G1198" s="61" t="s">
        <v>55</v>
      </c>
      <c r="H1198" s="61"/>
      <c r="I1198" s="61" t="s">
        <v>1366</v>
      </c>
      <c r="J1198" s="62">
        <v>135</v>
      </c>
      <c r="K1198" s="62">
        <v>150</v>
      </c>
      <c r="L1198" s="62">
        <v>150</v>
      </c>
      <c r="M1198" s="232">
        <v>195</v>
      </c>
      <c r="N1198" s="55" t="s">
        <v>1592</v>
      </c>
      <c r="O1198" s="61" t="s">
        <v>52</v>
      </c>
      <c r="P1198" s="200"/>
      <c r="Q1198" s="200"/>
      <c r="R1198" s="200"/>
      <c r="S1198" s="200"/>
      <c r="T1198" s="66"/>
      <c r="U1198" s="66"/>
      <c r="V1198" s="66"/>
    </row>
    <row r="1199" spans="1:22" s="64" customFormat="1" x14ac:dyDescent="0.25">
      <c r="A1199" s="65" t="s">
        <v>1433</v>
      </c>
      <c r="B1199" s="511" t="s">
        <v>1514</v>
      </c>
      <c r="C1199" s="511"/>
      <c r="D1199" s="511"/>
      <c r="E1199" s="61" t="s">
        <v>1438</v>
      </c>
      <c r="F1199" s="61" t="s">
        <v>389</v>
      </c>
      <c r="G1199" s="61" t="s">
        <v>55</v>
      </c>
      <c r="H1199" s="61"/>
      <c r="I1199" s="61" t="s">
        <v>1366</v>
      </c>
      <c r="J1199" s="62">
        <v>135</v>
      </c>
      <c r="K1199" s="62">
        <v>150</v>
      </c>
      <c r="L1199" s="62">
        <v>150</v>
      </c>
      <c r="M1199" s="232">
        <v>195</v>
      </c>
      <c r="N1199" s="55" t="s">
        <v>1592</v>
      </c>
      <c r="O1199" s="61" t="s">
        <v>52</v>
      </c>
      <c r="P1199" s="200"/>
      <c r="Q1199" s="200"/>
      <c r="R1199" s="200"/>
      <c r="S1199" s="200"/>
      <c r="T1199" s="66"/>
      <c r="U1199" s="66"/>
      <c r="V1199" s="66"/>
    </row>
    <row r="1200" spans="1:22" s="64" customFormat="1" x14ac:dyDescent="0.25">
      <c r="A1200" s="65" t="s">
        <v>1433</v>
      </c>
      <c r="B1200" s="511" t="s">
        <v>1514</v>
      </c>
      <c r="C1200" s="511"/>
      <c r="D1200" s="511"/>
      <c r="E1200" s="61" t="s">
        <v>1439</v>
      </c>
      <c r="F1200" s="61" t="s">
        <v>389</v>
      </c>
      <c r="G1200" s="61" t="s">
        <v>55</v>
      </c>
      <c r="H1200" s="61"/>
      <c r="I1200" s="61" t="s">
        <v>1366</v>
      </c>
      <c r="J1200" s="62">
        <v>135</v>
      </c>
      <c r="K1200" s="62">
        <v>150</v>
      </c>
      <c r="L1200" s="62">
        <v>150</v>
      </c>
      <c r="M1200" s="232">
        <v>195</v>
      </c>
      <c r="N1200" s="55" t="s">
        <v>1592</v>
      </c>
      <c r="O1200" s="61" t="s">
        <v>52</v>
      </c>
      <c r="P1200" s="200"/>
      <c r="Q1200" s="200"/>
      <c r="R1200" s="200"/>
      <c r="S1200" s="200"/>
      <c r="T1200" s="66"/>
      <c r="U1200" s="66"/>
      <c r="V1200" s="66"/>
    </row>
    <row r="1201" spans="1:22" s="64" customFormat="1" x14ac:dyDescent="0.25">
      <c r="A1201" s="65" t="s">
        <v>1433</v>
      </c>
      <c r="B1201" s="511" t="s">
        <v>1514</v>
      </c>
      <c r="C1201" s="511"/>
      <c r="D1201" s="511"/>
      <c r="E1201" s="61" t="s">
        <v>1437</v>
      </c>
      <c r="F1201" s="61" t="s">
        <v>389</v>
      </c>
      <c r="G1201" s="61" t="s">
        <v>55</v>
      </c>
      <c r="H1201" s="61"/>
      <c r="I1201" s="61" t="s">
        <v>1366</v>
      </c>
      <c r="J1201" s="62">
        <v>135</v>
      </c>
      <c r="K1201" s="62">
        <v>150</v>
      </c>
      <c r="L1201" s="62">
        <v>150</v>
      </c>
      <c r="M1201" s="232">
        <v>195</v>
      </c>
      <c r="N1201" s="55" t="s">
        <v>1592</v>
      </c>
      <c r="O1201" s="61" t="s">
        <v>52</v>
      </c>
      <c r="P1201" s="200"/>
      <c r="Q1201" s="200"/>
      <c r="R1201" s="200"/>
      <c r="S1201" s="200"/>
      <c r="T1201" s="66"/>
      <c r="U1201" s="66"/>
      <c r="V1201" s="66"/>
    </row>
    <row r="1202" spans="1:22" s="64" customFormat="1" x14ac:dyDescent="0.25">
      <c r="A1202" s="65" t="s">
        <v>1433</v>
      </c>
      <c r="B1202" s="511" t="s">
        <v>1515</v>
      </c>
      <c r="C1202" s="511"/>
      <c r="D1202" s="511"/>
      <c r="E1202" s="61" t="s">
        <v>1447</v>
      </c>
      <c r="F1202" s="61" t="s">
        <v>54</v>
      </c>
      <c r="G1202" s="61" t="s">
        <v>55</v>
      </c>
      <c r="H1202" s="61"/>
      <c r="I1202" s="61" t="s">
        <v>1366</v>
      </c>
      <c r="J1202" s="62">
        <v>135</v>
      </c>
      <c r="K1202" s="62">
        <v>150</v>
      </c>
      <c r="L1202" s="62">
        <v>150</v>
      </c>
      <c r="M1202" s="232">
        <v>190</v>
      </c>
      <c r="N1202" s="55" t="s">
        <v>1592</v>
      </c>
      <c r="O1202" s="61" t="s">
        <v>52</v>
      </c>
      <c r="P1202" s="200"/>
      <c r="Q1202" s="200"/>
      <c r="R1202" s="200"/>
      <c r="S1202" s="200"/>
      <c r="T1202" s="66"/>
      <c r="U1202" s="66"/>
      <c r="V1202" s="66"/>
    </row>
    <row r="1203" spans="1:22" s="64" customFormat="1" x14ac:dyDescent="0.25">
      <c r="A1203" s="65" t="s">
        <v>1433</v>
      </c>
      <c r="B1203" s="511" t="s">
        <v>1515</v>
      </c>
      <c r="C1203" s="511"/>
      <c r="D1203" s="511"/>
      <c r="E1203" s="61" t="s">
        <v>1447</v>
      </c>
      <c r="F1203" s="61" t="s">
        <v>389</v>
      </c>
      <c r="G1203" s="61" t="s">
        <v>55</v>
      </c>
      <c r="H1203" s="61"/>
      <c r="I1203" s="61" t="s">
        <v>1366</v>
      </c>
      <c r="J1203" s="62">
        <v>135</v>
      </c>
      <c r="K1203" s="62">
        <v>150</v>
      </c>
      <c r="L1203" s="62">
        <v>150</v>
      </c>
      <c r="M1203" s="232">
        <v>190</v>
      </c>
      <c r="N1203" s="55" t="s">
        <v>1592</v>
      </c>
      <c r="O1203" s="61" t="s">
        <v>52</v>
      </c>
      <c r="P1203" s="200"/>
      <c r="Q1203" s="200"/>
      <c r="R1203" s="200"/>
      <c r="S1203" s="200"/>
      <c r="T1203" s="66"/>
      <c r="U1203" s="66"/>
      <c r="V1203" s="66"/>
    </row>
    <row r="1204" spans="1:22" s="64" customFormat="1" x14ac:dyDescent="0.25">
      <c r="A1204" s="65" t="s">
        <v>1433</v>
      </c>
      <c r="B1204" s="511" t="s">
        <v>1517</v>
      </c>
      <c r="C1204" s="511"/>
      <c r="D1204" s="511"/>
      <c r="E1204" s="61" t="s">
        <v>1435</v>
      </c>
      <c r="F1204" s="61" t="s">
        <v>54</v>
      </c>
      <c r="G1204" s="61" t="s">
        <v>55</v>
      </c>
      <c r="H1204" s="61"/>
      <c r="I1204" s="61" t="s">
        <v>1366</v>
      </c>
      <c r="J1204" s="62">
        <v>225</v>
      </c>
      <c r="K1204" s="62">
        <v>250</v>
      </c>
      <c r="L1204" s="62">
        <v>250</v>
      </c>
      <c r="M1204" s="232">
        <v>320</v>
      </c>
      <c r="N1204" s="55" t="s">
        <v>1592</v>
      </c>
      <c r="O1204" s="61" t="s">
        <v>52</v>
      </c>
      <c r="P1204" s="200"/>
      <c r="Q1204" s="200"/>
      <c r="R1204" s="200"/>
      <c r="S1204" s="200"/>
      <c r="T1204" s="66"/>
      <c r="U1204" s="66"/>
      <c r="V1204" s="66"/>
    </row>
    <row r="1205" spans="1:22" s="64" customFormat="1" x14ac:dyDescent="0.25">
      <c r="A1205" s="65" t="s">
        <v>1433</v>
      </c>
      <c r="B1205" s="511" t="s">
        <v>1517</v>
      </c>
      <c r="C1205" s="511"/>
      <c r="D1205" s="511"/>
      <c r="E1205" s="61" t="s">
        <v>1435</v>
      </c>
      <c r="F1205" s="61" t="s">
        <v>389</v>
      </c>
      <c r="G1205" s="61" t="s">
        <v>55</v>
      </c>
      <c r="H1205" s="61"/>
      <c r="I1205" s="61" t="s">
        <v>1366</v>
      </c>
      <c r="J1205" s="62">
        <v>225</v>
      </c>
      <c r="K1205" s="62">
        <v>250</v>
      </c>
      <c r="L1205" s="62">
        <v>250</v>
      </c>
      <c r="M1205" s="232">
        <v>320</v>
      </c>
      <c r="N1205" s="55" t="s">
        <v>1592</v>
      </c>
      <c r="O1205" s="61" t="s">
        <v>52</v>
      </c>
      <c r="P1205" s="200"/>
      <c r="Q1205" s="200"/>
      <c r="R1205" s="200"/>
      <c r="S1205" s="200"/>
      <c r="T1205" s="66"/>
      <c r="U1205" s="66"/>
      <c r="V1205" s="66"/>
    </row>
    <row r="1206" spans="1:22" s="64" customFormat="1" x14ac:dyDescent="0.25">
      <c r="A1206" s="65" t="s">
        <v>1433</v>
      </c>
      <c r="B1206" s="511" t="s">
        <v>1518</v>
      </c>
      <c r="C1206" s="511"/>
      <c r="D1206" s="511"/>
      <c r="E1206" s="61" t="s">
        <v>1437</v>
      </c>
      <c r="F1206" s="61" t="s">
        <v>54</v>
      </c>
      <c r="G1206" s="61" t="s">
        <v>55</v>
      </c>
      <c r="H1206" s="61"/>
      <c r="I1206" s="61" t="s">
        <v>1366</v>
      </c>
      <c r="J1206" s="62">
        <v>180</v>
      </c>
      <c r="K1206" s="62">
        <v>200</v>
      </c>
      <c r="L1206" s="62">
        <v>200</v>
      </c>
      <c r="M1206" s="232">
        <v>255</v>
      </c>
      <c r="N1206" s="55" t="s">
        <v>1592</v>
      </c>
      <c r="O1206" s="61" t="s">
        <v>52</v>
      </c>
      <c r="P1206" s="200"/>
      <c r="Q1206" s="200"/>
      <c r="R1206" s="200"/>
      <c r="S1206" s="200"/>
      <c r="T1206" s="66"/>
      <c r="U1206" s="66"/>
      <c r="V1206" s="66"/>
    </row>
    <row r="1207" spans="1:22" s="64" customFormat="1" x14ac:dyDescent="0.25">
      <c r="A1207" s="65" t="s">
        <v>1433</v>
      </c>
      <c r="B1207" s="511" t="s">
        <v>1518</v>
      </c>
      <c r="C1207" s="511"/>
      <c r="D1207" s="511"/>
      <c r="E1207" s="61" t="s">
        <v>1438</v>
      </c>
      <c r="F1207" s="61" t="s">
        <v>389</v>
      </c>
      <c r="G1207" s="61" t="s">
        <v>55</v>
      </c>
      <c r="H1207" s="61"/>
      <c r="I1207" s="61" t="s">
        <v>1366</v>
      </c>
      <c r="J1207" s="62">
        <v>180</v>
      </c>
      <c r="K1207" s="62">
        <v>200</v>
      </c>
      <c r="L1207" s="62">
        <v>200</v>
      </c>
      <c r="M1207" s="232">
        <v>255</v>
      </c>
      <c r="N1207" s="55" t="s">
        <v>1592</v>
      </c>
      <c r="O1207" s="61" t="s">
        <v>52</v>
      </c>
      <c r="P1207" s="200"/>
      <c r="Q1207" s="200"/>
      <c r="R1207" s="200"/>
      <c r="S1207" s="200"/>
      <c r="T1207" s="66"/>
      <c r="U1207" s="66"/>
      <c r="V1207" s="66"/>
    </row>
    <row r="1208" spans="1:22" s="64" customFormat="1" x14ac:dyDescent="0.25">
      <c r="A1208" s="65" t="s">
        <v>1433</v>
      </c>
      <c r="B1208" s="511" t="s">
        <v>1518</v>
      </c>
      <c r="C1208" s="511"/>
      <c r="D1208" s="511"/>
      <c r="E1208" s="61" t="s">
        <v>1439</v>
      </c>
      <c r="F1208" s="61" t="s">
        <v>389</v>
      </c>
      <c r="G1208" s="61" t="s">
        <v>55</v>
      </c>
      <c r="H1208" s="61"/>
      <c r="I1208" s="61" t="s">
        <v>1366</v>
      </c>
      <c r="J1208" s="62">
        <v>180</v>
      </c>
      <c r="K1208" s="62">
        <v>200</v>
      </c>
      <c r="L1208" s="62">
        <v>200</v>
      </c>
      <c r="M1208" s="232">
        <v>255</v>
      </c>
      <c r="N1208" s="55" t="s">
        <v>1592</v>
      </c>
      <c r="O1208" s="61" t="s">
        <v>52</v>
      </c>
      <c r="P1208" s="200"/>
      <c r="Q1208" s="200"/>
      <c r="R1208" s="200"/>
      <c r="S1208" s="200"/>
      <c r="T1208" s="66"/>
      <c r="U1208" s="66"/>
      <c r="V1208" s="66"/>
    </row>
    <row r="1209" spans="1:22" s="64" customFormat="1" x14ac:dyDescent="0.25">
      <c r="A1209" s="65" t="s">
        <v>1433</v>
      </c>
      <c r="B1209" s="511" t="s">
        <v>1518</v>
      </c>
      <c r="C1209" s="511"/>
      <c r="D1209" s="511"/>
      <c r="E1209" s="61" t="s">
        <v>1437</v>
      </c>
      <c r="F1209" s="61" t="s">
        <v>389</v>
      </c>
      <c r="G1209" s="61" t="s">
        <v>55</v>
      </c>
      <c r="H1209" s="61"/>
      <c r="I1209" s="61" t="s">
        <v>1366</v>
      </c>
      <c r="J1209" s="62">
        <v>180</v>
      </c>
      <c r="K1209" s="62">
        <v>200</v>
      </c>
      <c r="L1209" s="62">
        <v>200</v>
      </c>
      <c r="M1209" s="232">
        <v>255</v>
      </c>
      <c r="N1209" s="55" t="s">
        <v>1592</v>
      </c>
      <c r="O1209" s="61" t="s">
        <v>52</v>
      </c>
      <c r="P1209" s="200"/>
      <c r="Q1209" s="200"/>
      <c r="R1209" s="200"/>
      <c r="S1209" s="200"/>
      <c r="T1209" s="66"/>
      <c r="U1209" s="66"/>
      <c r="V1209" s="66"/>
    </row>
    <row r="1210" spans="1:22" s="64" customFormat="1" x14ac:dyDescent="0.25">
      <c r="A1210" s="65" t="s">
        <v>1433</v>
      </c>
      <c r="B1210" s="511" t="s">
        <v>1519</v>
      </c>
      <c r="C1210" s="511"/>
      <c r="D1210" s="511"/>
      <c r="E1210" s="61" t="s">
        <v>1437</v>
      </c>
      <c r="F1210" s="61" t="s">
        <v>54</v>
      </c>
      <c r="G1210" s="61" t="s">
        <v>55</v>
      </c>
      <c r="H1210" s="61"/>
      <c r="I1210" s="61" t="s">
        <v>1366</v>
      </c>
      <c r="J1210" s="62">
        <v>225</v>
      </c>
      <c r="K1210" s="62">
        <v>250</v>
      </c>
      <c r="L1210" s="62">
        <v>250</v>
      </c>
      <c r="M1210" s="232">
        <v>320</v>
      </c>
      <c r="N1210" s="55" t="s">
        <v>1592</v>
      </c>
      <c r="O1210" s="61" t="s">
        <v>52</v>
      </c>
      <c r="P1210" s="200"/>
      <c r="Q1210" s="200"/>
      <c r="R1210" s="200"/>
      <c r="S1210" s="200"/>
      <c r="T1210" s="66"/>
      <c r="U1210" s="66"/>
      <c r="V1210" s="66"/>
    </row>
    <row r="1211" spans="1:22" s="64" customFormat="1" x14ac:dyDescent="0.25">
      <c r="A1211" s="65" t="s">
        <v>1433</v>
      </c>
      <c r="B1211" s="511" t="s">
        <v>1519</v>
      </c>
      <c r="C1211" s="511"/>
      <c r="D1211" s="511"/>
      <c r="E1211" s="61" t="s">
        <v>1438</v>
      </c>
      <c r="F1211" s="61" t="s">
        <v>389</v>
      </c>
      <c r="G1211" s="61" t="s">
        <v>55</v>
      </c>
      <c r="H1211" s="61"/>
      <c r="I1211" s="61" t="s">
        <v>1366</v>
      </c>
      <c r="J1211" s="62">
        <v>225</v>
      </c>
      <c r="K1211" s="62">
        <v>250</v>
      </c>
      <c r="L1211" s="62">
        <v>250</v>
      </c>
      <c r="M1211" s="232">
        <v>320</v>
      </c>
      <c r="N1211" s="55" t="s">
        <v>1592</v>
      </c>
      <c r="O1211" s="61" t="s">
        <v>52</v>
      </c>
      <c r="P1211" s="200"/>
      <c r="Q1211" s="200"/>
      <c r="R1211" s="200"/>
      <c r="S1211" s="200"/>
      <c r="T1211" s="66"/>
      <c r="U1211" s="66"/>
      <c r="V1211" s="66"/>
    </row>
    <row r="1212" spans="1:22" s="64" customFormat="1" x14ac:dyDescent="0.25">
      <c r="A1212" s="65" t="s">
        <v>1433</v>
      </c>
      <c r="B1212" s="511" t="s">
        <v>1519</v>
      </c>
      <c r="C1212" s="511"/>
      <c r="D1212" s="511"/>
      <c r="E1212" s="61" t="s">
        <v>1439</v>
      </c>
      <c r="F1212" s="61" t="s">
        <v>389</v>
      </c>
      <c r="G1212" s="61" t="s">
        <v>55</v>
      </c>
      <c r="H1212" s="61"/>
      <c r="I1212" s="61" t="s">
        <v>1366</v>
      </c>
      <c r="J1212" s="62">
        <v>225</v>
      </c>
      <c r="K1212" s="62">
        <v>250</v>
      </c>
      <c r="L1212" s="62">
        <v>250</v>
      </c>
      <c r="M1212" s="232">
        <v>320</v>
      </c>
      <c r="N1212" s="55" t="s">
        <v>1592</v>
      </c>
      <c r="O1212" s="61" t="s">
        <v>52</v>
      </c>
      <c r="P1212" s="200"/>
      <c r="Q1212" s="200"/>
      <c r="R1212" s="200"/>
      <c r="S1212" s="200"/>
      <c r="T1212" s="66"/>
      <c r="U1212" s="66"/>
      <c r="V1212" s="66"/>
    </row>
    <row r="1213" spans="1:22" s="64" customFormat="1" x14ac:dyDescent="0.25">
      <c r="A1213" s="65" t="s">
        <v>1433</v>
      </c>
      <c r="B1213" s="511" t="s">
        <v>1519</v>
      </c>
      <c r="C1213" s="511"/>
      <c r="D1213" s="511"/>
      <c r="E1213" s="61" t="s">
        <v>1437</v>
      </c>
      <c r="F1213" s="61" t="s">
        <v>389</v>
      </c>
      <c r="G1213" s="61" t="s">
        <v>55</v>
      </c>
      <c r="H1213" s="61"/>
      <c r="I1213" s="61" t="s">
        <v>1366</v>
      </c>
      <c r="J1213" s="62">
        <v>225</v>
      </c>
      <c r="K1213" s="62">
        <v>250</v>
      </c>
      <c r="L1213" s="62">
        <v>250</v>
      </c>
      <c r="M1213" s="232">
        <v>320</v>
      </c>
      <c r="N1213" s="55" t="s">
        <v>1592</v>
      </c>
      <c r="O1213" s="61" t="s">
        <v>52</v>
      </c>
      <c r="P1213" s="200"/>
      <c r="Q1213" s="200"/>
      <c r="R1213" s="200"/>
      <c r="S1213" s="200"/>
      <c r="T1213" s="66"/>
      <c r="U1213" s="66"/>
      <c r="V1213" s="66"/>
    </row>
    <row r="1214" spans="1:22" s="64" customFormat="1" x14ac:dyDescent="0.25">
      <c r="A1214" s="65" t="s">
        <v>1433</v>
      </c>
      <c r="B1214" s="511" t="s">
        <v>1520</v>
      </c>
      <c r="C1214" s="511"/>
      <c r="D1214" s="511"/>
      <c r="E1214" s="61" t="s">
        <v>1447</v>
      </c>
      <c r="F1214" s="61" t="s">
        <v>56</v>
      </c>
      <c r="G1214" s="61" t="s">
        <v>55</v>
      </c>
      <c r="H1214" s="61"/>
      <c r="I1214" s="61" t="s">
        <v>1366</v>
      </c>
      <c r="J1214" s="62">
        <v>620</v>
      </c>
      <c r="K1214" s="62">
        <v>740</v>
      </c>
      <c r="L1214" s="62">
        <v>740</v>
      </c>
      <c r="M1214" s="232"/>
      <c r="N1214" s="55" t="s">
        <v>1592</v>
      </c>
      <c r="O1214" s="61" t="s">
        <v>52</v>
      </c>
      <c r="P1214" s="200"/>
      <c r="Q1214" s="200"/>
      <c r="R1214" s="200"/>
      <c r="S1214" s="200"/>
      <c r="T1214" s="66"/>
      <c r="U1214" s="66"/>
      <c r="V1214" s="66"/>
    </row>
    <row r="1215" spans="1:22" s="64" customFormat="1" x14ac:dyDescent="0.25">
      <c r="A1215" s="65" t="s">
        <v>1433</v>
      </c>
      <c r="B1215" s="511" t="s">
        <v>1521</v>
      </c>
      <c r="C1215" s="511"/>
      <c r="D1215" s="511"/>
      <c r="E1215" s="61" t="s">
        <v>1439</v>
      </c>
      <c r="F1215" s="61" t="s">
        <v>56</v>
      </c>
      <c r="G1215" s="61" t="s">
        <v>55</v>
      </c>
      <c r="H1215" s="61"/>
      <c r="I1215" s="61" t="s">
        <v>1366</v>
      </c>
      <c r="J1215" s="62">
        <v>425</v>
      </c>
      <c r="K1215" s="62">
        <v>490</v>
      </c>
      <c r="L1215" s="62">
        <v>490</v>
      </c>
      <c r="M1215" s="232"/>
      <c r="N1215" s="55" t="s">
        <v>1592</v>
      </c>
      <c r="O1215" s="61" t="s">
        <v>52</v>
      </c>
      <c r="P1215" s="200"/>
      <c r="Q1215" s="200"/>
      <c r="R1215" s="200"/>
      <c r="S1215" s="200"/>
      <c r="T1215" s="66"/>
      <c r="U1215" s="66"/>
      <c r="V1215" s="66"/>
    </row>
    <row r="1216" spans="1:22" s="64" customFormat="1" x14ac:dyDescent="0.25">
      <c r="A1216" s="65" t="s">
        <v>1433</v>
      </c>
      <c r="B1216" s="511" t="s">
        <v>1521</v>
      </c>
      <c r="C1216" s="511"/>
      <c r="D1216" s="511"/>
      <c r="E1216" s="61" t="s">
        <v>1437</v>
      </c>
      <c r="F1216" s="61" t="s">
        <v>56</v>
      </c>
      <c r="G1216" s="61" t="s">
        <v>55</v>
      </c>
      <c r="H1216" s="61"/>
      <c r="I1216" s="61" t="s">
        <v>1366</v>
      </c>
      <c r="J1216" s="62">
        <v>400</v>
      </c>
      <c r="K1216" s="62">
        <v>475</v>
      </c>
      <c r="L1216" s="62">
        <v>475</v>
      </c>
      <c r="M1216" s="232"/>
      <c r="N1216" s="55" t="s">
        <v>1592</v>
      </c>
      <c r="O1216" s="61" t="s">
        <v>52</v>
      </c>
      <c r="P1216" s="200"/>
      <c r="Q1216" s="200"/>
      <c r="R1216" s="200"/>
      <c r="S1216" s="200"/>
      <c r="T1216" s="66"/>
      <c r="U1216" s="66"/>
      <c r="V1216" s="66"/>
    </row>
    <row r="1217" spans="1:22" s="64" customFormat="1" x14ac:dyDescent="0.25">
      <c r="A1217" s="65" t="s">
        <v>1412</v>
      </c>
      <c r="B1217" s="511" t="s">
        <v>1438</v>
      </c>
      <c r="C1217" s="511"/>
      <c r="D1217" s="511"/>
      <c r="E1217" s="61" t="s">
        <v>1437</v>
      </c>
      <c r="F1217" s="61" t="s">
        <v>54</v>
      </c>
      <c r="G1217" s="61" t="s">
        <v>55</v>
      </c>
      <c r="H1217" s="61"/>
      <c r="I1217" s="61" t="s">
        <v>1366</v>
      </c>
      <c r="J1217" s="62">
        <v>90</v>
      </c>
      <c r="K1217" s="62">
        <v>100</v>
      </c>
      <c r="L1217" s="62">
        <v>100</v>
      </c>
      <c r="M1217" s="232">
        <v>130</v>
      </c>
      <c r="N1217" s="55" t="s">
        <v>1592</v>
      </c>
      <c r="O1217" s="61" t="s">
        <v>52</v>
      </c>
      <c r="P1217" s="200"/>
      <c r="Q1217" s="200"/>
      <c r="R1217" s="200"/>
      <c r="S1217" s="200"/>
      <c r="T1217" s="66"/>
      <c r="U1217" s="66"/>
      <c r="V1217" s="66"/>
    </row>
    <row r="1218" spans="1:22" s="64" customFormat="1" x14ac:dyDescent="0.25">
      <c r="A1218" s="65" t="s">
        <v>1522</v>
      </c>
      <c r="B1218" s="511" t="s">
        <v>1523</v>
      </c>
      <c r="C1218" s="511"/>
      <c r="D1218" s="511"/>
      <c r="E1218" s="61" t="s">
        <v>1430</v>
      </c>
      <c r="F1218" s="61" t="s">
        <v>54</v>
      </c>
      <c r="G1218" s="61" t="s">
        <v>55</v>
      </c>
      <c r="H1218" s="61"/>
      <c r="I1218" s="61" t="s">
        <v>1366</v>
      </c>
      <c r="J1218" s="62">
        <v>1080</v>
      </c>
      <c r="K1218" s="62">
        <v>1200</v>
      </c>
      <c r="L1218" s="62">
        <v>1200</v>
      </c>
      <c r="M1218" s="232">
        <v>1525</v>
      </c>
      <c r="N1218" s="55" t="s">
        <v>1592</v>
      </c>
      <c r="O1218" s="61" t="s">
        <v>52</v>
      </c>
      <c r="P1218" s="200"/>
      <c r="Q1218" s="200"/>
      <c r="R1218" s="200"/>
      <c r="S1218" s="200"/>
      <c r="T1218" s="66"/>
      <c r="U1218" s="66"/>
      <c r="V1218" s="66"/>
    </row>
    <row r="1219" spans="1:22" s="64" customFormat="1" x14ac:dyDescent="0.25">
      <c r="A1219" s="65" t="s">
        <v>1522</v>
      </c>
      <c r="B1219" s="511" t="s">
        <v>1524</v>
      </c>
      <c r="C1219" s="511"/>
      <c r="D1219" s="511"/>
      <c r="E1219" s="61" t="s">
        <v>1430</v>
      </c>
      <c r="F1219" s="61" t="s">
        <v>54</v>
      </c>
      <c r="G1219" s="61" t="s">
        <v>55</v>
      </c>
      <c r="H1219" s="61"/>
      <c r="I1219" s="61" t="s">
        <v>1366</v>
      </c>
      <c r="J1219" s="62">
        <v>1035</v>
      </c>
      <c r="K1219" s="62">
        <v>1150</v>
      </c>
      <c r="L1219" s="62">
        <v>1150</v>
      </c>
      <c r="M1219" s="232">
        <v>1460</v>
      </c>
      <c r="N1219" s="55" t="s">
        <v>1592</v>
      </c>
      <c r="O1219" s="61" t="s">
        <v>52</v>
      </c>
      <c r="P1219" s="200"/>
      <c r="Q1219" s="200"/>
      <c r="R1219" s="200"/>
      <c r="S1219" s="200"/>
      <c r="T1219" s="66"/>
      <c r="U1219" s="66"/>
      <c r="V1219" s="66"/>
    </row>
    <row r="1220" spans="1:22" s="64" customFormat="1" x14ac:dyDescent="0.25">
      <c r="A1220" s="65" t="s">
        <v>1522</v>
      </c>
      <c r="B1220" s="511" t="s">
        <v>1525</v>
      </c>
      <c r="C1220" s="511"/>
      <c r="D1220" s="511"/>
      <c r="E1220" s="61" t="s">
        <v>1430</v>
      </c>
      <c r="F1220" s="61" t="s">
        <v>54</v>
      </c>
      <c r="G1220" s="61" t="s">
        <v>55</v>
      </c>
      <c r="H1220" s="61"/>
      <c r="I1220" s="61" t="s">
        <v>1366</v>
      </c>
      <c r="J1220" s="62">
        <v>360</v>
      </c>
      <c r="K1220" s="62">
        <v>400</v>
      </c>
      <c r="L1220" s="62">
        <v>400</v>
      </c>
      <c r="M1220" s="232">
        <v>510</v>
      </c>
      <c r="N1220" s="55" t="s">
        <v>1592</v>
      </c>
      <c r="O1220" s="61" t="s">
        <v>52</v>
      </c>
      <c r="P1220" s="200"/>
      <c r="Q1220" s="200"/>
      <c r="R1220" s="200"/>
      <c r="S1220" s="200"/>
      <c r="T1220" s="66"/>
      <c r="U1220" s="66"/>
      <c r="V1220" s="66"/>
    </row>
    <row r="1221" spans="1:22" s="64" customFormat="1" x14ac:dyDescent="0.25">
      <c r="A1221" s="65" t="s">
        <v>1522</v>
      </c>
      <c r="B1221" s="511" t="s">
        <v>1526</v>
      </c>
      <c r="C1221" s="511"/>
      <c r="D1221" s="511"/>
      <c r="E1221" s="61" t="s">
        <v>1430</v>
      </c>
      <c r="F1221" s="61" t="s">
        <v>54</v>
      </c>
      <c r="G1221" s="61" t="s">
        <v>55</v>
      </c>
      <c r="H1221" s="61"/>
      <c r="I1221" s="61" t="s">
        <v>1366</v>
      </c>
      <c r="J1221" s="62">
        <v>450</v>
      </c>
      <c r="K1221" s="62">
        <v>500</v>
      </c>
      <c r="L1221" s="62">
        <v>500</v>
      </c>
      <c r="M1221" s="232">
        <v>635</v>
      </c>
      <c r="N1221" s="55" t="s">
        <v>1592</v>
      </c>
      <c r="O1221" s="61" t="s">
        <v>52</v>
      </c>
      <c r="P1221" s="200"/>
      <c r="Q1221" s="200"/>
      <c r="R1221" s="200"/>
      <c r="S1221" s="200"/>
      <c r="T1221" s="66"/>
      <c r="U1221" s="66"/>
      <c r="V1221" s="66"/>
    </row>
    <row r="1222" spans="1:22" s="64" customFormat="1" x14ac:dyDescent="0.25">
      <c r="A1222" s="65" t="s">
        <v>1522</v>
      </c>
      <c r="B1222" s="511" t="s">
        <v>1527</v>
      </c>
      <c r="C1222" s="511"/>
      <c r="D1222" s="511"/>
      <c r="E1222" s="61" t="s">
        <v>1430</v>
      </c>
      <c r="F1222" s="61" t="s">
        <v>54</v>
      </c>
      <c r="G1222" s="61" t="s">
        <v>55</v>
      </c>
      <c r="H1222" s="61"/>
      <c r="I1222" s="61" t="s">
        <v>1366</v>
      </c>
      <c r="J1222" s="62">
        <v>1125</v>
      </c>
      <c r="K1222" s="62">
        <v>1250</v>
      </c>
      <c r="L1222" s="62">
        <v>1250</v>
      </c>
      <c r="M1222" s="232">
        <v>1585</v>
      </c>
      <c r="N1222" s="55" t="s">
        <v>1592</v>
      </c>
      <c r="O1222" s="61" t="s">
        <v>52</v>
      </c>
      <c r="P1222" s="200"/>
      <c r="Q1222" s="200"/>
      <c r="R1222" s="200"/>
      <c r="S1222" s="200"/>
      <c r="T1222" s="66"/>
      <c r="U1222" s="66"/>
      <c r="V1222" s="66"/>
    </row>
    <row r="1223" spans="1:22" s="64" customFormat="1" x14ac:dyDescent="0.25">
      <c r="A1223" s="65" t="s">
        <v>1522</v>
      </c>
      <c r="B1223" s="511" t="s">
        <v>1529</v>
      </c>
      <c r="C1223" s="511"/>
      <c r="D1223" s="511"/>
      <c r="E1223" s="61" t="s">
        <v>1430</v>
      </c>
      <c r="F1223" s="61" t="s">
        <v>54</v>
      </c>
      <c r="G1223" s="61" t="s">
        <v>55</v>
      </c>
      <c r="H1223" s="61"/>
      <c r="I1223" s="61" t="s">
        <v>1366</v>
      </c>
      <c r="J1223" s="62">
        <v>0</v>
      </c>
      <c r="K1223" s="62">
        <v>0</v>
      </c>
      <c r="L1223" s="62">
        <v>0</v>
      </c>
      <c r="M1223" s="232">
        <v>0</v>
      </c>
      <c r="N1223" s="55" t="s">
        <v>1592</v>
      </c>
      <c r="O1223" s="61" t="s">
        <v>52</v>
      </c>
      <c r="P1223" s="200"/>
      <c r="Q1223" s="200"/>
      <c r="R1223" s="200"/>
      <c r="S1223" s="200"/>
      <c r="T1223" s="66"/>
      <c r="U1223" s="66"/>
      <c r="V1223" s="66"/>
    </row>
    <row r="1224" spans="1:22" s="64" customFormat="1" x14ac:dyDescent="0.25">
      <c r="A1224" s="65" t="s">
        <v>1522</v>
      </c>
      <c r="B1224" s="511" t="s">
        <v>1530</v>
      </c>
      <c r="C1224" s="511"/>
      <c r="D1224" s="511"/>
      <c r="E1224" s="61" t="s">
        <v>1430</v>
      </c>
      <c r="F1224" s="61" t="s">
        <v>54</v>
      </c>
      <c r="G1224" s="61" t="s">
        <v>55</v>
      </c>
      <c r="H1224" s="61"/>
      <c r="I1224" s="61" t="s">
        <v>1366</v>
      </c>
      <c r="J1224" s="62">
        <v>495</v>
      </c>
      <c r="K1224" s="62">
        <v>550</v>
      </c>
      <c r="L1224" s="62">
        <v>550</v>
      </c>
      <c r="M1224" s="232">
        <v>700</v>
      </c>
      <c r="N1224" s="55" t="s">
        <v>1592</v>
      </c>
      <c r="O1224" s="61" t="s">
        <v>52</v>
      </c>
      <c r="P1224" s="200"/>
      <c r="Q1224" s="200"/>
      <c r="R1224" s="200"/>
      <c r="S1224" s="200"/>
      <c r="T1224" s="66"/>
      <c r="U1224" s="66"/>
      <c r="V1224" s="66"/>
    </row>
    <row r="1225" spans="1:22" s="64" customFormat="1" x14ac:dyDescent="0.25">
      <c r="A1225" s="65" t="s">
        <v>1522</v>
      </c>
      <c r="B1225" s="511" t="s">
        <v>1531</v>
      </c>
      <c r="C1225" s="511"/>
      <c r="D1225" s="511"/>
      <c r="E1225" s="61" t="s">
        <v>1430</v>
      </c>
      <c r="F1225" s="61" t="s">
        <v>54</v>
      </c>
      <c r="G1225" s="61" t="s">
        <v>55</v>
      </c>
      <c r="H1225" s="61"/>
      <c r="I1225" s="61" t="s">
        <v>1366</v>
      </c>
      <c r="J1225" s="62">
        <v>1170</v>
      </c>
      <c r="K1225" s="62">
        <v>1300</v>
      </c>
      <c r="L1225" s="62">
        <v>1300</v>
      </c>
      <c r="M1225" s="232">
        <v>1650</v>
      </c>
      <c r="N1225" s="55" t="s">
        <v>1592</v>
      </c>
      <c r="O1225" s="61" t="s">
        <v>52</v>
      </c>
      <c r="P1225" s="200"/>
      <c r="Q1225" s="200"/>
      <c r="R1225" s="200"/>
      <c r="S1225" s="200"/>
      <c r="T1225" s="66"/>
      <c r="U1225" s="66"/>
      <c r="V1225" s="66"/>
    </row>
    <row r="1226" spans="1:22" s="64" customFormat="1" x14ac:dyDescent="0.25">
      <c r="A1226" s="65" t="s">
        <v>1522</v>
      </c>
      <c r="B1226" s="511" t="s">
        <v>1532</v>
      </c>
      <c r="C1226" s="511"/>
      <c r="D1226" s="511"/>
      <c r="E1226" s="61" t="s">
        <v>1430</v>
      </c>
      <c r="F1226" s="61" t="s">
        <v>54</v>
      </c>
      <c r="G1226" s="61" t="s">
        <v>55</v>
      </c>
      <c r="H1226" s="61"/>
      <c r="I1226" s="61" t="s">
        <v>1366</v>
      </c>
      <c r="J1226" s="62">
        <v>1125</v>
      </c>
      <c r="K1226" s="62">
        <v>1250</v>
      </c>
      <c r="L1226" s="62">
        <v>1250</v>
      </c>
      <c r="M1226" s="232">
        <v>1585</v>
      </c>
      <c r="N1226" s="55" t="s">
        <v>1592</v>
      </c>
      <c r="O1226" s="61" t="s">
        <v>52</v>
      </c>
      <c r="P1226" s="200"/>
      <c r="Q1226" s="200"/>
      <c r="R1226" s="200"/>
      <c r="S1226" s="200"/>
      <c r="T1226" s="66"/>
      <c r="U1226" s="66"/>
      <c r="V1226" s="66"/>
    </row>
    <row r="1227" spans="1:22" s="64" customFormat="1" x14ac:dyDescent="0.25">
      <c r="A1227" s="65" t="s">
        <v>1522</v>
      </c>
      <c r="B1227" s="511" t="s">
        <v>1533</v>
      </c>
      <c r="C1227" s="511"/>
      <c r="D1227" s="511"/>
      <c r="E1227" s="61" t="s">
        <v>1430</v>
      </c>
      <c r="F1227" s="61" t="s">
        <v>54</v>
      </c>
      <c r="G1227" s="61" t="s">
        <v>55</v>
      </c>
      <c r="H1227" s="61"/>
      <c r="I1227" s="61" t="s">
        <v>1366</v>
      </c>
      <c r="J1227" s="62">
        <v>1170</v>
      </c>
      <c r="K1227" s="62">
        <v>1300</v>
      </c>
      <c r="L1227" s="62">
        <v>1300</v>
      </c>
      <c r="M1227" s="232">
        <v>1650</v>
      </c>
      <c r="N1227" s="55" t="s">
        <v>1592</v>
      </c>
      <c r="O1227" s="61" t="s">
        <v>52</v>
      </c>
      <c r="P1227" s="200"/>
      <c r="Q1227" s="200"/>
      <c r="R1227" s="200"/>
      <c r="S1227" s="200"/>
      <c r="T1227" s="66"/>
      <c r="U1227" s="66"/>
      <c r="V1227" s="66"/>
    </row>
    <row r="1228" spans="1:22" s="64" customFormat="1" x14ac:dyDescent="0.25">
      <c r="A1228" s="65" t="s">
        <v>1522</v>
      </c>
      <c r="B1228" s="511" t="s">
        <v>1534</v>
      </c>
      <c r="C1228" s="511"/>
      <c r="D1228" s="511"/>
      <c r="E1228" s="61" t="s">
        <v>1430</v>
      </c>
      <c r="F1228" s="61" t="s">
        <v>54</v>
      </c>
      <c r="G1228" s="61" t="s">
        <v>55</v>
      </c>
      <c r="H1228" s="61"/>
      <c r="I1228" s="61" t="s">
        <v>1366</v>
      </c>
      <c r="J1228" s="62">
        <v>360</v>
      </c>
      <c r="K1228" s="62">
        <v>400</v>
      </c>
      <c r="L1228" s="62">
        <v>400</v>
      </c>
      <c r="M1228" s="232">
        <v>510</v>
      </c>
      <c r="N1228" s="55" t="s">
        <v>1592</v>
      </c>
      <c r="O1228" s="61" t="s">
        <v>52</v>
      </c>
      <c r="P1228" s="200"/>
      <c r="Q1228" s="200"/>
      <c r="R1228" s="200"/>
      <c r="S1228" s="200"/>
      <c r="T1228" s="66"/>
      <c r="U1228" s="66"/>
      <c r="V1228" s="66"/>
    </row>
    <row r="1229" spans="1:22" s="64" customFormat="1" x14ac:dyDescent="0.25">
      <c r="A1229" s="65" t="s">
        <v>1522</v>
      </c>
      <c r="B1229" s="511" t="s">
        <v>1535</v>
      </c>
      <c r="C1229" s="511"/>
      <c r="D1229" s="511"/>
      <c r="E1229" s="61" t="s">
        <v>1430</v>
      </c>
      <c r="F1229" s="61" t="s">
        <v>54</v>
      </c>
      <c r="G1229" s="61" t="s">
        <v>55</v>
      </c>
      <c r="H1229" s="61"/>
      <c r="I1229" s="61" t="s">
        <v>1366</v>
      </c>
      <c r="J1229" s="62">
        <v>450</v>
      </c>
      <c r="K1229" s="62">
        <v>500</v>
      </c>
      <c r="L1229" s="62">
        <v>500</v>
      </c>
      <c r="M1229" s="232">
        <v>635</v>
      </c>
      <c r="N1229" s="55" t="s">
        <v>1592</v>
      </c>
      <c r="O1229" s="61" t="s">
        <v>52</v>
      </c>
      <c r="P1229" s="200"/>
      <c r="Q1229" s="200"/>
      <c r="R1229" s="200"/>
      <c r="S1229" s="200"/>
      <c r="T1229" s="66"/>
      <c r="U1229" s="66"/>
      <c r="V1229" s="66"/>
    </row>
    <row r="1230" spans="1:22" s="64" customFormat="1" x14ac:dyDescent="0.25">
      <c r="A1230" s="65" t="s">
        <v>1522</v>
      </c>
      <c r="B1230" s="511" t="s">
        <v>1537</v>
      </c>
      <c r="C1230" s="511"/>
      <c r="D1230" s="511"/>
      <c r="E1230" s="61" t="s">
        <v>1430</v>
      </c>
      <c r="F1230" s="61" t="s">
        <v>54</v>
      </c>
      <c r="G1230" s="61" t="s">
        <v>55</v>
      </c>
      <c r="H1230" s="61"/>
      <c r="I1230" s="61" t="s">
        <v>1366</v>
      </c>
      <c r="J1230" s="62">
        <v>585</v>
      </c>
      <c r="K1230" s="62">
        <v>650</v>
      </c>
      <c r="L1230" s="62">
        <v>650</v>
      </c>
      <c r="M1230" s="232">
        <v>825</v>
      </c>
      <c r="N1230" s="55" t="s">
        <v>1592</v>
      </c>
      <c r="O1230" s="61" t="s">
        <v>52</v>
      </c>
      <c r="P1230" s="200"/>
      <c r="Q1230" s="200"/>
      <c r="R1230" s="200"/>
      <c r="S1230" s="200"/>
      <c r="T1230" s="66"/>
      <c r="U1230" s="66"/>
      <c r="V1230" s="66"/>
    </row>
    <row r="1231" spans="1:22" s="64" customFormat="1" x14ac:dyDescent="0.25">
      <c r="A1231" s="65" t="s">
        <v>1522</v>
      </c>
      <c r="B1231" s="511" t="s">
        <v>1538</v>
      </c>
      <c r="C1231" s="511"/>
      <c r="D1231" s="511"/>
      <c r="E1231" s="61" t="s">
        <v>1430</v>
      </c>
      <c r="F1231" s="61" t="s">
        <v>54</v>
      </c>
      <c r="G1231" s="61" t="s">
        <v>55</v>
      </c>
      <c r="H1231" s="61"/>
      <c r="I1231" s="61" t="s">
        <v>1366</v>
      </c>
      <c r="J1231" s="62">
        <v>1170</v>
      </c>
      <c r="K1231" s="62">
        <v>1300</v>
      </c>
      <c r="L1231" s="62">
        <v>1300</v>
      </c>
      <c r="M1231" s="232">
        <v>1650</v>
      </c>
      <c r="N1231" s="55" t="s">
        <v>1592</v>
      </c>
      <c r="O1231" s="61" t="s">
        <v>52</v>
      </c>
      <c r="P1231" s="200"/>
      <c r="Q1231" s="200"/>
      <c r="R1231" s="200"/>
      <c r="S1231" s="200"/>
      <c r="T1231" s="66"/>
      <c r="U1231" s="66"/>
      <c r="V1231" s="66"/>
    </row>
    <row r="1232" spans="1:22" s="64" customFormat="1" x14ac:dyDescent="0.25">
      <c r="A1232" s="65" t="s">
        <v>1522</v>
      </c>
      <c r="B1232" s="511" t="s">
        <v>1539</v>
      </c>
      <c r="C1232" s="511"/>
      <c r="D1232" s="511"/>
      <c r="E1232" s="61" t="s">
        <v>1430</v>
      </c>
      <c r="F1232" s="61" t="s">
        <v>54</v>
      </c>
      <c r="G1232" s="61" t="s">
        <v>55</v>
      </c>
      <c r="H1232" s="61"/>
      <c r="I1232" s="61" t="s">
        <v>1366</v>
      </c>
      <c r="J1232" s="62">
        <v>180</v>
      </c>
      <c r="K1232" s="62">
        <v>200</v>
      </c>
      <c r="L1232" s="62">
        <v>200</v>
      </c>
      <c r="M1232" s="232">
        <v>255</v>
      </c>
      <c r="N1232" s="55" t="s">
        <v>1592</v>
      </c>
      <c r="O1232" s="61" t="s">
        <v>52</v>
      </c>
      <c r="P1232" s="200"/>
      <c r="Q1232" s="200"/>
      <c r="R1232" s="200"/>
      <c r="S1232" s="200"/>
      <c r="T1232" s="66"/>
      <c r="U1232" s="66"/>
      <c r="V1232" s="66"/>
    </row>
    <row r="1233" spans="1:22" s="64" customFormat="1" x14ac:dyDescent="0.25">
      <c r="A1233" s="65" t="s">
        <v>1522</v>
      </c>
      <c r="B1233" s="511" t="s">
        <v>1540</v>
      </c>
      <c r="C1233" s="511"/>
      <c r="D1233" s="511"/>
      <c r="E1233" s="61" t="s">
        <v>1430</v>
      </c>
      <c r="F1233" s="61" t="s">
        <v>54</v>
      </c>
      <c r="G1233" s="61" t="s">
        <v>55</v>
      </c>
      <c r="H1233" s="61"/>
      <c r="I1233" s="61" t="s">
        <v>1366</v>
      </c>
      <c r="J1233" s="62">
        <v>90</v>
      </c>
      <c r="K1233" s="62">
        <v>100</v>
      </c>
      <c r="L1233" s="62">
        <v>100</v>
      </c>
      <c r="M1233" s="232">
        <v>130</v>
      </c>
      <c r="N1233" s="55" t="s">
        <v>1592</v>
      </c>
      <c r="O1233" s="61" t="s">
        <v>52</v>
      </c>
      <c r="P1233" s="200"/>
      <c r="Q1233" s="200"/>
      <c r="R1233" s="200"/>
      <c r="S1233" s="200"/>
      <c r="T1233" s="66"/>
      <c r="U1233" s="66"/>
      <c r="V1233" s="66"/>
    </row>
    <row r="1234" spans="1:22" s="64" customFormat="1" x14ac:dyDescent="0.25">
      <c r="A1234" s="65" t="s">
        <v>1522</v>
      </c>
      <c r="B1234" s="511" t="s">
        <v>1541</v>
      </c>
      <c r="C1234" s="511"/>
      <c r="D1234" s="511"/>
      <c r="E1234" s="61" t="s">
        <v>1430</v>
      </c>
      <c r="F1234" s="61" t="s">
        <v>54</v>
      </c>
      <c r="G1234" s="61" t="s">
        <v>55</v>
      </c>
      <c r="H1234" s="61"/>
      <c r="I1234" s="61" t="s">
        <v>1366</v>
      </c>
      <c r="J1234" s="62">
        <v>1530</v>
      </c>
      <c r="K1234" s="62">
        <v>1700</v>
      </c>
      <c r="L1234" s="62">
        <v>1700</v>
      </c>
      <c r="M1234" s="232">
        <v>2155</v>
      </c>
      <c r="N1234" s="55" t="s">
        <v>1592</v>
      </c>
      <c r="O1234" s="61" t="s">
        <v>52</v>
      </c>
      <c r="P1234" s="200"/>
      <c r="Q1234" s="200"/>
      <c r="R1234" s="200"/>
      <c r="S1234" s="200"/>
      <c r="T1234" s="66"/>
      <c r="U1234" s="66"/>
      <c r="V1234" s="66"/>
    </row>
    <row r="1235" spans="1:22" s="64" customFormat="1" x14ac:dyDescent="0.25">
      <c r="A1235" s="65" t="s">
        <v>1550</v>
      </c>
      <c r="B1235" s="511" t="s">
        <v>1551</v>
      </c>
      <c r="C1235" s="511"/>
      <c r="D1235" s="511"/>
      <c r="E1235" s="61" t="s">
        <v>1438</v>
      </c>
      <c r="F1235" s="61" t="s">
        <v>54</v>
      </c>
      <c r="G1235" s="61" t="s">
        <v>55</v>
      </c>
      <c r="H1235" s="61"/>
      <c r="I1235" s="61" t="s">
        <v>1366</v>
      </c>
      <c r="J1235" s="62">
        <v>540</v>
      </c>
      <c r="K1235" s="62">
        <v>600</v>
      </c>
      <c r="L1235" s="62">
        <v>600</v>
      </c>
      <c r="M1235" s="232">
        <v>765</v>
      </c>
      <c r="N1235" s="55" t="s">
        <v>1592</v>
      </c>
      <c r="O1235" s="61" t="s">
        <v>52</v>
      </c>
      <c r="P1235" s="200"/>
      <c r="Q1235" s="200"/>
      <c r="R1235" s="200"/>
      <c r="S1235" s="200"/>
      <c r="T1235" s="66"/>
      <c r="U1235" s="66"/>
      <c r="V1235" s="66"/>
    </row>
    <row r="1236" spans="1:22" s="64" customFormat="1" x14ac:dyDescent="0.25">
      <c r="A1236" s="65" t="s">
        <v>1550</v>
      </c>
      <c r="B1236" s="511" t="s">
        <v>1551</v>
      </c>
      <c r="C1236" s="511"/>
      <c r="D1236" s="511"/>
      <c r="E1236" s="61" t="s">
        <v>1438</v>
      </c>
      <c r="F1236" s="61" t="s">
        <v>389</v>
      </c>
      <c r="G1236" s="61" t="s">
        <v>55</v>
      </c>
      <c r="H1236" s="61"/>
      <c r="I1236" s="61" t="s">
        <v>1366</v>
      </c>
      <c r="J1236" s="62">
        <v>540</v>
      </c>
      <c r="K1236" s="62">
        <v>600</v>
      </c>
      <c r="L1236" s="62">
        <v>600</v>
      </c>
      <c r="M1236" s="232">
        <v>765</v>
      </c>
      <c r="N1236" s="55" t="s">
        <v>1592</v>
      </c>
      <c r="O1236" s="61" t="s">
        <v>52</v>
      </c>
      <c r="P1236" s="200"/>
      <c r="Q1236" s="200"/>
      <c r="R1236" s="200"/>
      <c r="S1236" s="200"/>
      <c r="T1236" s="66"/>
      <c r="U1236" s="66"/>
      <c r="V1236" s="66"/>
    </row>
    <row r="1237" spans="1:22" s="64" customFormat="1" x14ac:dyDescent="0.25">
      <c r="A1237" s="65" t="s">
        <v>1552</v>
      </c>
      <c r="B1237" s="511" t="s">
        <v>1555</v>
      </c>
      <c r="C1237" s="511"/>
      <c r="D1237" s="511"/>
      <c r="E1237" s="61" t="s">
        <v>1430</v>
      </c>
      <c r="F1237" s="61" t="s">
        <v>54</v>
      </c>
      <c r="G1237" s="61" t="s">
        <v>55</v>
      </c>
      <c r="H1237" s="61"/>
      <c r="I1237" s="61" t="s">
        <v>1366</v>
      </c>
      <c r="J1237" s="62">
        <v>180</v>
      </c>
      <c r="K1237" s="62">
        <v>200</v>
      </c>
      <c r="L1237" s="62">
        <v>200</v>
      </c>
      <c r="M1237" s="232">
        <v>255</v>
      </c>
      <c r="N1237" s="55" t="s">
        <v>1592</v>
      </c>
      <c r="O1237" s="61" t="s">
        <v>52</v>
      </c>
      <c r="P1237" s="200"/>
      <c r="Q1237" s="200"/>
      <c r="R1237" s="200"/>
      <c r="S1237" s="200"/>
      <c r="T1237" s="66"/>
      <c r="U1237" s="66"/>
      <c r="V1237" s="66"/>
    </row>
    <row r="1238" spans="1:22" s="64" customFormat="1" x14ac:dyDescent="0.25">
      <c r="A1238" s="65" t="s">
        <v>1552</v>
      </c>
      <c r="B1238" s="511" t="s">
        <v>1556</v>
      </c>
      <c r="C1238" s="511"/>
      <c r="D1238" s="511"/>
      <c r="E1238" s="61" t="s">
        <v>1430</v>
      </c>
      <c r="F1238" s="61" t="s">
        <v>54</v>
      </c>
      <c r="G1238" s="61" t="s">
        <v>55</v>
      </c>
      <c r="H1238" s="61"/>
      <c r="I1238" s="61" t="s">
        <v>1366</v>
      </c>
      <c r="J1238" s="62">
        <v>180</v>
      </c>
      <c r="K1238" s="62">
        <v>200</v>
      </c>
      <c r="L1238" s="62">
        <v>200</v>
      </c>
      <c r="M1238" s="232">
        <v>255</v>
      </c>
      <c r="N1238" s="55" t="s">
        <v>1592</v>
      </c>
      <c r="O1238" s="61" t="s">
        <v>52</v>
      </c>
      <c r="P1238" s="200"/>
      <c r="Q1238" s="200"/>
      <c r="R1238" s="200"/>
      <c r="S1238" s="200"/>
      <c r="T1238" s="66"/>
      <c r="U1238" s="66"/>
      <c r="V1238" s="66"/>
    </row>
    <row r="1239" spans="1:22" s="64" customFormat="1" x14ac:dyDescent="0.25">
      <c r="A1239" s="65" t="s">
        <v>1552</v>
      </c>
      <c r="B1239" s="511" t="s">
        <v>1554</v>
      </c>
      <c r="C1239" s="511"/>
      <c r="D1239" s="511"/>
      <c r="E1239" s="61" t="s">
        <v>1430</v>
      </c>
      <c r="F1239" s="61" t="s">
        <v>54</v>
      </c>
      <c r="G1239" s="61" t="s">
        <v>55</v>
      </c>
      <c r="H1239" s="61"/>
      <c r="I1239" s="61" t="s">
        <v>1366</v>
      </c>
      <c r="J1239" s="62">
        <v>90</v>
      </c>
      <c r="K1239" s="62">
        <v>100</v>
      </c>
      <c r="L1239" s="62">
        <v>100</v>
      </c>
      <c r="M1239" s="232">
        <v>130</v>
      </c>
      <c r="N1239" s="55" t="s">
        <v>1592</v>
      </c>
      <c r="O1239" s="61" t="s">
        <v>52</v>
      </c>
      <c r="P1239" s="200"/>
      <c r="Q1239" s="200"/>
      <c r="R1239" s="200"/>
      <c r="S1239" s="200"/>
      <c r="T1239" s="66"/>
      <c r="U1239" s="66"/>
      <c r="V1239" s="66"/>
    </row>
    <row r="1240" spans="1:22" s="64" customFormat="1" x14ac:dyDescent="0.25">
      <c r="A1240" s="65" t="s">
        <v>1552</v>
      </c>
      <c r="B1240" s="511" t="s">
        <v>1557</v>
      </c>
      <c r="C1240" s="511"/>
      <c r="D1240" s="511"/>
      <c r="E1240" s="61" t="s">
        <v>1430</v>
      </c>
      <c r="F1240" s="61" t="s">
        <v>54</v>
      </c>
      <c r="G1240" s="61" t="s">
        <v>55</v>
      </c>
      <c r="H1240" s="61"/>
      <c r="I1240" s="61" t="s">
        <v>1366</v>
      </c>
      <c r="J1240" s="62">
        <v>180</v>
      </c>
      <c r="K1240" s="62">
        <v>200</v>
      </c>
      <c r="L1240" s="62">
        <v>200</v>
      </c>
      <c r="M1240" s="232">
        <v>255</v>
      </c>
      <c r="N1240" s="55" t="s">
        <v>1592</v>
      </c>
      <c r="O1240" s="61" t="s">
        <v>52</v>
      </c>
      <c r="P1240" s="200"/>
      <c r="Q1240" s="200"/>
      <c r="R1240" s="200"/>
      <c r="S1240" s="200"/>
      <c r="T1240" s="66"/>
      <c r="U1240" s="66"/>
      <c r="V1240" s="66"/>
    </row>
    <row r="1241" spans="1:22" s="64" customFormat="1" x14ac:dyDescent="0.25">
      <c r="A1241" s="65" t="s">
        <v>1558</v>
      </c>
      <c r="B1241" s="511" t="s">
        <v>1559</v>
      </c>
      <c r="C1241" s="511"/>
      <c r="D1241" s="511"/>
      <c r="E1241" s="61" t="s">
        <v>1430</v>
      </c>
      <c r="F1241" s="61" t="s">
        <v>54</v>
      </c>
      <c r="G1241" s="61" t="s">
        <v>55</v>
      </c>
      <c r="H1241" s="61"/>
      <c r="I1241" s="61" t="s">
        <v>1366</v>
      </c>
      <c r="J1241" s="62">
        <v>360</v>
      </c>
      <c r="K1241" s="62">
        <v>400</v>
      </c>
      <c r="L1241" s="62">
        <v>400</v>
      </c>
      <c r="M1241" s="232">
        <v>510</v>
      </c>
      <c r="N1241" s="55" t="s">
        <v>1592</v>
      </c>
      <c r="O1241" s="61" t="s">
        <v>52</v>
      </c>
      <c r="P1241" s="200"/>
      <c r="Q1241" s="200"/>
      <c r="R1241" s="200"/>
      <c r="S1241" s="200"/>
      <c r="T1241" s="66"/>
      <c r="U1241" s="66"/>
      <c r="V1241" s="66"/>
    </row>
    <row r="1242" spans="1:22" s="64" customFormat="1" x14ac:dyDescent="0.25">
      <c r="A1242" s="65" t="s">
        <v>1560</v>
      </c>
      <c r="B1242" s="511" t="s">
        <v>1563</v>
      </c>
      <c r="C1242" s="511"/>
      <c r="D1242" s="511"/>
      <c r="E1242" s="61" t="s">
        <v>1430</v>
      </c>
      <c r="F1242" s="61" t="s">
        <v>54</v>
      </c>
      <c r="G1242" s="61" t="s">
        <v>55</v>
      </c>
      <c r="H1242" s="61"/>
      <c r="I1242" s="61" t="s">
        <v>1366</v>
      </c>
      <c r="J1242" s="62">
        <v>270</v>
      </c>
      <c r="K1242" s="62">
        <v>300</v>
      </c>
      <c r="L1242" s="62">
        <v>300</v>
      </c>
      <c r="M1242" s="232">
        <v>385</v>
      </c>
      <c r="N1242" s="55" t="s">
        <v>1592</v>
      </c>
      <c r="O1242" s="61" t="s">
        <v>52</v>
      </c>
      <c r="P1242" s="200"/>
      <c r="Q1242" s="200"/>
      <c r="R1242" s="200"/>
      <c r="S1242" s="200"/>
      <c r="T1242" s="66"/>
      <c r="U1242" s="66"/>
      <c r="V1242" s="66"/>
    </row>
    <row r="1243" spans="1:22" s="64" customFormat="1" x14ac:dyDescent="0.25">
      <c r="A1243" s="65" t="s">
        <v>1560</v>
      </c>
      <c r="B1243" s="511" t="s">
        <v>1564</v>
      </c>
      <c r="C1243" s="511"/>
      <c r="D1243" s="511"/>
      <c r="E1243" s="61" t="s">
        <v>1430</v>
      </c>
      <c r="F1243" s="61" t="s">
        <v>54</v>
      </c>
      <c r="G1243" s="61" t="s">
        <v>55</v>
      </c>
      <c r="H1243" s="61"/>
      <c r="I1243" s="61" t="s">
        <v>1366</v>
      </c>
      <c r="J1243" s="62">
        <v>540</v>
      </c>
      <c r="K1243" s="62">
        <v>600</v>
      </c>
      <c r="L1243" s="62">
        <v>600</v>
      </c>
      <c r="M1243" s="232">
        <v>760</v>
      </c>
      <c r="N1243" s="55" t="s">
        <v>1592</v>
      </c>
      <c r="O1243" s="61" t="s">
        <v>52</v>
      </c>
      <c r="P1243" s="200"/>
      <c r="Q1243" s="200"/>
      <c r="R1243" s="200"/>
      <c r="S1243" s="200"/>
      <c r="T1243" s="66"/>
      <c r="U1243" s="66"/>
      <c r="V1243" s="66"/>
    </row>
    <row r="1244" spans="1:22" s="64" customFormat="1" x14ac:dyDescent="0.25">
      <c r="A1244" s="65" t="s">
        <v>1560</v>
      </c>
      <c r="B1244" s="511" t="s">
        <v>1565</v>
      </c>
      <c r="C1244" s="511"/>
      <c r="D1244" s="511"/>
      <c r="E1244" s="61" t="s">
        <v>1430</v>
      </c>
      <c r="F1244" s="61" t="s">
        <v>54</v>
      </c>
      <c r="G1244" s="61" t="s">
        <v>55</v>
      </c>
      <c r="H1244" s="61"/>
      <c r="I1244" s="61" t="s">
        <v>1366</v>
      </c>
      <c r="J1244" s="62">
        <v>540</v>
      </c>
      <c r="K1244" s="62">
        <v>600</v>
      </c>
      <c r="L1244" s="62">
        <v>600</v>
      </c>
      <c r="M1244" s="232">
        <v>760</v>
      </c>
      <c r="N1244" s="55" t="s">
        <v>1592</v>
      </c>
      <c r="O1244" s="61" t="s">
        <v>52</v>
      </c>
      <c r="P1244" s="200"/>
      <c r="Q1244" s="200"/>
      <c r="R1244" s="200"/>
      <c r="S1244" s="200"/>
      <c r="T1244" s="66"/>
      <c r="U1244" s="66"/>
      <c r="V1244" s="66"/>
    </row>
    <row r="1245" spans="1:22" s="64" customFormat="1" x14ac:dyDescent="0.25">
      <c r="A1245" s="65" t="s">
        <v>1560</v>
      </c>
      <c r="B1245" s="511" t="s">
        <v>1566</v>
      </c>
      <c r="C1245" s="511"/>
      <c r="D1245" s="511"/>
      <c r="E1245" s="61" t="s">
        <v>1430</v>
      </c>
      <c r="F1245" s="61" t="s">
        <v>54</v>
      </c>
      <c r="G1245" s="61" t="s">
        <v>55</v>
      </c>
      <c r="H1245" s="61"/>
      <c r="I1245" s="61" t="s">
        <v>1366</v>
      </c>
      <c r="J1245" s="62">
        <v>270</v>
      </c>
      <c r="K1245" s="62">
        <v>300</v>
      </c>
      <c r="L1245" s="62">
        <v>300</v>
      </c>
      <c r="M1245" s="232">
        <v>385</v>
      </c>
      <c r="N1245" s="55" t="s">
        <v>1592</v>
      </c>
      <c r="O1245" s="61" t="s">
        <v>52</v>
      </c>
      <c r="P1245" s="200"/>
      <c r="Q1245" s="200"/>
      <c r="R1245" s="200"/>
      <c r="S1245" s="200"/>
      <c r="T1245" s="66"/>
      <c r="U1245" s="66"/>
      <c r="V1245" s="66"/>
    </row>
    <row r="1246" spans="1:22" s="64" customFormat="1" x14ac:dyDescent="0.25">
      <c r="A1246" s="65" t="s">
        <v>1568</v>
      </c>
      <c r="B1246" s="511" t="s">
        <v>1569</v>
      </c>
      <c r="C1246" s="511"/>
      <c r="D1246" s="511"/>
      <c r="E1246" s="61" t="s">
        <v>1570</v>
      </c>
      <c r="F1246" s="61" t="s">
        <v>54</v>
      </c>
      <c r="G1246" s="61" t="s">
        <v>55</v>
      </c>
      <c r="H1246" s="61"/>
      <c r="I1246" s="61" t="s">
        <v>1366</v>
      </c>
      <c r="J1246" s="62">
        <v>180</v>
      </c>
      <c r="K1246" s="62">
        <v>200</v>
      </c>
      <c r="L1246" s="62">
        <v>200</v>
      </c>
      <c r="M1246" s="232">
        <v>255</v>
      </c>
      <c r="N1246" s="55" t="s">
        <v>1592</v>
      </c>
      <c r="O1246" s="61" t="s">
        <v>52</v>
      </c>
      <c r="P1246" s="200"/>
      <c r="Q1246" s="200"/>
      <c r="R1246" s="200"/>
      <c r="S1246" s="200"/>
      <c r="T1246" s="66"/>
      <c r="U1246" s="66"/>
      <c r="V1246" s="66"/>
    </row>
    <row r="1247" spans="1:22" s="64" customFormat="1" x14ac:dyDescent="0.25">
      <c r="A1247" s="65" t="s">
        <v>1568</v>
      </c>
      <c r="B1247" s="511" t="s">
        <v>1571</v>
      </c>
      <c r="C1247" s="511"/>
      <c r="D1247" s="511"/>
      <c r="E1247" s="61" t="s">
        <v>1570</v>
      </c>
      <c r="F1247" s="61" t="s">
        <v>54</v>
      </c>
      <c r="G1247" s="61" t="s">
        <v>55</v>
      </c>
      <c r="H1247" s="61"/>
      <c r="I1247" s="61" t="s">
        <v>1366</v>
      </c>
      <c r="J1247" s="62">
        <v>270</v>
      </c>
      <c r="K1247" s="62">
        <v>300</v>
      </c>
      <c r="L1247" s="62">
        <v>300</v>
      </c>
      <c r="M1247" s="232">
        <v>385</v>
      </c>
      <c r="N1247" s="55" t="s">
        <v>1592</v>
      </c>
      <c r="O1247" s="61" t="s">
        <v>52</v>
      </c>
      <c r="P1247" s="200"/>
      <c r="Q1247" s="200"/>
      <c r="R1247" s="200"/>
      <c r="S1247" s="200"/>
      <c r="T1247" s="66"/>
      <c r="U1247" s="66"/>
      <c r="V1247" s="66"/>
    </row>
    <row r="1248" spans="1:22" s="64" customFormat="1" x14ac:dyDescent="0.25">
      <c r="A1248" s="65" t="s">
        <v>1572</v>
      </c>
      <c r="B1248" s="511" t="s">
        <v>1575</v>
      </c>
      <c r="C1248" s="511"/>
      <c r="D1248" s="511"/>
      <c r="E1248" s="61" t="s">
        <v>1573</v>
      </c>
      <c r="F1248" s="61" t="s">
        <v>54</v>
      </c>
      <c r="G1248" s="61" t="s">
        <v>55</v>
      </c>
      <c r="H1248" s="61"/>
      <c r="I1248" s="61" t="s">
        <v>1366</v>
      </c>
      <c r="J1248" s="62">
        <v>90</v>
      </c>
      <c r="K1248" s="62">
        <v>100</v>
      </c>
      <c r="L1248" s="62">
        <v>100</v>
      </c>
      <c r="M1248" s="232">
        <v>130</v>
      </c>
      <c r="N1248" s="55" t="s">
        <v>1592</v>
      </c>
      <c r="O1248" s="61" t="s">
        <v>52</v>
      </c>
      <c r="P1248" s="200"/>
      <c r="Q1248" s="200"/>
      <c r="R1248" s="200"/>
      <c r="S1248" s="200"/>
      <c r="T1248" s="66"/>
      <c r="U1248" s="66"/>
      <c r="V1248" s="66"/>
    </row>
    <row r="1249" spans="1:22" s="64" customFormat="1" x14ac:dyDescent="0.25">
      <c r="A1249" s="65" t="s">
        <v>1572</v>
      </c>
      <c r="B1249" s="511" t="s">
        <v>1575</v>
      </c>
      <c r="C1249" s="511"/>
      <c r="D1249" s="511"/>
      <c r="E1249" s="61" t="s">
        <v>1573</v>
      </c>
      <c r="F1249" s="61" t="s">
        <v>481</v>
      </c>
      <c r="G1249" s="61" t="s">
        <v>55</v>
      </c>
      <c r="H1249" s="61"/>
      <c r="I1249" s="61" t="s">
        <v>1366</v>
      </c>
      <c r="J1249" s="62">
        <v>90</v>
      </c>
      <c r="K1249" s="62">
        <v>100</v>
      </c>
      <c r="L1249" s="62">
        <v>100</v>
      </c>
      <c r="M1249" s="232">
        <v>130</v>
      </c>
      <c r="N1249" s="55" t="s">
        <v>1592</v>
      </c>
      <c r="O1249" s="61" t="s">
        <v>52</v>
      </c>
      <c r="P1249" s="200"/>
      <c r="Q1249" s="200"/>
      <c r="R1249" s="200"/>
      <c r="S1249" s="200"/>
      <c r="T1249" s="66"/>
      <c r="U1249" s="66"/>
      <c r="V1249" s="66"/>
    </row>
    <row r="1250" spans="1:22" s="64" customFormat="1" x14ac:dyDescent="0.25">
      <c r="A1250" s="65" t="s">
        <v>1572</v>
      </c>
      <c r="B1250" s="511" t="s">
        <v>1576</v>
      </c>
      <c r="C1250" s="511"/>
      <c r="D1250" s="511"/>
      <c r="E1250" s="61" t="s">
        <v>1573</v>
      </c>
      <c r="F1250" s="61" t="s">
        <v>54</v>
      </c>
      <c r="G1250" s="61" t="s">
        <v>55</v>
      </c>
      <c r="H1250" s="61"/>
      <c r="I1250" s="61" t="s">
        <v>1366</v>
      </c>
      <c r="J1250" s="62">
        <v>90</v>
      </c>
      <c r="K1250" s="62">
        <v>100</v>
      </c>
      <c r="L1250" s="62">
        <v>100</v>
      </c>
      <c r="M1250" s="232">
        <v>130</v>
      </c>
      <c r="N1250" s="55" t="s">
        <v>1592</v>
      </c>
      <c r="O1250" s="61" t="s">
        <v>52</v>
      </c>
      <c r="P1250" s="200"/>
      <c r="Q1250" s="200"/>
      <c r="R1250" s="200"/>
      <c r="S1250" s="200"/>
      <c r="T1250" s="66"/>
      <c r="U1250" s="66"/>
      <c r="V1250" s="66"/>
    </row>
    <row r="1251" spans="1:22" s="64" customFormat="1" x14ac:dyDescent="0.25">
      <c r="A1251" s="65" t="s">
        <v>1572</v>
      </c>
      <c r="B1251" s="511" t="s">
        <v>1576</v>
      </c>
      <c r="C1251" s="511"/>
      <c r="D1251" s="511"/>
      <c r="E1251" s="61" t="s">
        <v>1573</v>
      </c>
      <c r="F1251" s="61" t="s">
        <v>481</v>
      </c>
      <c r="G1251" s="61" t="s">
        <v>55</v>
      </c>
      <c r="H1251" s="61"/>
      <c r="I1251" s="61" t="s">
        <v>1366</v>
      </c>
      <c r="J1251" s="62">
        <v>90</v>
      </c>
      <c r="K1251" s="62">
        <v>100</v>
      </c>
      <c r="L1251" s="62">
        <v>100</v>
      </c>
      <c r="M1251" s="232">
        <v>130</v>
      </c>
      <c r="N1251" s="55" t="s">
        <v>1592</v>
      </c>
      <c r="O1251" s="61" t="s">
        <v>52</v>
      </c>
      <c r="P1251" s="200"/>
      <c r="Q1251" s="200"/>
      <c r="R1251" s="200"/>
      <c r="S1251" s="200"/>
      <c r="T1251" s="66"/>
      <c r="U1251" s="66"/>
      <c r="V1251" s="66"/>
    </row>
    <row r="1252" spans="1:22" s="64" customFormat="1" x14ac:dyDescent="0.25">
      <c r="A1252" s="65" t="s">
        <v>1572</v>
      </c>
      <c r="B1252" s="511" t="s">
        <v>1577</v>
      </c>
      <c r="C1252" s="511"/>
      <c r="D1252" s="511"/>
      <c r="E1252" s="61" t="s">
        <v>1573</v>
      </c>
      <c r="F1252" s="61" t="s">
        <v>481</v>
      </c>
      <c r="G1252" s="61" t="s">
        <v>55</v>
      </c>
      <c r="H1252" s="61"/>
      <c r="I1252" s="61" t="s">
        <v>1366</v>
      </c>
      <c r="J1252" s="62">
        <v>360</v>
      </c>
      <c r="K1252" s="62">
        <v>400</v>
      </c>
      <c r="L1252" s="62">
        <v>400</v>
      </c>
      <c r="M1252" s="232">
        <v>510</v>
      </c>
      <c r="N1252" s="55" t="s">
        <v>1592</v>
      </c>
      <c r="O1252" s="61" t="s">
        <v>52</v>
      </c>
      <c r="P1252" s="200"/>
      <c r="Q1252" s="200"/>
      <c r="R1252" s="200"/>
      <c r="S1252" s="200"/>
      <c r="T1252" s="66"/>
      <c r="U1252" s="66"/>
      <c r="V1252" s="66"/>
    </row>
    <row r="1253" spans="1:22" s="64" customFormat="1" x14ac:dyDescent="0.25">
      <c r="A1253" s="65" t="s">
        <v>1578</v>
      </c>
      <c r="B1253" s="511" t="s">
        <v>1579</v>
      </c>
      <c r="C1253" s="511"/>
      <c r="D1253" s="511"/>
      <c r="E1253" s="61" t="s">
        <v>1430</v>
      </c>
      <c r="F1253" s="61" t="s">
        <v>54</v>
      </c>
      <c r="G1253" s="61" t="s">
        <v>55</v>
      </c>
      <c r="H1253" s="61"/>
      <c r="I1253" s="61" t="s">
        <v>1366</v>
      </c>
      <c r="J1253" s="62">
        <v>270</v>
      </c>
      <c r="K1253" s="62">
        <v>300</v>
      </c>
      <c r="L1253" s="62">
        <v>300</v>
      </c>
      <c r="M1253" s="232">
        <v>385</v>
      </c>
      <c r="N1253" s="55" t="s">
        <v>1592</v>
      </c>
      <c r="O1253" s="61" t="s">
        <v>52</v>
      </c>
      <c r="P1253" s="200"/>
      <c r="Q1253" s="200"/>
      <c r="R1253" s="200"/>
      <c r="S1253" s="200"/>
      <c r="T1253" s="66"/>
      <c r="U1253" s="66"/>
      <c r="V1253" s="66"/>
    </row>
    <row r="1254" spans="1:22" s="64" customFormat="1" x14ac:dyDescent="0.25">
      <c r="A1254" s="65" t="s">
        <v>1578</v>
      </c>
      <c r="B1254" s="511" t="s">
        <v>1579</v>
      </c>
      <c r="C1254" s="511"/>
      <c r="D1254" s="511"/>
      <c r="E1254" s="61" t="s">
        <v>1580</v>
      </c>
      <c r="F1254" s="61" t="s">
        <v>389</v>
      </c>
      <c r="G1254" s="61" t="s">
        <v>55</v>
      </c>
      <c r="H1254" s="61"/>
      <c r="I1254" s="61" t="s">
        <v>1366</v>
      </c>
      <c r="J1254" s="62">
        <v>135</v>
      </c>
      <c r="K1254" s="62">
        <v>150</v>
      </c>
      <c r="L1254" s="62">
        <v>150</v>
      </c>
      <c r="M1254" s="232">
        <v>190</v>
      </c>
      <c r="N1254" s="55" t="s">
        <v>1592</v>
      </c>
      <c r="O1254" s="61" t="s">
        <v>52</v>
      </c>
      <c r="P1254" s="200"/>
      <c r="Q1254" s="200"/>
      <c r="R1254" s="200"/>
      <c r="S1254" s="200"/>
      <c r="T1254" s="66"/>
      <c r="U1254" s="66"/>
      <c r="V1254" s="66"/>
    </row>
    <row r="1255" spans="1:22" s="64" customFormat="1" x14ac:dyDescent="0.25">
      <c r="A1255" s="65" t="s">
        <v>1578</v>
      </c>
      <c r="B1255" s="511" t="s">
        <v>1579</v>
      </c>
      <c r="C1255" s="511"/>
      <c r="D1255" s="511"/>
      <c r="E1255" s="61" t="s">
        <v>1580</v>
      </c>
      <c r="F1255" s="61" t="s">
        <v>481</v>
      </c>
      <c r="G1255" s="61" t="s">
        <v>55</v>
      </c>
      <c r="H1255" s="61"/>
      <c r="I1255" s="61" t="s">
        <v>1366</v>
      </c>
      <c r="J1255" s="62">
        <v>135</v>
      </c>
      <c r="K1255" s="62">
        <v>150</v>
      </c>
      <c r="L1255" s="62">
        <v>150</v>
      </c>
      <c r="M1255" s="232">
        <v>190</v>
      </c>
      <c r="N1255" s="55" t="s">
        <v>1592</v>
      </c>
      <c r="O1255" s="61" t="s">
        <v>52</v>
      </c>
      <c r="P1255" s="200"/>
      <c r="Q1255" s="200"/>
      <c r="R1255" s="200"/>
      <c r="S1255" s="200"/>
      <c r="T1255" s="66"/>
      <c r="U1255" s="66"/>
      <c r="V1255" s="66"/>
    </row>
    <row r="1256" spans="1:22" s="64" customFormat="1" x14ac:dyDescent="0.25">
      <c r="A1256" s="65" t="s">
        <v>1578</v>
      </c>
      <c r="B1256" s="511" t="s">
        <v>1416</v>
      </c>
      <c r="C1256" s="511"/>
      <c r="D1256" s="511"/>
      <c r="E1256" s="61" t="s">
        <v>1580</v>
      </c>
      <c r="F1256" s="61" t="s">
        <v>481</v>
      </c>
      <c r="G1256" s="61" t="s">
        <v>55</v>
      </c>
      <c r="H1256" s="61"/>
      <c r="I1256" s="61" t="s">
        <v>1366</v>
      </c>
      <c r="J1256" s="62">
        <v>180</v>
      </c>
      <c r="K1256" s="62">
        <v>200</v>
      </c>
      <c r="L1256" s="62">
        <v>200</v>
      </c>
      <c r="M1256" s="232">
        <v>255</v>
      </c>
      <c r="N1256" s="55" t="s">
        <v>1592</v>
      </c>
      <c r="O1256" s="61" t="s">
        <v>52</v>
      </c>
      <c r="P1256" s="200"/>
      <c r="Q1256" s="200"/>
      <c r="R1256" s="200"/>
      <c r="S1256" s="200"/>
      <c r="T1256" s="66"/>
      <c r="U1256" s="66"/>
      <c r="V1256" s="66"/>
    </row>
    <row r="1257" spans="1:22" s="64" customFormat="1" x14ac:dyDescent="0.25">
      <c r="A1257" s="65" t="s">
        <v>1578</v>
      </c>
      <c r="B1257" s="511" t="s">
        <v>1416</v>
      </c>
      <c r="C1257" s="511"/>
      <c r="D1257" s="511"/>
      <c r="E1257" s="61" t="s">
        <v>1580</v>
      </c>
      <c r="F1257" s="61" t="s">
        <v>58</v>
      </c>
      <c r="G1257" s="61" t="s">
        <v>55</v>
      </c>
      <c r="H1257" s="61"/>
      <c r="I1257" s="61" t="s">
        <v>1366</v>
      </c>
      <c r="J1257" s="62">
        <v>180</v>
      </c>
      <c r="K1257" s="62">
        <v>200</v>
      </c>
      <c r="L1257" s="62">
        <v>200</v>
      </c>
      <c r="M1257" s="232">
        <v>255</v>
      </c>
      <c r="N1257" s="55" t="s">
        <v>1592</v>
      </c>
      <c r="O1257" s="61" t="s">
        <v>52</v>
      </c>
      <c r="P1257" s="200"/>
      <c r="Q1257" s="200"/>
      <c r="R1257" s="200"/>
      <c r="S1257" s="200"/>
      <c r="T1257" s="66"/>
      <c r="U1257" s="66"/>
      <c r="V1257" s="66"/>
    </row>
    <row r="1258" spans="1:22" s="64" customFormat="1" x14ac:dyDescent="0.25">
      <c r="A1258" s="65" t="s">
        <v>1578</v>
      </c>
      <c r="B1258" s="511" t="s">
        <v>1581</v>
      </c>
      <c r="C1258" s="511"/>
      <c r="D1258" s="511"/>
      <c r="E1258" s="61" t="s">
        <v>1430</v>
      </c>
      <c r="F1258" s="61" t="s">
        <v>54</v>
      </c>
      <c r="G1258" s="61" t="s">
        <v>55</v>
      </c>
      <c r="H1258" s="61"/>
      <c r="I1258" s="61" t="s">
        <v>1366</v>
      </c>
      <c r="J1258" s="62">
        <v>585</v>
      </c>
      <c r="K1258" s="62">
        <v>650</v>
      </c>
      <c r="L1258" s="62">
        <v>650</v>
      </c>
      <c r="M1258" s="232">
        <v>825</v>
      </c>
      <c r="N1258" s="55" t="s">
        <v>1592</v>
      </c>
      <c r="O1258" s="61" t="s">
        <v>52</v>
      </c>
      <c r="P1258" s="200"/>
      <c r="Q1258" s="200"/>
      <c r="R1258" s="200"/>
      <c r="S1258" s="200"/>
      <c r="T1258" s="66"/>
      <c r="U1258" s="66"/>
      <c r="V1258" s="66"/>
    </row>
    <row r="1259" spans="1:22" s="64" customFormat="1" x14ac:dyDescent="0.25">
      <c r="A1259" s="65" t="s">
        <v>1582</v>
      </c>
      <c r="B1259" s="511" t="s">
        <v>1583</v>
      </c>
      <c r="C1259" s="511"/>
      <c r="D1259" s="511"/>
      <c r="E1259" s="61" t="s">
        <v>1431</v>
      </c>
      <c r="F1259" s="61" t="s">
        <v>54</v>
      </c>
      <c r="G1259" s="61" t="s">
        <v>55</v>
      </c>
      <c r="H1259" s="61"/>
      <c r="I1259" s="61" t="s">
        <v>1366</v>
      </c>
      <c r="J1259" s="62">
        <v>540</v>
      </c>
      <c r="K1259" s="62">
        <v>600</v>
      </c>
      <c r="L1259" s="62">
        <v>600</v>
      </c>
      <c r="M1259" s="232">
        <v>760</v>
      </c>
      <c r="N1259" s="55" t="s">
        <v>1592</v>
      </c>
      <c r="O1259" s="61" t="s">
        <v>52</v>
      </c>
      <c r="P1259" s="200"/>
      <c r="Q1259" s="200"/>
      <c r="R1259" s="200"/>
      <c r="S1259" s="200"/>
      <c r="T1259" s="66"/>
      <c r="U1259" s="66"/>
      <c r="V1259" s="66"/>
    </row>
    <row r="1260" spans="1:22" s="64" customFormat="1" x14ac:dyDescent="0.25">
      <c r="A1260" s="65" t="s">
        <v>1582</v>
      </c>
      <c r="B1260" s="511" t="s">
        <v>1584</v>
      </c>
      <c r="C1260" s="511"/>
      <c r="D1260" s="511"/>
      <c r="E1260" s="61" t="s">
        <v>1431</v>
      </c>
      <c r="F1260" s="61" t="s">
        <v>54</v>
      </c>
      <c r="G1260" s="61" t="s">
        <v>55</v>
      </c>
      <c r="H1260" s="61"/>
      <c r="I1260" s="61" t="s">
        <v>1366</v>
      </c>
      <c r="J1260" s="62">
        <v>0</v>
      </c>
      <c r="K1260" s="62">
        <v>0</v>
      </c>
      <c r="L1260" s="62">
        <v>0</v>
      </c>
      <c r="M1260" s="232">
        <v>0</v>
      </c>
      <c r="N1260" s="55" t="s">
        <v>1592</v>
      </c>
      <c r="O1260" s="61" t="s">
        <v>52</v>
      </c>
      <c r="P1260" s="200"/>
      <c r="Q1260" s="200"/>
      <c r="R1260" s="200"/>
      <c r="S1260" s="200"/>
      <c r="T1260" s="66"/>
      <c r="U1260" s="66"/>
      <c r="V1260" s="66"/>
    </row>
    <row r="1261" spans="1:22" s="64" customFormat="1" x14ac:dyDescent="0.25">
      <c r="A1261" s="65" t="s">
        <v>1582</v>
      </c>
      <c r="B1261" s="511" t="s">
        <v>1585</v>
      </c>
      <c r="C1261" s="511"/>
      <c r="D1261" s="511"/>
      <c r="E1261" s="61" t="s">
        <v>1431</v>
      </c>
      <c r="F1261" s="61" t="s">
        <v>389</v>
      </c>
      <c r="G1261" s="61" t="s">
        <v>55</v>
      </c>
      <c r="H1261" s="61"/>
      <c r="I1261" s="61" t="s">
        <v>1366</v>
      </c>
      <c r="J1261" s="62">
        <v>10</v>
      </c>
      <c r="K1261" s="62">
        <v>10</v>
      </c>
      <c r="L1261" s="62">
        <v>10</v>
      </c>
      <c r="M1261" s="232">
        <v>15</v>
      </c>
      <c r="N1261" s="55" t="s">
        <v>1592</v>
      </c>
      <c r="O1261" s="61" t="s">
        <v>52</v>
      </c>
      <c r="P1261" s="200"/>
      <c r="Q1261" s="200"/>
      <c r="R1261" s="200"/>
      <c r="S1261" s="200"/>
      <c r="T1261" s="66"/>
      <c r="U1261" s="66"/>
      <c r="V1261" s="66"/>
    </row>
    <row r="1262" spans="1:22" s="64" customFormat="1" x14ac:dyDescent="0.25">
      <c r="A1262" s="65" t="s">
        <v>1582</v>
      </c>
      <c r="B1262" s="511" t="s">
        <v>1586</v>
      </c>
      <c r="C1262" s="511"/>
      <c r="D1262" s="511"/>
      <c r="E1262" s="61" t="s">
        <v>1431</v>
      </c>
      <c r="F1262" s="61" t="s">
        <v>54</v>
      </c>
      <c r="G1262" s="61" t="s">
        <v>55</v>
      </c>
      <c r="H1262" s="61"/>
      <c r="I1262" s="61" t="s">
        <v>1366</v>
      </c>
      <c r="J1262" s="62">
        <v>540</v>
      </c>
      <c r="K1262" s="62">
        <v>600</v>
      </c>
      <c r="L1262" s="62">
        <v>600</v>
      </c>
      <c r="M1262" s="232">
        <v>760</v>
      </c>
      <c r="N1262" s="55" t="s">
        <v>1592</v>
      </c>
      <c r="O1262" s="61" t="s">
        <v>52</v>
      </c>
      <c r="P1262" s="200"/>
      <c r="Q1262" s="200"/>
      <c r="R1262" s="200"/>
      <c r="S1262" s="200"/>
      <c r="T1262" s="66"/>
      <c r="U1262" s="66"/>
      <c r="V1262" s="66"/>
    </row>
    <row r="1263" spans="1:22" s="64" customFormat="1" x14ac:dyDescent="0.25">
      <c r="A1263" s="65" t="s">
        <v>1428</v>
      </c>
      <c r="B1263" s="511" t="s">
        <v>1429</v>
      </c>
      <c r="C1263" s="511"/>
      <c r="D1263" s="511"/>
      <c r="E1263" s="61" t="s">
        <v>1570</v>
      </c>
      <c r="F1263" s="61" t="s">
        <v>54</v>
      </c>
      <c r="G1263" s="61" t="s">
        <v>55</v>
      </c>
      <c r="H1263" s="61"/>
      <c r="I1263" s="61" t="s">
        <v>1366</v>
      </c>
      <c r="J1263" s="62">
        <v>225</v>
      </c>
      <c r="K1263" s="62">
        <v>250</v>
      </c>
      <c r="L1263" s="62">
        <v>250</v>
      </c>
      <c r="M1263" s="232">
        <v>320</v>
      </c>
      <c r="N1263" s="55" t="s">
        <v>1593</v>
      </c>
      <c r="O1263" s="61" t="s">
        <v>52</v>
      </c>
      <c r="P1263" s="200"/>
      <c r="Q1263" s="200"/>
      <c r="R1263" s="200"/>
      <c r="S1263" s="200"/>
      <c r="T1263" s="66"/>
      <c r="U1263" s="66"/>
      <c r="V1263" s="66"/>
    </row>
    <row r="1264" spans="1:22" s="64" customFormat="1" x14ac:dyDescent="0.25">
      <c r="A1264" s="65" t="s">
        <v>1428</v>
      </c>
      <c r="B1264" s="511" t="s">
        <v>1432</v>
      </c>
      <c r="C1264" s="511"/>
      <c r="D1264" s="511"/>
      <c r="E1264" s="61" t="s">
        <v>1430</v>
      </c>
      <c r="F1264" s="61" t="s">
        <v>54</v>
      </c>
      <c r="G1264" s="61" t="s">
        <v>55</v>
      </c>
      <c r="H1264" s="61"/>
      <c r="I1264" s="61" t="s">
        <v>1366</v>
      </c>
      <c r="J1264" s="62">
        <v>315</v>
      </c>
      <c r="K1264" s="62">
        <v>350</v>
      </c>
      <c r="L1264" s="62">
        <v>350</v>
      </c>
      <c r="M1264" s="232">
        <v>445</v>
      </c>
      <c r="N1264" s="55" t="s">
        <v>1593</v>
      </c>
      <c r="O1264" s="61" t="s">
        <v>52</v>
      </c>
      <c r="P1264" s="200"/>
      <c r="Q1264" s="200"/>
      <c r="R1264" s="200"/>
      <c r="S1264" s="200"/>
      <c r="T1264" s="66"/>
      <c r="U1264" s="66"/>
      <c r="V1264" s="66"/>
    </row>
    <row r="1265" spans="1:22" s="64" customFormat="1" x14ac:dyDescent="0.25">
      <c r="A1265" s="65" t="s">
        <v>1433</v>
      </c>
      <c r="B1265" s="511" t="s">
        <v>1434</v>
      </c>
      <c r="C1265" s="511"/>
      <c r="D1265" s="511"/>
      <c r="E1265" s="61" t="s">
        <v>1435</v>
      </c>
      <c r="F1265" s="61" t="s">
        <v>54</v>
      </c>
      <c r="G1265" s="61" t="s">
        <v>55</v>
      </c>
      <c r="H1265" s="61"/>
      <c r="I1265" s="61" t="s">
        <v>1366</v>
      </c>
      <c r="J1265" s="62">
        <v>225</v>
      </c>
      <c r="K1265" s="62">
        <v>250</v>
      </c>
      <c r="L1265" s="62">
        <v>250</v>
      </c>
      <c r="M1265" s="232">
        <v>320</v>
      </c>
      <c r="N1265" s="55" t="s">
        <v>1593</v>
      </c>
      <c r="O1265" s="61" t="s">
        <v>52</v>
      </c>
      <c r="P1265" s="200"/>
      <c r="Q1265" s="200"/>
      <c r="R1265" s="200"/>
      <c r="S1265" s="200"/>
      <c r="T1265" s="66"/>
      <c r="U1265" s="66"/>
      <c r="V1265" s="66"/>
    </row>
    <row r="1266" spans="1:22" s="64" customFormat="1" x14ac:dyDescent="0.25">
      <c r="A1266" s="65" t="s">
        <v>1433</v>
      </c>
      <c r="B1266" s="511" t="s">
        <v>1434</v>
      </c>
      <c r="C1266" s="511"/>
      <c r="D1266" s="511"/>
      <c r="E1266" s="61" t="s">
        <v>1435</v>
      </c>
      <c r="F1266" s="61" t="s">
        <v>389</v>
      </c>
      <c r="G1266" s="61" t="s">
        <v>55</v>
      </c>
      <c r="H1266" s="61"/>
      <c r="I1266" s="61" t="s">
        <v>1366</v>
      </c>
      <c r="J1266" s="62">
        <v>225</v>
      </c>
      <c r="K1266" s="62">
        <v>250</v>
      </c>
      <c r="L1266" s="62">
        <v>250</v>
      </c>
      <c r="M1266" s="232">
        <v>320</v>
      </c>
      <c r="N1266" s="55" t="s">
        <v>1593</v>
      </c>
      <c r="O1266" s="61" t="s">
        <v>52</v>
      </c>
      <c r="P1266" s="200"/>
      <c r="Q1266" s="200"/>
      <c r="R1266" s="200"/>
      <c r="S1266" s="200"/>
      <c r="T1266" s="66"/>
      <c r="U1266" s="66"/>
      <c r="V1266" s="66"/>
    </row>
    <row r="1267" spans="1:22" s="64" customFormat="1" x14ac:dyDescent="0.25">
      <c r="A1267" s="65" t="s">
        <v>1433</v>
      </c>
      <c r="B1267" s="511" t="s">
        <v>1436</v>
      </c>
      <c r="C1267" s="511"/>
      <c r="D1267" s="511"/>
      <c r="E1267" s="61" t="s">
        <v>1437</v>
      </c>
      <c r="F1267" s="61" t="s">
        <v>54</v>
      </c>
      <c r="G1267" s="61" t="s">
        <v>55</v>
      </c>
      <c r="H1267" s="61"/>
      <c r="I1267" s="61" t="s">
        <v>1366</v>
      </c>
      <c r="J1267" s="62">
        <v>405</v>
      </c>
      <c r="K1267" s="62">
        <v>450</v>
      </c>
      <c r="L1267" s="62">
        <v>450</v>
      </c>
      <c r="M1267" s="232">
        <v>570</v>
      </c>
      <c r="N1267" s="55" t="s">
        <v>1593</v>
      </c>
      <c r="O1267" s="61" t="s">
        <v>52</v>
      </c>
      <c r="P1267" s="200"/>
      <c r="Q1267" s="200"/>
      <c r="R1267" s="200"/>
      <c r="S1267" s="200"/>
      <c r="T1267" s="66"/>
      <c r="U1267" s="66"/>
      <c r="V1267" s="66"/>
    </row>
    <row r="1268" spans="1:22" s="64" customFormat="1" x14ac:dyDescent="0.25">
      <c r="A1268" s="65" t="s">
        <v>1433</v>
      </c>
      <c r="B1268" s="511" t="s">
        <v>1436</v>
      </c>
      <c r="C1268" s="511"/>
      <c r="D1268" s="511"/>
      <c r="E1268" s="61" t="s">
        <v>1437</v>
      </c>
      <c r="F1268" s="61" t="s">
        <v>389</v>
      </c>
      <c r="G1268" s="61" t="s">
        <v>55</v>
      </c>
      <c r="H1268" s="61"/>
      <c r="I1268" s="61" t="s">
        <v>1366</v>
      </c>
      <c r="J1268" s="62">
        <v>405</v>
      </c>
      <c r="K1268" s="62">
        <v>450</v>
      </c>
      <c r="L1268" s="62">
        <v>450</v>
      </c>
      <c r="M1268" s="232">
        <v>570</v>
      </c>
      <c r="N1268" s="55" t="s">
        <v>1593</v>
      </c>
      <c r="O1268" s="61" t="s">
        <v>52</v>
      </c>
      <c r="P1268" s="200"/>
      <c r="Q1268" s="200"/>
      <c r="R1268" s="200"/>
      <c r="S1268" s="200"/>
      <c r="T1268" s="66"/>
      <c r="U1268" s="66"/>
      <c r="V1268" s="66"/>
    </row>
    <row r="1269" spans="1:22" s="64" customFormat="1" x14ac:dyDescent="0.25">
      <c r="A1269" s="65" t="s">
        <v>1433</v>
      </c>
      <c r="B1269" s="511" t="s">
        <v>1441</v>
      </c>
      <c r="C1269" s="511"/>
      <c r="D1269" s="511"/>
      <c r="E1269" s="61" t="s">
        <v>1435</v>
      </c>
      <c r="F1269" s="61" t="s">
        <v>54</v>
      </c>
      <c r="G1269" s="61" t="s">
        <v>55</v>
      </c>
      <c r="H1269" s="61"/>
      <c r="I1269" s="61" t="s">
        <v>1366</v>
      </c>
      <c r="J1269" s="62">
        <v>450</v>
      </c>
      <c r="K1269" s="62">
        <v>500</v>
      </c>
      <c r="L1269" s="62">
        <v>500</v>
      </c>
      <c r="M1269" s="232">
        <v>635</v>
      </c>
      <c r="N1269" s="55" t="s">
        <v>1593</v>
      </c>
      <c r="O1269" s="61" t="s">
        <v>52</v>
      </c>
      <c r="P1269" s="200"/>
      <c r="Q1269" s="200"/>
      <c r="R1269" s="200"/>
      <c r="S1269" s="200"/>
      <c r="T1269" s="66"/>
      <c r="U1269" s="66"/>
      <c r="V1269" s="66"/>
    </row>
    <row r="1270" spans="1:22" s="64" customFormat="1" x14ac:dyDescent="0.25">
      <c r="A1270" s="65" t="s">
        <v>1433</v>
      </c>
      <c r="B1270" s="511" t="s">
        <v>1441</v>
      </c>
      <c r="C1270" s="511"/>
      <c r="D1270" s="511"/>
      <c r="E1270" s="61" t="s">
        <v>1435</v>
      </c>
      <c r="F1270" s="61" t="s">
        <v>389</v>
      </c>
      <c r="G1270" s="61" t="s">
        <v>55</v>
      </c>
      <c r="H1270" s="61"/>
      <c r="I1270" s="61" t="s">
        <v>1366</v>
      </c>
      <c r="J1270" s="62">
        <v>450</v>
      </c>
      <c r="K1270" s="62">
        <v>500</v>
      </c>
      <c r="L1270" s="62">
        <v>500</v>
      </c>
      <c r="M1270" s="232">
        <v>635</v>
      </c>
      <c r="N1270" s="55" t="s">
        <v>1593</v>
      </c>
      <c r="O1270" s="61" t="s">
        <v>52</v>
      </c>
      <c r="P1270" s="200"/>
      <c r="Q1270" s="200"/>
      <c r="R1270" s="200"/>
      <c r="S1270" s="200"/>
      <c r="T1270" s="66"/>
      <c r="U1270" s="66"/>
      <c r="V1270" s="66"/>
    </row>
    <row r="1271" spans="1:22" s="64" customFormat="1" x14ac:dyDescent="0.25">
      <c r="A1271" s="65" t="s">
        <v>1433</v>
      </c>
      <c r="B1271" s="511" t="s">
        <v>1441</v>
      </c>
      <c r="C1271" s="511"/>
      <c r="D1271" s="511"/>
      <c r="E1271" s="61" t="s">
        <v>1437</v>
      </c>
      <c r="F1271" s="61" t="s">
        <v>56</v>
      </c>
      <c r="G1271" s="61" t="s">
        <v>55</v>
      </c>
      <c r="H1271" s="61"/>
      <c r="I1271" s="61" t="s">
        <v>1366</v>
      </c>
      <c r="J1271" s="62">
        <v>385</v>
      </c>
      <c r="K1271" s="62">
        <v>575</v>
      </c>
      <c r="L1271" s="62">
        <v>575</v>
      </c>
      <c r="M1271" s="232"/>
      <c r="N1271" s="55" t="s">
        <v>1593</v>
      </c>
      <c r="O1271" s="61" t="s">
        <v>52</v>
      </c>
      <c r="P1271" s="200"/>
      <c r="Q1271" s="200"/>
      <c r="R1271" s="200"/>
      <c r="S1271" s="200"/>
      <c r="T1271" s="66"/>
      <c r="U1271" s="66"/>
      <c r="V1271" s="66"/>
    </row>
    <row r="1272" spans="1:22" s="64" customFormat="1" x14ac:dyDescent="0.25">
      <c r="A1272" s="65" t="s">
        <v>1433</v>
      </c>
      <c r="B1272" s="511" t="s">
        <v>1442</v>
      </c>
      <c r="C1272" s="511"/>
      <c r="D1272" s="511"/>
      <c r="E1272" s="61" t="s">
        <v>1435</v>
      </c>
      <c r="F1272" s="61" t="s">
        <v>54</v>
      </c>
      <c r="G1272" s="61" t="s">
        <v>55</v>
      </c>
      <c r="H1272" s="61"/>
      <c r="I1272" s="61" t="s">
        <v>1366</v>
      </c>
      <c r="J1272" s="62">
        <v>225</v>
      </c>
      <c r="K1272" s="62">
        <v>250</v>
      </c>
      <c r="L1272" s="62">
        <v>250</v>
      </c>
      <c r="M1272" s="232">
        <v>320</v>
      </c>
      <c r="N1272" s="55" t="s">
        <v>1593</v>
      </c>
      <c r="O1272" s="61" t="s">
        <v>52</v>
      </c>
      <c r="P1272" s="200"/>
      <c r="Q1272" s="200"/>
      <c r="R1272" s="200"/>
      <c r="S1272" s="200"/>
      <c r="T1272" s="66"/>
      <c r="U1272" s="66"/>
      <c r="V1272" s="66"/>
    </row>
    <row r="1273" spans="1:22" s="64" customFormat="1" x14ac:dyDescent="0.25">
      <c r="A1273" s="65" t="s">
        <v>1433</v>
      </c>
      <c r="B1273" s="511" t="s">
        <v>1442</v>
      </c>
      <c r="C1273" s="511"/>
      <c r="D1273" s="511"/>
      <c r="E1273" s="61" t="s">
        <v>1435</v>
      </c>
      <c r="F1273" s="61" t="s">
        <v>389</v>
      </c>
      <c r="G1273" s="61" t="s">
        <v>55</v>
      </c>
      <c r="H1273" s="61"/>
      <c r="I1273" s="61" t="s">
        <v>1366</v>
      </c>
      <c r="J1273" s="62">
        <v>225</v>
      </c>
      <c r="K1273" s="62">
        <v>250</v>
      </c>
      <c r="L1273" s="62">
        <v>250</v>
      </c>
      <c r="M1273" s="232">
        <v>320</v>
      </c>
      <c r="N1273" s="55" t="s">
        <v>1593</v>
      </c>
      <c r="O1273" s="61" t="s">
        <v>52</v>
      </c>
      <c r="P1273" s="200"/>
      <c r="Q1273" s="200"/>
      <c r="R1273" s="200"/>
      <c r="S1273" s="200"/>
      <c r="T1273" s="66"/>
      <c r="U1273" s="66"/>
      <c r="V1273" s="66"/>
    </row>
    <row r="1274" spans="1:22" s="64" customFormat="1" x14ac:dyDescent="0.25">
      <c r="A1274" s="65" t="s">
        <v>1433</v>
      </c>
      <c r="B1274" s="511" t="s">
        <v>1443</v>
      </c>
      <c r="C1274" s="511"/>
      <c r="D1274" s="511"/>
      <c r="E1274" s="61" t="s">
        <v>1435</v>
      </c>
      <c r="F1274" s="61" t="s">
        <v>54</v>
      </c>
      <c r="G1274" s="61" t="s">
        <v>55</v>
      </c>
      <c r="H1274" s="61"/>
      <c r="I1274" s="61" t="s">
        <v>1366</v>
      </c>
      <c r="J1274" s="62">
        <v>225</v>
      </c>
      <c r="K1274" s="62">
        <v>250</v>
      </c>
      <c r="L1274" s="62">
        <v>250</v>
      </c>
      <c r="M1274" s="232">
        <v>320</v>
      </c>
      <c r="N1274" s="55" t="s">
        <v>1593</v>
      </c>
      <c r="O1274" s="61" t="s">
        <v>52</v>
      </c>
      <c r="P1274" s="200"/>
      <c r="Q1274" s="200"/>
      <c r="R1274" s="200"/>
      <c r="S1274" s="200"/>
      <c r="T1274" s="66"/>
      <c r="U1274" s="66"/>
      <c r="V1274" s="66"/>
    </row>
    <row r="1275" spans="1:22" s="64" customFormat="1" x14ac:dyDescent="0.25">
      <c r="A1275" s="65" t="s">
        <v>1433</v>
      </c>
      <c r="B1275" s="511" t="s">
        <v>1443</v>
      </c>
      <c r="C1275" s="511"/>
      <c r="D1275" s="511"/>
      <c r="E1275" s="61" t="s">
        <v>1435</v>
      </c>
      <c r="F1275" s="61" t="s">
        <v>389</v>
      </c>
      <c r="G1275" s="61" t="s">
        <v>55</v>
      </c>
      <c r="H1275" s="61"/>
      <c r="I1275" s="61" t="s">
        <v>1366</v>
      </c>
      <c r="J1275" s="62">
        <v>225</v>
      </c>
      <c r="K1275" s="62">
        <v>250</v>
      </c>
      <c r="L1275" s="62">
        <v>250</v>
      </c>
      <c r="M1275" s="232">
        <v>320</v>
      </c>
      <c r="N1275" s="55" t="s">
        <v>1593</v>
      </c>
      <c r="O1275" s="61" t="s">
        <v>52</v>
      </c>
      <c r="P1275" s="200"/>
      <c r="Q1275" s="200"/>
      <c r="R1275" s="200"/>
      <c r="S1275" s="200"/>
      <c r="T1275" s="66"/>
      <c r="U1275" s="66"/>
      <c r="V1275" s="66"/>
    </row>
    <row r="1276" spans="1:22" s="64" customFormat="1" x14ac:dyDescent="0.25">
      <c r="A1276" s="65" t="s">
        <v>1433</v>
      </c>
      <c r="B1276" s="511" t="s">
        <v>1443</v>
      </c>
      <c r="C1276" s="511"/>
      <c r="D1276" s="511"/>
      <c r="E1276" s="61" t="s">
        <v>1435</v>
      </c>
      <c r="F1276" s="61" t="s">
        <v>56</v>
      </c>
      <c r="G1276" s="61" t="s">
        <v>55</v>
      </c>
      <c r="H1276" s="61"/>
      <c r="I1276" s="61" t="s">
        <v>1366</v>
      </c>
      <c r="J1276" s="62">
        <v>450</v>
      </c>
      <c r="K1276" s="62">
        <v>620</v>
      </c>
      <c r="L1276" s="62">
        <v>620</v>
      </c>
      <c r="M1276" s="232">
        <v>360</v>
      </c>
      <c r="N1276" s="55" t="s">
        <v>1593</v>
      </c>
      <c r="O1276" s="61" t="s">
        <v>52</v>
      </c>
      <c r="P1276" s="200"/>
      <c r="Q1276" s="200"/>
      <c r="R1276" s="200"/>
      <c r="S1276" s="200"/>
      <c r="T1276" s="66"/>
      <c r="U1276" s="66"/>
      <c r="V1276" s="66"/>
    </row>
    <row r="1277" spans="1:22" s="64" customFormat="1" x14ac:dyDescent="0.25">
      <c r="A1277" s="65" t="s">
        <v>1433</v>
      </c>
      <c r="B1277" s="511" t="s">
        <v>1444</v>
      </c>
      <c r="C1277" s="511"/>
      <c r="D1277" s="511"/>
      <c r="E1277" s="61" t="s">
        <v>1435</v>
      </c>
      <c r="F1277" s="61" t="s">
        <v>56</v>
      </c>
      <c r="G1277" s="61" t="s">
        <v>55</v>
      </c>
      <c r="H1277" s="61"/>
      <c r="I1277" s="61" t="s">
        <v>1366</v>
      </c>
      <c r="J1277" s="62">
        <v>1115</v>
      </c>
      <c r="K1277" s="62">
        <v>1970</v>
      </c>
      <c r="L1277" s="62">
        <v>1970</v>
      </c>
      <c r="M1277" s="232"/>
      <c r="N1277" s="55" t="s">
        <v>1593</v>
      </c>
      <c r="O1277" s="61" t="s">
        <v>52</v>
      </c>
      <c r="P1277" s="200"/>
      <c r="Q1277" s="200"/>
      <c r="R1277" s="200"/>
      <c r="S1277" s="200"/>
      <c r="T1277" s="66"/>
      <c r="U1277" s="66"/>
      <c r="V1277" s="66"/>
    </row>
    <row r="1278" spans="1:22" s="64" customFormat="1" x14ac:dyDescent="0.25">
      <c r="A1278" s="65" t="s">
        <v>1433</v>
      </c>
      <c r="B1278" s="511" t="s">
        <v>1445</v>
      </c>
      <c r="C1278" s="511"/>
      <c r="D1278" s="511"/>
      <c r="E1278" s="61" t="s">
        <v>1435</v>
      </c>
      <c r="F1278" s="61" t="s">
        <v>54</v>
      </c>
      <c r="G1278" s="61" t="s">
        <v>55</v>
      </c>
      <c r="H1278" s="61"/>
      <c r="I1278" s="61" t="s">
        <v>1366</v>
      </c>
      <c r="J1278" s="62">
        <v>360</v>
      </c>
      <c r="K1278" s="62">
        <v>400</v>
      </c>
      <c r="L1278" s="62">
        <v>400</v>
      </c>
      <c r="M1278" s="232">
        <v>510</v>
      </c>
      <c r="N1278" s="55" t="s">
        <v>1593</v>
      </c>
      <c r="O1278" s="61" t="s">
        <v>52</v>
      </c>
      <c r="P1278" s="200"/>
      <c r="Q1278" s="200"/>
      <c r="R1278" s="200"/>
      <c r="S1278" s="200"/>
      <c r="T1278" s="66"/>
      <c r="U1278" s="66"/>
      <c r="V1278" s="66"/>
    </row>
    <row r="1279" spans="1:22" s="64" customFormat="1" x14ac:dyDescent="0.25">
      <c r="A1279" s="65" t="s">
        <v>1433</v>
      </c>
      <c r="B1279" s="511" t="s">
        <v>1445</v>
      </c>
      <c r="C1279" s="511"/>
      <c r="D1279" s="511"/>
      <c r="E1279" s="61" t="s">
        <v>1435</v>
      </c>
      <c r="F1279" s="61" t="s">
        <v>389</v>
      </c>
      <c r="G1279" s="61" t="s">
        <v>55</v>
      </c>
      <c r="H1279" s="61"/>
      <c r="I1279" s="61" t="s">
        <v>1366</v>
      </c>
      <c r="J1279" s="62">
        <v>360</v>
      </c>
      <c r="K1279" s="62">
        <v>400</v>
      </c>
      <c r="L1279" s="62">
        <v>400</v>
      </c>
      <c r="M1279" s="232">
        <v>510</v>
      </c>
      <c r="N1279" s="55" t="s">
        <v>1593</v>
      </c>
      <c r="O1279" s="61" t="s">
        <v>52</v>
      </c>
      <c r="P1279" s="200"/>
      <c r="Q1279" s="200"/>
      <c r="R1279" s="200"/>
      <c r="S1279" s="200"/>
      <c r="T1279" s="66"/>
      <c r="U1279" s="66"/>
      <c r="V1279" s="66"/>
    </row>
    <row r="1280" spans="1:22" s="64" customFormat="1" x14ac:dyDescent="0.25">
      <c r="A1280" s="65" t="s">
        <v>1433</v>
      </c>
      <c r="B1280" s="511" t="s">
        <v>1446</v>
      </c>
      <c r="C1280" s="511"/>
      <c r="D1280" s="511"/>
      <c r="E1280" s="61" t="s">
        <v>1435</v>
      </c>
      <c r="F1280" s="61" t="s">
        <v>54</v>
      </c>
      <c r="G1280" s="61" t="s">
        <v>55</v>
      </c>
      <c r="H1280" s="61"/>
      <c r="I1280" s="61" t="s">
        <v>1366</v>
      </c>
      <c r="J1280" s="62">
        <v>585</v>
      </c>
      <c r="K1280" s="62">
        <v>650</v>
      </c>
      <c r="L1280" s="62">
        <v>650</v>
      </c>
      <c r="M1280" s="232">
        <v>830</v>
      </c>
      <c r="N1280" s="55" t="s">
        <v>1593</v>
      </c>
      <c r="O1280" s="61" t="s">
        <v>52</v>
      </c>
      <c r="P1280" s="200"/>
      <c r="Q1280" s="200"/>
      <c r="R1280" s="200"/>
      <c r="S1280" s="200"/>
      <c r="T1280" s="66"/>
      <c r="U1280" s="66"/>
      <c r="V1280" s="66"/>
    </row>
    <row r="1281" spans="1:22" s="64" customFormat="1" x14ac:dyDescent="0.25">
      <c r="A1281" s="65" t="s">
        <v>1433</v>
      </c>
      <c r="B1281" s="511" t="s">
        <v>1446</v>
      </c>
      <c r="C1281" s="511"/>
      <c r="D1281" s="511"/>
      <c r="E1281" s="61" t="s">
        <v>1435</v>
      </c>
      <c r="F1281" s="61" t="s">
        <v>389</v>
      </c>
      <c r="G1281" s="61" t="s">
        <v>55</v>
      </c>
      <c r="H1281" s="61"/>
      <c r="I1281" s="61" t="s">
        <v>1366</v>
      </c>
      <c r="J1281" s="62">
        <v>585</v>
      </c>
      <c r="K1281" s="62">
        <v>650</v>
      </c>
      <c r="L1281" s="62">
        <v>650</v>
      </c>
      <c r="M1281" s="232">
        <v>830</v>
      </c>
      <c r="N1281" s="55" t="s">
        <v>1593</v>
      </c>
      <c r="O1281" s="61" t="s">
        <v>52</v>
      </c>
      <c r="P1281" s="200"/>
      <c r="Q1281" s="200"/>
      <c r="R1281" s="200"/>
      <c r="S1281" s="200"/>
      <c r="T1281" s="66"/>
      <c r="U1281" s="66"/>
      <c r="V1281" s="66"/>
    </row>
    <row r="1282" spans="1:22" s="64" customFormat="1" x14ac:dyDescent="0.25">
      <c r="A1282" s="65" t="s">
        <v>1433</v>
      </c>
      <c r="B1282" s="511" t="s">
        <v>1446</v>
      </c>
      <c r="C1282" s="511"/>
      <c r="D1282" s="511"/>
      <c r="E1282" s="61" t="s">
        <v>1447</v>
      </c>
      <c r="F1282" s="61" t="s">
        <v>56</v>
      </c>
      <c r="G1282" s="61" t="s">
        <v>55</v>
      </c>
      <c r="H1282" s="61"/>
      <c r="I1282" s="61" t="s">
        <v>1366</v>
      </c>
      <c r="J1282" s="62">
        <v>800</v>
      </c>
      <c r="K1282" s="62">
        <v>900</v>
      </c>
      <c r="L1282" s="62">
        <v>900</v>
      </c>
      <c r="M1282" s="232"/>
      <c r="N1282" s="55" t="s">
        <v>1593</v>
      </c>
      <c r="O1282" s="61" t="s">
        <v>52</v>
      </c>
      <c r="P1282" s="200"/>
      <c r="Q1282" s="200"/>
      <c r="R1282" s="200"/>
      <c r="S1282" s="200"/>
      <c r="T1282" s="66"/>
      <c r="U1282" s="66"/>
      <c r="V1282" s="66"/>
    </row>
    <row r="1283" spans="1:22" s="64" customFormat="1" x14ac:dyDescent="0.25">
      <c r="A1283" s="65" t="s">
        <v>1433</v>
      </c>
      <c r="B1283" s="511" t="s">
        <v>1448</v>
      </c>
      <c r="C1283" s="511"/>
      <c r="D1283" s="511"/>
      <c r="E1283" s="61" t="s">
        <v>1435</v>
      </c>
      <c r="F1283" s="61" t="s">
        <v>56</v>
      </c>
      <c r="G1283" s="61" t="s">
        <v>55</v>
      </c>
      <c r="H1283" s="61"/>
      <c r="I1283" s="61" t="s">
        <v>1366</v>
      </c>
      <c r="J1283" s="62">
        <v>440</v>
      </c>
      <c r="K1283" s="62">
        <v>505</v>
      </c>
      <c r="L1283" s="62">
        <v>505</v>
      </c>
      <c r="M1283" s="232"/>
      <c r="N1283" s="55" t="s">
        <v>1593</v>
      </c>
      <c r="O1283" s="61" t="s">
        <v>52</v>
      </c>
      <c r="P1283" s="200"/>
      <c r="Q1283" s="200"/>
      <c r="R1283" s="200"/>
      <c r="S1283" s="200"/>
      <c r="T1283" s="66"/>
      <c r="U1283" s="66"/>
      <c r="V1283" s="66"/>
    </row>
    <row r="1284" spans="1:22" s="64" customFormat="1" x14ac:dyDescent="0.25">
      <c r="A1284" s="65" t="s">
        <v>1433</v>
      </c>
      <c r="B1284" s="511" t="s">
        <v>1449</v>
      </c>
      <c r="C1284" s="511"/>
      <c r="D1284" s="511"/>
      <c r="E1284" s="61" t="s">
        <v>1435</v>
      </c>
      <c r="F1284" s="61" t="s">
        <v>54</v>
      </c>
      <c r="G1284" s="61" t="s">
        <v>55</v>
      </c>
      <c r="H1284" s="61"/>
      <c r="I1284" s="61" t="s">
        <v>1366</v>
      </c>
      <c r="J1284" s="62">
        <v>225</v>
      </c>
      <c r="K1284" s="62">
        <v>250</v>
      </c>
      <c r="L1284" s="62">
        <v>250</v>
      </c>
      <c r="M1284" s="232">
        <v>320</v>
      </c>
      <c r="N1284" s="55" t="s">
        <v>1593</v>
      </c>
      <c r="O1284" s="61" t="s">
        <v>52</v>
      </c>
      <c r="P1284" s="200"/>
      <c r="Q1284" s="200"/>
      <c r="R1284" s="200"/>
      <c r="S1284" s="200"/>
      <c r="T1284" s="66"/>
      <c r="U1284" s="66"/>
      <c r="V1284" s="66"/>
    </row>
    <row r="1285" spans="1:22" s="64" customFormat="1" x14ac:dyDescent="0.25">
      <c r="A1285" s="65" t="s">
        <v>1433</v>
      </c>
      <c r="B1285" s="511" t="s">
        <v>1450</v>
      </c>
      <c r="C1285" s="511"/>
      <c r="D1285" s="511"/>
      <c r="E1285" s="61" t="s">
        <v>1437</v>
      </c>
      <c r="F1285" s="61" t="s">
        <v>54</v>
      </c>
      <c r="G1285" s="61" t="s">
        <v>55</v>
      </c>
      <c r="H1285" s="61"/>
      <c r="I1285" s="61" t="s">
        <v>1366</v>
      </c>
      <c r="J1285" s="62">
        <v>135</v>
      </c>
      <c r="K1285" s="62">
        <v>150</v>
      </c>
      <c r="L1285" s="62">
        <v>150</v>
      </c>
      <c r="M1285" s="232">
        <v>190</v>
      </c>
      <c r="N1285" s="55" t="s">
        <v>1593</v>
      </c>
      <c r="O1285" s="61" t="s">
        <v>52</v>
      </c>
      <c r="P1285" s="200"/>
      <c r="Q1285" s="200"/>
      <c r="R1285" s="200"/>
      <c r="S1285" s="200"/>
      <c r="T1285" s="66"/>
      <c r="U1285" s="66"/>
      <c r="V1285" s="66"/>
    </row>
    <row r="1286" spans="1:22" s="64" customFormat="1" x14ac:dyDescent="0.25">
      <c r="A1286" s="65" t="s">
        <v>1433</v>
      </c>
      <c r="B1286" s="511" t="s">
        <v>1450</v>
      </c>
      <c r="C1286" s="511"/>
      <c r="D1286" s="511"/>
      <c r="E1286" s="61" t="s">
        <v>1437</v>
      </c>
      <c r="F1286" s="61" t="s">
        <v>389</v>
      </c>
      <c r="G1286" s="61" t="s">
        <v>55</v>
      </c>
      <c r="H1286" s="61"/>
      <c r="I1286" s="61" t="s">
        <v>1366</v>
      </c>
      <c r="J1286" s="62">
        <v>135</v>
      </c>
      <c r="K1286" s="62">
        <v>150</v>
      </c>
      <c r="L1286" s="62">
        <v>150</v>
      </c>
      <c r="M1286" s="232">
        <v>190</v>
      </c>
      <c r="N1286" s="55" t="s">
        <v>1593</v>
      </c>
      <c r="O1286" s="61" t="s">
        <v>52</v>
      </c>
      <c r="P1286" s="200"/>
      <c r="Q1286" s="200"/>
      <c r="R1286" s="200"/>
      <c r="S1286" s="200"/>
      <c r="T1286" s="66"/>
      <c r="U1286" s="66"/>
      <c r="V1286" s="66"/>
    </row>
    <row r="1287" spans="1:22" s="64" customFormat="1" x14ac:dyDescent="0.25">
      <c r="A1287" s="65" t="s">
        <v>1433</v>
      </c>
      <c r="B1287" s="511" t="s">
        <v>1450</v>
      </c>
      <c r="C1287" s="511"/>
      <c r="D1287" s="511"/>
      <c r="E1287" s="61" t="s">
        <v>1437</v>
      </c>
      <c r="F1287" s="61" t="s">
        <v>56</v>
      </c>
      <c r="G1287" s="61" t="s">
        <v>55</v>
      </c>
      <c r="H1287" s="61"/>
      <c r="I1287" s="61" t="s">
        <v>1366</v>
      </c>
      <c r="J1287" s="62">
        <v>230</v>
      </c>
      <c r="K1287" s="62">
        <v>255</v>
      </c>
      <c r="L1287" s="62">
        <v>255</v>
      </c>
      <c r="M1287" s="232">
        <v>200</v>
      </c>
      <c r="N1287" s="55" t="s">
        <v>1593</v>
      </c>
      <c r="O1287" s="61" t="s">
        <v>52</v>
      </c>
      <c r="P1287" s="200"/>
      <c r="Q1287" s="200"/>
      <c r="R1287" s="200"/>
      <c r="S1287" s="200"/>
      <c r="T1287" s="66"/>
      <c r="U1287" s="66"/>
      <c r="V1287" s="66"/>
    </row>
    <row r="1288" spans="1:22" s="64" customFormat="1" x14ac:dyDescent="0.25">
      <c r="A1288" s="65" t="s">
        <v>1433</v>
      </c>
      <c r="B1288" s="511" t="s">
        <v>1451</v>
      </c>
      <c r="C1288" s="511"/>
      <c r="D1288" s="511"/>
      <c r="E1288" s="61" t="s">
        <v>1437</v>
      </c>
      <c r="F1288" s="61" t="s">
        <v>54</v>
      </c>
      <c r="G1288" s="61" t="s">
        <v>55</v>
      </c>
      <c r="H1288" s="61"/>
      <c r="I1288" s="61" t="s">
        <v>1366</v>
      </c>
      <c r="J1288" s="62">
        <v>405</v>
      </c>
      <c r="K1288" s="62">
        <v>450</v>
      </c>
      <c r="L1288" s="62">
        <v>450</v>
      </c>
      <c r="M1288" s="232">
        <v>570</v>
      </c>
      <c r="N1288" s="55" t="s">
        <v>1593</v>
      </c>
      <c r="O1288" s="61" t="s">
        <v>52</v>
      </c>
      <c r="P1288" s="200"/>
      <c r="Q1288" s="200"/>
      <c r="R1288" s="200"/>
      <c r="S1288" s="200"/>
      <c r="T1288" s="66"/>
      <c r="U1288" s="66"/>
      <c r="V1288" s="66"/>
    </row>
    <row r="1289" spans="1:22" s="64" customFormat="1" x14ac:dyDescent="0.25">
      <c r="A1289" s="65" t="s">
        <v>1433</v>
      </c>
      <c r="B1289" s="511" t="s">
        <v>1451</v>
      </c>
      <c r="C1289" s="511"/>
      <c r="D1289" s="511"/>
      <c r="E1289" s="61" t="s">
        <v>1437</v>
      </c>
      <c r="F1289" s="61" t="s">
        <v>389</v>
      </c>
      <c r="G1289" s="61" t="s">
        <v>55</v>
      </c>
      <c r="H1289" s="61"/>
      <c r="I1289" s="61" t="s">
        <v>1366</v>
      </c>
      <c r="J1289" s="62">
        <v>405</v>
      </c>
      <c r="K1289" s="62">
        <v>450</v>
      </c>
      <c r="L1289" s="62">
        <v>450</v>
      </c>
      <c r="M1289" s="232">
        <v>570</v>
      </c>
      <c r="N1289" s="55" t="s">
        <v>1593</v>
      </c>
      <c r="O1289" s="61" t="s">
        <v>52</v>
      </c>
      <c r="P1289" s="200"/>
      <c r="Q1289" s="200"/>
      <c r="R1289" s="200"/>
      <c r="S1289" s="200"/>
      <c r="T1289" s="66"/>
      <c r="U1289" s="66"/>
      <c r="V1289" s="66"/>
    </row>
    <row r="1290" spans="1:22" s="64" customFormat="1" x14ac:dyDescent="0.25">
      <c r="A1290" s="65" t="s">
        <v>1433</v>
      </c>
      <c r="B1290" s="511" t="s">
        <v>1452</v>
      </c>
      <c r="C1290" s="511"/>
      <c r="D1290" s="511"/>
      <c r="E1290" s="61" t="s">
        <v>1435</v>
      </c>
      <c r="F1290" s="61" t="s">
        <v>54</v>
      </c>
      <c r="G1290" s="61" t="s">
        <v>55</v>
      </c>
      <c r="H1290" s="61"/>
      <c r="I1290" s="61" t="s">
        <v>1366</v>
      </c>
      <c r="J1290" s="62">
        <v>675</v>
      </c>
      <c r="K1290" s="62">
        <v>750</v>
      </c>
      <c r="L1290" s="62">
        <v>750</v>
      </c>
      <c r="M1290" s="232">
        <v>955</v>
      </c>
      <c r="N1290" s="55" t="s">
        <v>1593</v>
      </c>
      <c r="O1290" s="61" t="s">
        <v>52</v>
      </c>
      <c r="P1290" s="200"/>
      <c r="Q1290" s="200"/>
      <c r="R1290" s="200"/>
      <c r="S1290" s="200"/>
      <c r="T1290" s="66"/>
      <c r="U1290" s="66"/>
      <c r="V1290" s="66"/>
    </row>
    <row r="1291" spans="1:22" s="64" customFormat="1" x14ac:dyDescent="0.25">
      <c r="A1291" s="65" t="s">
        <v>1433</v>
      </c>
      <c r="B1291" s="511" t="s">
        <v>1452</v>
      </c>
      <c r="C1291" s="511"/>
      <c r="D1291" s="511"/>
      <c r="E1291" s="61" t="s">
        <v>1435</v>
      </c>
      <c r="F1291" s="61" t="s">
        <v>389</v>
      </c>
      <c r="G1291" s="61" t="s">
        <v>55</v>
      </c>
      <c r="H1291" s="61"/>
      <c r="I1291" s="61" t="s">
        <v>1366</v>
      </c>
      <c r="J1291" s="62">
        <v>675</v>
      </c>
      <c r="K1291" s="62">
        <v>750</v>
      </c>
      <c r="L1291" s="62">
        <v>750</v>
      </c>
      <c r="M1291" s="232">
        <v>955</v>
      </c>
      <c r="N1291" s="55" t="s">
        <v>1593</v>
      </c>
      <c r="O1291" s="61" t="s">
        <v>52</v>
      </c>
      <c r="P1291" s="200"/>
      <c r="Q1291" s="200"/>
      <c r="R1291" s="200"/>
      <c r="S1291" s="200"/>
      <c r="T1291" s="66"/>
      <c r="U1291" s="66"/>
      <c r="V1291" s="66"/>
    </row>
    <row r="1292" spans="1:22" s="64" customFormat="1" x14ac:dyDescent="0.25">
      <c r="A1292" s="65" t="s">
        <v>1433</v>
      </c>
      <c r="B1292" s="511" t="s">
        <v>1453</v>
      </c>
      <c r="C1292" s="511"/>
      <c r="D1292" s="511"/>
      <c r="E1292" s="61" t="s">
        <v>1437</v>
      </c>
      <c r="F1292" s="61" t="s">
        <v>54</v>
      </c>
      <c r="G1292" s="61" t="s">
        <v>55</v>
      </c>
      <c r="H1292" s="61"/>
      <c r="I1292" s="61" t="s">
        <v>1366</v>
      </c>
      <c r="J1292" s="62">
        <v>135</v>
      </c>
      <c r="K1292" s="62">
        <v>150</v>
      </c>
      <c r="L1292" s="62">
        <v>150</v>
      </c>
      <c r="M1292" s="232">
        <v>190</v>
      </c>
      <c r="N1292" s="55" t="s">
        <v>1593</v>
      </c>
      <c r="O1292" s="61" t="s">
        <v>52</v>
      </c>
      <c r="P1292" s="200"/>
      <c r="Q1292" s="200"/>
      <c r="R1292" s="200"/>
      <c r="S1292" s="200"/>
      <c r="T1292" s="66"/>
      <c r="U1292" s="66"/>
      <c r="V1292" s="66"/>
    </row>
    <row r="1293" spans="1:22" s="64" customFormat="1" x14ac:dyDescent="0.25">
      <c r="A1293" s="65" t="s">
        <v>1433</v>
      </c>
      <c r="B1293" s="511" t="s">
        <v>1454</v>
      </c>
      <c r="C1293" s="511"/>
      <c r="D1293" s="511"/>
      <c r="E1293" s="61" t="s">
        <v>1455</v>
      </c>
      <c r="F1293" s="61" t="s">
        <v>56</v>
      </c>
      <c r="G1293" s="61" t="s">
        <v>55</v>
      </c>
      <c r="H1293" s="61"/>
      <c r="I1293" s="61" t="s">
        <v>1366</v>
      </c>
      <c r="J1293" s="62">
        <v>505</v>
      </c>
      <c r="K1293" s="62">
        <v>510</v>
      </c>
      <c r="L1293" s="62">
        <v>510</v>
      </c>
      <c r="M1293" s="232"/>
      <c r="N1293" s="55" t="s">
        <v>1593</v>
      </c>
      <c r="O1293" s="61" t="s">
        <v>52</v>
      </c>
      <c r="P1293" s="200"/>
      <c r="Q1293" s="200"/>
      <c r="R1293" s="200"/>
      <c r="S1293" s="200"/>
      <c r="T1293" s="66"/>
      <c r="U1293" s="66"/>
      <c r="V1293" s="66"/>
    </row>
    <row r="1294" spans="1:22" s="64" customFormat="1" x14ac:dyDescent="0.25">
      <c r="A1294" s="65" t="s">
        <v>1433</v>
      </c>
      <c r="B1294" s="511" t="s">
        <v>1454</v>
      </c>
      <c r="C1294" s="511"/>
      <c r="D1294" s="511"/>
      <c r="E1294" s="61" t="s">
        <v>1437</v>
      </c>
      <c r="F1294" s="61" t="s">
        <v>56</v>
      </c>
      <c r="G1294" s="61" t="s">
        <v>55</v>
      </c>
      <c r="H1294" s="61"/>
      <c r="I1294" s="61" t="s">
        <v>1366</v>
      </c>
      <c r="J1294" s="62">
        <v>445</v>
      </c>
      <c r="K1294" s="62">
        <v>595</v>
      </c>
      <c r="L1294" s="62">
        <v>595</v>
      </c>
      <c r="M1294" s="232"/>
      <c r="N1294" s="55" t="s">
        <v>1593</v>
      </c>
      <c r="O1294" s="61" t="s">
        <v>52</v>
      </c>
      <c r="P1294" s="200"/>
      <c r="Q1294" s="200"/>
      <c r="R1294" s="200"/>
      <c r="S1294" s="200"/>
      <c r="T1294" s="66"/>
      <c r="U1294" s="66"/>
      <c r="V1294" s="66"/>
    </row>
    <row r="1295" spans="1:22" s="64" customFormat="1" x14ac:dyDescent="0.25">
      <c r="A1295" s="65" t="s">
        <v>1433</v>
      </c>
      <c r="B1295" s="511" t="s">
        <v>1456</v>
      </c>
      <c r="C1295" s="511"/>
      <c r="D1295" s="511"/>
      <c r="E1295" s="61" t="s">
        <v>1437</v>
      </c>
      <c r="F1295" s="61" t="s">
        <v>54</v>
      </c>
      <c r="G1295" s="61" t="s">
        <v>55</v>
      </c>
      <c r="H1295" s="61"/>
      <c r="I1295" s="61" t="s">
        <v>1366</v>
      </c>
      <c r="J1295" s="62">
        <v>180</v>
      </c>
      <c r="K1295" s="62">
        <v>200</v>
      </c>
      <c r="L1295" s="62">
        <v>200</v>
      </c>
      <c r="M1295" s="232">
        <v>255</v>
      </c>
      <c r="N1295" s="55" t="s">
        <v>1593</v>
      </c>
      <c r="O1295" s="61" t="s">
        <v>52</v>
      </c>
      <c r="P1295" s="200"/>
      <c r="Q1295" s="200"/>
      <c r="R1295" s="200"/>
      <c r="S1295" s="200"/>
      <c r="T1295" s="66"/>
      <c r="U1295" s="66"/>
      <c r="V1295" s="66"/>
    </row>
    <row r="1296" spans="1:22" s="64" customFormat="1" x14ac:dyDescent="0.25">
      <c r="A1296" s="65" t="s">
        <v>1433</v>
      </c>
      <c r="B1296" s="511" t="s">
        <v>1456</v>
      </c>
      <c r="C1296" s="511"/>
      <c r="D1296" s="511"/>
      <c r="E1296" s="61" t="s">
        <v>1437</v>
      </c>
      <c r="F1296" s="61" t="s">
        <v>389</v>
      </c>
      <c r="G1296" s="61" t="s">
        <v>55</v>
      </c>
      <c r="H1296" s="61"/>
      <c r="I1296" s="61" t="s">
        <v>1366</v>
      </c>
      <c r="J1296" s="62">
        <v>180</v>
      </c>
      <c r="K1296" s="62">
        <v>200</v>
      </c>
      <c r="L1296" s="62">
        <v>200</v>
      </c>
      <c r="M1296" s="232">
        <v>255</v>
      </c>
      <c r="N1296" s="55" t="s">
        <v>1593</v>
      </c>
      <c r="O1296" s="61" t="s">
        <v>52</v>
      </c>
      <c r="P1296" s="200"/>
      <c r="Q1296" s="200"/>
      <c r="R1296" s="200"/>
      <c r="S1296" s="200"/>
      <c r="T1296" s="66"/>
      <c r="U1296" s="66"/>
      <c r="V1296" s="66"/>
    </row>
    <row r="1297" spans="1:22" s="64" customFormat="1" x14ac:dyDescent="0.25">
      <c r="A1297" s="65" t="s">
        <v>1433</v>
      </c>
      <c r="B1297" s="511" t="s">
        <v>1655</v>
      </c>
      <c r="C1297" s="511"/>
      <c r="D1297" s="511"/>
      <c r="E1297" s="61" t="s">
        <v>1437</v>
      </c>
      <c r="F1297" s="61" t="s">
        <v>54</v>
      </c>
      <c r="G1297" s="61" t="s">
        <v>55</v>
      </c>
      <c r="H1297" s="61"/>
      <c r="I1297" s="61" t="s">
        <v>1366</v>
      </c>
      <c r="J1297" s="62">
        <v>225</v>
      </c>
      <c r="K1297" s="62">
        <v>250</v>
      </c>
      <c r="L1297" s="62">
        <v>250</v>
      </c>
      <c r="M1297" s="232">
        <v>320</v>
      </c>
      <c r="N1297" s="55" t="s">
        <v>1593</v>
      </c>
      <c r="O1297" s="61" t="s">
        <v>52</v>
      </c>
      <c r="P1297" s="200"/>
      <c r="Q1297" s="200"/>
      <c r="R1297" s="200"/>
      <c r="S1297" s="200"/>
      <c r="T1297" s="66"/>
      <c r="U1297" s="66"/>
      <c r="V1297" s="66"/>
    </row>
    <row r="1298" spans="1:22" s="64" customFormat="1" x14ac:dyDescent="0.25">
      <c r="A1298" s="65" t="s">
        <v>1433</v>
      </c>
      <c r="B1298" s="511" t="s">
        <v>1655</v>
      </c>
      <c r="C1298" s="511"/>
      <c r="D1298" s="511"/>
      <c r="E1298" s="61" t="s">
        <v>1437</v>
      </c>
      <c r="F1298" s="61" t="s">
        <v>389</v>
      </c>
      <c r="G1298" s="61" t="s">
        <v>55</v>
      </c>
      <c r="H1298" s="61"/>
      <c r="I1298" s="61" t="s">
        <v>1366</v>
      </c>
      <c r="J1298" s="62">
        <v>225</v>
      </c>
      <c r="K1298" s="62">
        <v>250</v>
      </c>
      <c r="L1298" s="62">
        <v>250</v>
      </c>
      <c r="M1298" s="232">
        <v>320</v>
      </c>
      <c r="N1298" s="55" t="s">
        <v>1593</v>
      </c>
      <c r="O1298" s="61" t="s">
        <v>52</v>
      </c>
      <c r="P1298" s="200"/>
      <c r="Q1298" s="200"/>
      <c r="R1298" s="200"/>
      <c r="S1298" s="200"/>
      <c r="T1298" s="66"/>
      <c r="U1298" s="66"/>
      <c r="V1298" s="66"/>
    </row>
    <row r="1299" spans="1:22" s="64" customFormat="1" x14ac:dyDescent="0.25">
      <c r="A1299" s="65" t="s">
        <v>1433</v>
      </c>
      <c r="B1299" s="511" t="s">
        <v>1458</v>
      </c>
      <c r="C1299" s="511"/>
      <c r="D1299" s="511"/>
      <c r="E1299" s="61" t="s">
        <v>1437</v>
      </c>
      <c r="F1299" s="61" t="s">
        <v>54</v>
      </c>
      <c r="G1299" s="61" t="s">
        <v>55</v>
      </c>
      <c r="H1299" s="61"/>
      <c r="I1299" s="61" t="s">
        <v>1366</v>
      </c>
      <c r="J1299" s="62">
        <v>270</v>
      </c>
      <c r="K1299" s="62">
        <v>300</v>
      </c>
      <c r="L1299" s="62">
        <v>300</v>
      </c>
      <c r="M1299" s="232">
        <v>385</v>
      </c>
      <c r="N1299" s="55" t="s">
        <v>1593</v>
      </c>
      <c r="O1299" s="61" t="s">
        <v>52</v>
      </c>
      <c r="P1299" s="200"/>
      <c r="Q1299" s="200"/>
      <c r="R1299" s="200"/>
      <c r="S1299" s="200"/>
      <c r="T1299" s="66"/>
      <c r="U1299" s="66"/>
      <c r="V1299" s="66"/>
    </row>
    <row r="1300" spans="1:22" s="64" customFormat="1" x14ac:dyDescent="0.25">
      <c r="A1300" s="65" t="s">
        <v>1433</v>
      </c>
      <c r="B1300" s="511" t="s">
        <v>1458</v>
      </c>
      <c r="C1300" s="511"/>
      <c r="D1300" s="511"/>
      <c r="E1300" s="61" t="s">
        <v>1437</v>
      </c>
      <c r="F1300" s="61" t="s">
        <v>389</v>
      </c>
      <c r="G1300" s="61" t="s">
        <v>55</v>
      </c>
      <c r="H1300" s="61"/>
      <c r="I1300" s="61" t="s">
        <v>1366</v>
      </c>
      <c r="J1300" s="62">
        <v>270</v>
      </c>
      <c r="K1300" s="62">
        <v>300</v>
      </c>
      <c r="L1300" s="62">
        <v>300</v>
      </c>
      <c r="M1300" s="232">
        <v>385</v>
      </c>
      <c r="N1300" s="55" t="s">
        <v>1593</v>
      </c>
      <c r="O1300" s="61" t="s">
        <v>52</v>
      </c>
      <c r="P1300" s="200"/>
      <c r="Q1300" s="200"/>
      <c r="R1300" s="200"/>
      <c r="S1300" s="200"/>
      <c r="T1300" s="66"/>
      <c r="U1300" s="66"/>
      <c r="V1300" s="66"/>
    </row>
    <row r="1301" spans="1:22" s="64" customFormat="1" x14ac:dyDescent="0.25">
      <c r="A1301" s="65" t="s">
        <v>1433</v>
      </c>
      <c r="B1301" s="511" t="s">
        <v>1459</v>
      </c>
      <c r="C1301" s="511"/>
      <c r="D1301" s="511"/>
      <c r="E1301" s="61" t="s">
        <v>1447</v>
      </c>
      <c r="F1301" s="61" t="s">
        <v>56</v>
      </c>
      <c r="G1301" s="61" t="s">
        <v>55</v>
      </c>
      <c r="H1301" s="61"/>
      <c r="I1301" s="61" t="s">
        <v>1366</v>
      </c>
      <c r="J1301" s="62">
        <v>195</v>
      </c>
      <c r="K1301" s="62">
        <v>220</v>
      </c>
      <c r="L1301" s="62">
        <v>220</v>
      </c>
      <c r="M1301" s="232"/>
      <c r="N1301" s="55" t="s">
        <v>1593</v>
      </c>
      <c r="O1301" s="61" t="s">
        <v>52</v>
      </c>
      <c r="P1301" s="200"/>
      <c r="Q1301" s="200"/>
      <c r="R1301" s="200"/>
      <c r="S1301" s="200"/>
      <c r="T1301" s="66"/>
      <c r="U1301" s="66"/>
      <c r="V1301" s="66"/>
    </row>
    <row r="1302" spans="1:22" s="64" customFormat="1" x14ac:dyDescent="0.25">
      <c r="A1302" s="65" t="s">
        <v>1433</v>
      </c>
      <c r="B1302" s="511" t="s">
        <v>1460</v>
      </c>
      <c r="C1302" s="511"/>
      <c r="D1302" s="511"/>
      <c r="E1302" s="61" t="s">
        <v>1447</v>
      </c>
      <c r="F1302" s="61" t="s">
        <v>56</v>
      </c>
      <c r="G1302" s="61" t="s">
        <v>55</v>
      </c>
      <c r="H1302" s="61"/>
      <c r="I1302" s="61" t="s">
        <v>1366</v>
      </c>
      <c r="J1302" s="62">
        <v>360</v>
      </c>
      <c r="K1302" s="62">
        <v>330</v>
      </c>
      <c r="L1302" s="62">
        <v>330</v>
      </c>
      <c r="M1302" s="232"/>
      <c r="N1302" s="55" t="s">
        <v>1593</v>
      </c>
      <c r="O1302" s="61" t="s">
        <v>52</v>
      </c>
      <c r="P1302" s="200"/>
      <c r="Q1302" s="200"/>
      <c r="R1302" s="200"/>
      <c r="S1302" s="200"/>
      <c r="T1302" s="66"/>
      <c r="U1302" s="66"/>
      <c r="V1302" s="66"/>
    </row>
    <row r="1303" spans="1:22" s="64" customFormat="1" x14ac:dyDescent="0.25">
      <c r="A1303" s="65" t="s">
        <v>1433</v>
      </c>
      <c r="B1303" s="511" t="s">
        <v>1461</v>
      </c>
      <c r="C1303" s="511"/>
      <c r="D1303" s="511"/>
      <c r="E1303" s="61" t="s">
        <v>1437</v>
      </c>
      <c r="F1303" s="61" t="s">
        <v>54</v>
      </c>
      <c r="G1303" s="61" t="s">
        <v>55</v>
      </c>
      <c r="H1303" s="61"/>
      <c r="I1303" s="61" t="s">
        <v>1366</v>
      </c>
      <c r="J1303" s="62">
        <v>180</v>
      </c>
      <c r="K1303" s="62">
        <v>200</v>
      </c>
      <c r="L1303" s="62">
        <v>200</v>
      </c>
      <c r="M1303" s="232">
        <v>255</v>
      </c>
      <c r="N1303" s="55" t="s">
        <v>1593</v>
      </c>
      <c r="O1303" s="61" t="s">
        <v>52</v>
      </c>
      <c r="P1303" s="200"/>
      <c r="Q1303" s="200"/>
      <c r="R1303" s="200"/>
      <c r="S1303" s="200"/>
      <c r="T1303" s="66"/>
      <c r="U1303" s="66"/>
      <c r="V1303" s="66"/>
    </row>
    <row r="1304" spans="1:22" s="64" customFormat="1" x14ac:dyDescent="0.25">
      <c r="A1304" s="65" t="s">
        <v>1433</v>
      </c>
      <c r="B1304" s="511" t="s">
        <v>1461</v>
      </c>
      <c r="C1304" s="511"/>
      <c r="D1304" s="511"/>
      <c r="E1304" s="61" t="s">
        <v>1437</v>
      </c>
      <c r="F1304" s="61" t="s">
        <v>389</v>
      </c>
      <c r="G1304" s="61" t="s">
        <v>55</v>
      </c>
      <c r="H1304" s="61"/>
      <c r="I1304" s="61" t="s">
        <v>1366</v>
      </c>
      <c r="J1304" s="62">
        <v>180</v>
      </c>
      <c r="K1304" s="62">
        <v>200</v>
      </c>
      <c r="L1304" s="62">
        <v>200</v>
      </c>
      <c r="M1304" s="232">
        <v>255</v>
      </c>
      <c r="N1304" s="55" t="s">
        <v>1593</v>
      </c>
      <c r="O1304" s="61" t="s">
        <v>52</v>
      </c>
      <c r="P1304" s="200"/>
      <c r="Q1304" s="200"/>
      <c r="R1304" s="200"/>
      <c r="S1304" s="200"/>
      <c r="T1304" s="66"/>
      <c r="U1304" s="66"/>
      <c r="V1304" s="66"/>
    </row>
    <row r="1305" spans="1:22" s="64" customFormat="1" x14ac:dyDescent="0.25">
      <c r="A1305" s="65" t="s">
        <v>1433</v>
      </c>
      <c r="B1305" s="511" t="s">
        <v>1462</v>
      </c>
      <c r="C1305" s="511"/>
      <c r="D1305" s="511"/>
      <c r="E1305" s="61" t="s">
        <v>1437</v>
      </c>
      <c r="F1305" s="61" t="s">
        <v>54</v>
      </c>
      <c r="G1305" s="61" t="s">
        <v>55</v>
      </c>
      <c r="H1305" s="61"/>
      <c r="I1305" s="61" t="s">
        <v>1366</v>
      </c>
      <c r="J1305" s="62">
        <v>90</v>
      </c>
      <c r="K1305" s="62">
        <v>100</v>
      </c>
      <c r="L1305" s="62">
        <v>100</v>
      </c>
      <c r="M1305" s="232">
        <v>130</v>
      </c>
      <c r="N1305" s="55" t="s">
        <v>1593</v>
      </c>
      <c r="O1305" s="61" t="s">
        <v>52</v>
      </c>
      <c r="P1305" s="200"/>
      <c r="Q1305" s="200"/>
      <c r="R1305" s="200"/>
      <c r="S1305" s="200"/>
      <c r="T1305" s="66"/>
      <c r="U1305" s="66"/>
      <c r="V1305" s="66"/>
    </row>
    <row r="1306" spans="1:22" s="64" customFormat="1" x14ac:dyDescent="0.25">
      <c r="A1306" s="65" t="s">
        <v>1433</v>
      </c>
      <c r="B1306" s="511" t="s">
        <v>1462</v>
      </c>
      <c r="C1306" s="511"/>
      <c r="D1306" s="511"/>
      <c r="E1306" s="61" t="s">
        <v>1437</v>
      </c>
      <c r="F1306" s="61" t="s">
        <v>389</v>
      </c>
      <c r="G1306" s="61" t="s">
        <v>55</v>
      </c>
      <c r="H1306" s="61"/>
      <c r="I1306" s="61" t="s">
        <v>1366</v>
      </c>
      <c r="J1306" s="62">
        <v>90</v>
      </c>
      <c r="K1306" s="62">
        <v>100</v>
      </c>
      <c r="L1306" s="62">
        <v>100</v>
      </c>
      <c r="M1306" s="232">
        <v>130</v>
      </c>
      <c r="N1306" s="55" t="s">
        <v>1593</v>
      </c>
      <c r="O1306" s="61" t="s">
        <v>52</v>
      </c>
      <c r="P1306" s="200"/>
      <c r="Q1306" s="200"/>
      <c r="R1306" s="200"/>
      <c r="S1306" s="200"/>
      <c r="T1306" s="66"/>
      <c r="U1306" s="66"/>
      <c r="V1306" s="66"/>
    </row>
    <row r="1307" spans="1:22" s="64" customFormat="1" x14ac:dyDescent="0.25">
      <c r="A1307" s="65" t="s">
        <v>1433</v>
      </c>
      <c r="B1307" s="511" t="s">
        <v>1463</v>
      </c>
      <c r="C1307" s="511"/>
      <c r="D1307" s="511"/>
      <c r="E1307" s="61" t="s">
        <v>1435</v>
      </c>
      <c r="F1307" s="61" t="s">
        <v>54</v>
      </c>
      <c r="G1307" s="61" t="s">
        <v>55</v>
      </c>
      <c r="H1307" s="61"/>
      <c r="I1307" s="61" t="s">
        <v>1366</v>
      </c>
      <c r="J1307" s="62">
        <v>270</v>
      </c>
      <c r="K1307" s="62">
        <v>300</v>
      </c>
      <c r="L1307" s="62">
        <v>300</v>
      </c>
      <c r="M1307" s="232">
        <v>385</v>
      </c>
      <c r="N1307" s="55" t="s">
        <v>1593</v>
      </c>
      <c r="O1307" s="61" t="s">
        <v>52</v>
      </c>
      <c r="P1307" s="200"/>
      <c r="Q1307" s="200"/>
      <c r="R1307" s="200"/>
      <c r="S1307" s="200"/>
      <c r="T1307" s="66"/>
      <c r="U1307" s="66"/>
      <c r="V1307" s="66"/>
    </row>
    <row r="1308" spans="1:22" s="64" customFormat="1" x14ac:dyDescent="0.25">
      <c r="A1308" s="65" t="s">
        <v>1433</v>
      </c>
      <c r="B1308" s="511" t="s">
        <v>1463</v>
      </c>
      <c r="C1308" s="511"/>
      <c r="D1308" s="511"/>
      <c r="E1308" s="61" t="s">
        <v>1435</v>
      </c>
      <c r="F1308" s="61" t="s">
        <v>389</v>
      </c>
      <c r="G1308" s="61" t="s">
        <v>55</v>
      </c>
      <c r="H1308" s="61"/>
      <c r="I1308" s="61" t="s">
        <v>1366</v>
      </c>
      <c r="J1308" s="62">
        <v>270</v>
      </c>
      <c r="K1308" s="62">
        <v>300</v>
      </c>
      <c r="L1308" s="62">
        <v>300</v>
      </c>
      <c r="M1308" s="232">
        <v>385</v>
      </c>
      <c r="N1308" s="55" t="s">
        <v>1593</v>
      </c>
      <c r="O1308" s="61" t="s">
        <v>52</v>
      </c>
      <c r="P1308" s="200"/>
      <c r="Q1308" s="200"/>
      <c r="R1308" s="200"/>
      <c r="S1308" s="200"/>
      <c r="T1308" s="66"/>
      <c r="U1308" s="66"/>
      <c r="V1308" s="66"/>
    </row>
    <row r="1309" spans="1:22" s="64" customFormat="1" x14ac:dyDescent="0.25">
      <c r="A1309" s="65" t="s">
        <v>1433</v>
      </c>
      <c r="B1309" s="511" t="s">
        <v>1464</v>
      </c>
      <c r="C1309" s="511"/>
      <c r="D1309" s="511"/>
      <c r="E1309" s="61" t="s">
        <v>1447</v>
      </c>
      <c r="F1309" s="61" t="s">
        <v>56</v>
      </c>
      <c r="G1309" s="61" t="s">
        <v>55</v>
      </c>
      <c r="H1309" s="61"/>
      <c r="I1309" s="61" t="s">
        <v>1366</v>
      </c>
      <c r="J1309" s="62">
        <v>235</v>
      </c>
      <c r="K1309" s="62">
        <v>240</v>
      </c>
      <c r="L1309" s="62">
        <v>240</v>
      </c>
      <c r="M1309" s="232"/>
      <c r="N1309" s="55" t="s">
        <v>1593</v>
      </c>
      <c r="O1309" s="61" t="s">
        <v>52</v>
      </c>
      <c r="P1309" s="200"/>
      <c r="Q1309" s="200"/>
      <c r="R1309" s="200"/>
      <c r="S1309" s="200"/>
      <c r="T1309" s="66"/>
      <c r="U1309" s="66"/>
      <c r="V1309" s="66"/>
    </row>
    <row r="1310" spans="1:22" s="64" customFormat="1" x14ac:dyDescent="0.25">
      <c r="A1310" s="65" t="s">
        <v>1433</v>
      </c>
      <c r="B1310" s="511" t="s">
        <v>1465</v>
      </c>
      <c r="C1310" s="511"/>
      <c r="D1310" s="511"/>
      <c r="E1310" s="61" t="s">
        <v>1437</v>
      </c>
      <c r="F1310" s="61" t="s">
        <v>54</v>
      </c>
      <c r="G1310" s="61" t="s">
        <v>55</v>
      </c>
      <c r="H1310" s="61"/>
      <c r="I1310" s="61" t="s">
        <v>1366</v>
      </c>
      <c r="J1310" s="62">
        <v>180</v>
      </c>
      <c r="K1310" s="62">
        <v>200</v>
      </c>
      <c r="L1310" s="62">
        <v>200</v>
      </c>
      <c r="M1310" s="232">
        <v>250</v>
      </c>
      <c r="N1310" s="55" t="s">
        <v>1593</v>
      </c>
      <c r="O1310" s="61" t="s">
        <v>52</v>
      </c>
      <c r="P1310" s="200"/>
      <c r="Q1310" s="200"/>
      <c r="R1310" s="200"/>
      <c r="S1310" s="200"/>
      <c r="T1310" s="66"/>
      <c r="U1310" s="66"/>
      <c r="V1310" s="66"/>
    </row>
    <row r="1311" spans="1:22" s="64" customFormat="1" x14ac:dyDescent="0.25">
      <c r="A1311" s="65" t="s">
        <v>1433</v>
      </c>
      <c r="B1311" s="511" t="s">
        <v>1465</v>
      </c>
      <c r="C1311" s="511"/>
      <c r="D1311" s="511"/>
      <c r="E1311" s="61" t="s">
        <v>1437</v>
      </c>
      <c r="F1311" s="61" t="s">
        <v>389</v>
      </c>
      <c r="G1311" s="61" t="s">
        <v>55</v>
      </c>
      <c r="H1311" s="61"/>
      <c r="I1311" s="61" t="s">
        <v>1366</v>
      </c>
      <c r="J1311" s="62">
        <v>180</v>
      </c>
      <c r="K1311" s="62">
        <v>200</v>
      </c>
      <c r="L1311" s="62">
        <v>200</v>
      </c>
      <c r="M1311" s="232">
        <v>250</v>
      </c>
      <c r="N1311" s="55" t="s">
        <v>1593</v>
      </c>
      <c r="O1311" s="61" t="s">
        <v>52</v>
      </c>
      <c r="P1311" s="200"/>
      <c r="Q1311" s="200"/>
      <c r="R1311" s="200"/>
      <c r="S1311" s="200"/>
      <c r="T1311" s="66"/>
      <c r="U1311" s="66"/>
      <c r="V1311" s="66"/>
    </row>
    <row r="1312" spans="1:22" s="64" customFormat="1" x14ac:dyDescent="0.25">
      <c r="A1312" s="65" t="s">
        <v>1433</v>
      </c>
      <c r="B1312" s="511" t="s">
        <v>1466</v>
      </c>
      <c r="C1312" s="511"/>
      <c r="D1312" s="511"/>
      <c r="E1312" s="61" t="s">
        <v>1435</v>
      </c>
      <c r="F1312" s="61" t="s">
        <v>54</v>
      </c>
      <c r="G1312" s="61" t="s">
        <v>55</v>
      </c>
      <c r="H1312" s="61"/>
      <c r="I1312" s="61" t="s">
        <v>1366</v>
      </c>
      <c r="J1312" s="62">
        <v>270</v>
      </c>
      <c r="K1312" s="62">
        <v>300</v>
      </c>
      <c r="L1312" s="62">
        <v>300</v>
      </c>
      <c r="M1312" s="232">
        <v>385</v>
      </c>
      <c r="N1312" s="55" t="s">
        <v>1593</v>
      </c>
      <c r="O1312" s="61" t="s">
        <v>52</v>
      </c>
      <c r="P1312" s="200"/>
      <c r="Q1312" s="200"/>
      <c r="R1312" s="200"/>
      <c r="S1312" s="200"/>
      <c r="T1312" s="66"/>
      <c r="U1312" s="66"/>
      <c r="V1312" s="66"/>
    </row>
    <row r="1313" spans="1:22" s="64" customFormat="1" x14ac:dyDescent="0.25">
      <c r="A1313" s="65" t="s">
        <v>1433</v>
      </c>
      <c r="B1313" s="511" t="s">
        <v>1466</v>
      </c>
      <c r="C1313" s="511"/>
      <c r="D1313" s="511"/>
      <c r="E1313" s="61" t="s">
        <v>1435</v>
      </c>
      <c r="F1313" s="61" t="s">
        <v>389</v>
      </c>
      <c r="G1313" s="61" t="s">
        <v>55</v>
      </c>
      <c r="H1313" s="61"/>
      <c r="I1313" s="61" t="s">
        <v>1366</v>
      </c>
      <c r="J1313" s="62">
        <v>270</v>
      </c>
      <c r="K1313" s="62">
        <v>300</v>
      </c>
      <c r="L1313" s="62">
        <v>300</v>
      </c>
      <c r="M1313" s="232">
        <v>385</v>
      </c>
      <c r="N1313" s="55" t="s">
        <v>1593</v>
      </c>
      <c r="O1313" s="61" t="s">
        <v>52</v>
      </c>
      <c r="P1313" s="200"/>
      <c r="Q1313" s="200"/>
      <c r="R1313" s="200"/>
      <c r="S1313" s="200"/>
      <c r="T1313" s="66"/>
      <c r="U1313" s="66"/>
      <c r="V1313" s="66"/>
    </row>
    <row r="1314" spans="1:22" s="64" customFormat="1" x14ac:dyDescent="0.25">
      <c r="A1314" s="65" t="s">
        <v>1433</v>
      </c>
      <c r="B1314" s="511" t="s">
        <v>1469</v>
      </c>
      <c r="C1314" s="511"/>
      <c r="D1314" s="511"/>
      <c r="E1314" s="61" t="s">
        <v>1435</v>
      </c>
      <c r="F1314" s="61" t="s">
        <v>54</v>
      </c>
      <c r="G1314" s="61" t="s">
        <v>55</v>
      </c>
      <c r="H1314" s="61"/>
      <c r="I1314" s="61" t="s">
        <v>1366</v>
      </c>
      <c r="J1314" s="62">
        <v>360</v>
      </c>
      <c r="K1314" s="62">
        <v>400</v>
      </c>
      <c r="L1314" s="62">
        <v>400</v>
      </c>
      <c r="M1314" s="232">
        <v>510</v>
      </c>
      <c r="N1314" s="55" t="s">
        <v>1593</v>
      </c>
      <c r="O1314" s="61" t="s">
        <v>52</v>
      </c>
      <c r="P1314" s="200"/>
      <c r="Q1314" s="200"/>
      <c r="R1314" s="200"/>
      <c r="S1314" s="200"/>
      <c r="T1314" s="66"/>
      <c r="U1314" s="66"/>
      <c r="V1314" s="66"/>
    </row>
    <row r="1315" spans="1:22" s="64" customFormat="1" x14ac:dyDescent="0.25">
      <c r="A1315" s="65" t="s">
        <v>1433</v>
      </c>
      <c r="B1315" s="511" t="s">
        <v>1469</v>
      </c>
      <c r="C1315" s="511"/>
      <c r="D1315" s="511"/>
      <c r="E1315" s="61" t="s">
        <v>1435</v>
      </c>
      <c r="F1315" s="61" t="s">
        <v>389</v>
      </c>
      <c r="G1315" s="61" t="s">
        <v>55</v>
      </c>
      <c r="H1315" s="61"/>
      <c r="I1315" s="61" t="s">
        <v>1366</v>
      </c>
      <c r="J1315" s="62">
        <v>360</v>
      </c>
      <c r="K1315" s="62">
        <v>400</v>
      </c>
      <c r="L1315" s="62">
        <v>400</v>
      </c>
      <c r="M1315" s="232">
        <v>510</v>
      </c>
      <c r="N1315" s="55" t="s">
        <v>1593</v>
      </c>
      <c r="O1315" s="61" t="s">
        <v>52</v>
      </c>
      <c r="P1315" s="200"/>
      <c r="Q1315" s="200"/>
      <c r="R1315" s="200"/>
      <c r="S1315" s="200"/>
      <c r="T1315" s="66"/>
      <c r="U1315" s="66"/>
      <c r="V1315" s="66"/>
    </row>
    <row r="1316" spans="1:22" s="64" customFormat="1" x14ac:dyDescent="0.25">
      <c r="A1316" s="65" t="s">
        <v>1433</v>
      </c>
      <c r="B1316" s="511" t="s">
        <v>1470</v>
      </c>
      <c r="C1316" s="511"/>
      <c r="D1316" s="511"/>
      <c r="E1316" s="61" t="s">
        <v>1447</v>
      </c>
      <c r="F1316" s="61" t="s">
        <v>56</v>
      </c>
      <c r="G1316" s="61" t="s">
        <v>55</v>
      </c>
      <c r="H1316" s="61"/>
      <c r="I1316" s="61" t="s">
        <v>1366</v>
      </c>
      <c r="J1316" s="62">
        <v>255</v>
      </c>
      <c r="K1316" s="62">
        <v>270</v>
      </c>
      <c r="L1316" s="62">
        <v>270</v>
      </c>
      <c r="M1316" s="232">
        <v>320</v>
      </c>
      <c r="N1316" s="55" t="s">
        <v>1593</v>
      </c>
      <c r="O1316" s="61" t="s">
        <v>52</v>
      </c>
      <c r="P1316" s="200"/>
      <c r="Q1316" s="200"/>
      <c r="R1316" s="200"/>
      <c r="S1316" s="200"/>
      <c r="T1316" s="66"/>
      <c r="U1316" s="66"/>
      <c r="V1316" s="66"/>
    </row>
    <row r="1317" spans="1:22" s="64" customFormat="1" x14ac:dyDescent="0.25">
      <c r="A1317" s="65" t="s">
        <v>1433</v>
      </c>
      <c r="B1317" s="511" t="s">
        <v>1471</v>
      </c>
      <c r="C1317" s="511"/>
      <c r="D1317" s="511"/>
      <c r="E1317" s="61" t="s">
        <v>1447</v>
      </c>
      <c r="F1317" s="61" t="s">
        <v>56</v>
      </c>
      <c r="G1317" s="61" t="s">
        <v>55</v>
      </c>
      <c r="H1317" s="61"/>
      <c r="I1317" s="61" t="s">
        <v>1366</v>
      </c>
      <c r="J1317" s="62">
        <v>245</v>
      </c>
      <c r="K1317" s="62">
        <v>280</v>
      </c>
      <c r="L1317" s="62">
        <v>280</v>
      </c>
      <c r="M1317" s="232"/>
      <c r="N1317" s="55" t="s">
        <v>1593</v>
      </c>
      <c r="O1317" s="61" t="s">
        <v>52</v>
      </c>
      <c r="P1317" s="200"/>
      <c r="Q1317" s="200"/>
      <c r="R1317" s="200"/>
      <c r="S1317" s="200"/>
      <c r="T1317" s="66"/>
      <c r="U1317" s="66"/>
      <c r="V1317" s="66"/>
    </row>
    <row r="1318" spans="1:22" s="64" customFormat="1" x14ac:dyDescent="0.25">
      <c r="A1318" s="65" t="s">
        <v>1433</v>
      </c>
      <c r="B1318" s="511" t="s">
        <v>1472</v>
      </c>
      <c r="C1318" s="511"/>
      <c r="D1318" s="511"/>
      <c r="E1318" s="61" t="s">
        <v>1437</v>
      </c>
      <c r="F1318" s="61" t="s">
        <v>54</v>
      </c>
      <c r="G1318" s="61" t="s">
        <v>55</v>
      </c>
      <c r="H1318" s="61"/>
      <c r="I1318" s="61" t="s">
        <v>1366</v>
      </c>
      <c r="J1318" s="62">
        <v>225</v>
      </c>
      <c r="K1318" s="62">
        <v>250</v>
      </c>
      <c r="L1318" s="62">
        <v>250</v>
      </c>
      <c r="M1318" s="232">
        <v>320</v>
      </c>
      <c r="N1318" s="55" t="s">
        <v>1593</v>
      </c>
      <c r="O1318" s="61" t="s">
        <v>52</v>
      </c>
      <c r="P1318" s="200"/>
      <c r="Q1318" s="200"/>
      <c r="R1318" s="200"/>
      <c r="S1318" s="200"/>
      <c r="T1318" s="66"/>
      <c r="U1318" s="66"/>
      <c r="V1318" s="66"/>
    </row>
    <row r="1319" spans="1:22" s="64" customFormat="1" x14ac:dyDescent="0.25">
      <c r="A1319" s="65" t="s">
        <v>1433</v>
      </c>
      <c r="B1319" s="511" t="s">
        <v>1472</v>
      </c>
      <c r="C1319" s="511"/>
      <c r="D1319" s="511"/>
      <c r="E1319" s="61" t="s">
        <v>1437</v>
      </c>
      <c r="F1319" s="61" t="s">
        <v>389</v>
      </c>
      <c r="G1319" s="61" t="s">
        <v>55</v>
      </c>
      <c r="H1319" s="61"/>
      <c r="I1319" s="61" t="s">
        <v>1366</v>
      </c>
      <c r="J1319" s="62">
        <v>225</v>
      </c>
      <c r="K1319" s="62">
        <v>250</v>
      </c>
      <c r="L1319" s="62">
        <v>250</v>
      </c>
      <c r="M1319" s="232">
        <v>320</v>
      </c>
      <c r="N1319" s="55" t="s">
        <v>1593</v>
      </c>
      <c r="O1319" s="61" t="s">
        <v>52</v>
      </c>
      <c r="P1319" s="200"/>
      <c r="Q1319" s="200"/>
      <c r="R1319" s="200"/>
      <c r="S1319" s="200"/>
      <c r="T1319" s="66"/>
      <c r="U1319" s="66"/>
      <c r="V1319" s="66"/>
    </row>
    <row r="1320" spans="1:22" s="64" customFormat="1" x14ac:dyDescent="0.25">
      <c r="A1320" s="65" t="s">
        <v>1433</v>
      </c>
      <c r="B1320" s="511" t="s">
        <v>1473</v>
      </c>
      <c r="C1320" s="511"/>
      <c r="D1320" s="511"/>
      <c r="E1320" s="61" t="s">
        <v>1435</v>
      </c>
      <c r="F1320" s="61" t="s">
        <v>54</v>
      </c>
      <c r="G1320" s="61" t="s">
        <v>55</v>
      </c>
      <c r="H1320" s="61"/>
      <c r="I1320" s="61" t="s">
        <v>1366</v>
      </c>
      <c r="J1320" s="62">
        <v>225</v>
      </c>
      <c r="K1320" s="62">
        <v>250</v>
      </c>
      <c r="L1320" s="62">
        <v>250</v>
      </c>
      <c r="M1320" s="232">
        <v>320</v>
      </c>
      <c r="N1320" s="55" t="s">
        <v>1593</v>
      </c>
      <c r="O1320" s="61" t="s">
        <v>52</v>
      </c>
      <c r="P1320" s="200"/>
      <c r="Q1320" s="200"/>
      <c r="R1320" s="200"/>
      <c r="S1320" s="200"/>
      <c r="T1320" s="66"/>
      <c r="U1320" s="66"/>
      <c r="V1320" s="66"/>
    </row>
    <row r="1321" spans="1:22" s="64" customFormat="1" x14ac:dyDescent="0.25">
      <c r="A1321" s="65" t="s">
        <v>1433</v>
      </c>
      <c r="B1321" s="511" t="s">
        <v>1473</v>
      </c>
      <c r="C1321" s="511"/>
      <c r="D1321" s="511"/>
      <c r="E1321" s="61" t="s">
        <v>1435</v>
      </c>
      <c r="F1321" s="61" t="s">
        <v>389</v>
      </c>
      <c r="G1321" s="61" t="s">
        <v>55</v>
      </c>
      <c r="H1321" s="61"/>
      <c r="I1321" s="61" t="s">
        <v>1366</v>
      </c>
      <c r="J1321" s="62">
        <v>225</v>
      </c>
      <c r="K1321" s="62">
        <v>250</v>
      </c>
      <c r="L1321" s="62">
        <v>250</v>
      </c>
      <c r="M1321" s="232">
        <v>320</v>
      </c>
      <c r="N1321" s="55" t="s">
        <v>1593</v>
      </c>
      <c r="O1321" s="61" t="s">
        <v>52</v>
      </c>
      <c r="P1321" s="200"/>
      <c r="Q1321" s="200"/>
      <c r="R1321" s="200"/>
      <c r="S1321" s="200"/>
      <c r="T1321" s="66"/>
      <c r="U1321" s="66"/>
      <c r="V1321" s="66"/>
    </row>
    <row r="1322" spans="1:22" s="64" customFormat="1" x14ac:dyDescent="0.25">
      <c r="A1322" s="65" t="s">
        <v>1433</v>
      </c>
      <c r="B1322" s="511" t="s">
        <v>1474</v>
      </c>
      <c r="C1322" s="511"/>
      <c r="D1322" s="511"/>
      <c r="E1322" s="61" t="s">
        <v>1435</v>
      </c>
      <c r="F1322" s="61" t="s">
        <v>54</v>
      </c>
      <c r="G1322" s="61" t="s">
        <v>55</v>
      </c>
      <c r="H1322" s="61"/>
      <c r="I1322" s="61" t="s">
        <v>1366</v>
      </c>
      <c r="J1322" s="62">
        <v>225</v>
      </c>
      <c r="K1322" s="62">
        <v>250</v>
      </c>
      <c r="L1322" s="62">
        <v>250</v>
      </c>
      <c r="M1322" s="232">
        <v>320</v>
      </c>
      <c r="N1322" s="55" t="s">
        <v>1593</v>
      </c>
      <c r="O1322" s="61" t="s">
        <v>52</v>
      </c>
      <c r="P1322" s="200"/>
      <c r="Q1322" s="200"/>
      <c r="R1322" s="200"/>
      <c r="S1322" s="200"/>
      <c r="T1322" s="66"/>
      <c r="U1322" s="66"/>
      <c r="V1322" s="66"/>
    </row>
    <row r="1323" spans="1:22" s="64" customFormat="1" x14ac:dyDescent="0.25">
      <c r="A1323" s="65" t="s">
        <v>1433</v>
      </c>
      <c r="B1323" s="511" t="s">
        <v>1476</v>
      </c>
      <c r="C1323" s="511"/>
      <c r="D1323" s="511"/>
      <c r="E1323" s="61" t="s">
        <v>1435</v>
      </c>
      <c r="F1323" s="61" t="s">
        <v>54</v>
      </c>
      <c r="G1323" s="61" t="s">
        <v>55</v>
      </c>
      <c r="H1323" s="61"/>
      <c r="I1323" s="61" t="s">
        <v>1366</v>
      </c>
      <c r="J1323" s="62">
        <v>630</v>
      </c>
      <c r="K1323" s="62">
        <v>700</v>
      </c>
      <c r="L1323" s="62">
        <v>700</v>
      </c>
      <c r="M1323" s="232">
        <v>890</v>
      </c>
      <c r="N1323" s="55" t="s">
        <v>1593</v>
      </c>
      <c r="O1323" s="61" t="s">
        <v>52</v>
      </c>
      <c r="P1323" s="200"/>
      <c r="Q1323" s="200"/>
      <c r="R1323" s="200"/>
      <c r="S1323" s="200"/>
      <c r="T1323" s="66"/>
      <c r="U1323" s="66"/>
      <c r="V1323" s="66"/>
    </row>
    <row r="1324" spans="1:22" s="64" customFormat="1" x14ac:dyDescent="0.25">
      <c r="A1324" s="65" t="s">
        <v>1433</v>
      </c>
      <c r="B1324" s="511" t="s">
        <v>1476</v>
      </c>
      <c r="C1324" s="511"/>
      <c r="D1324" s="511"/>
      <c r="E1324" s="61" t="s">
        <v>1435</v>
      </c>
      <c r="F1324" s="61" t="s">
        <v>389</v>
      </c>
      <c r="G1324" s="61" t="s">
        <v>55</v>
      </c>
      <c r="H1324" s="61"/>
      <c r="I1324" s="61" t="s">
        <v>1366</v>
      </c>
      <c r="J1324" s="62">
        <v>630</v>
      </c>
      <c r="K1324" s="62">
        <v>700</v>
      </c>
      <c r="L1324" s="62">
        <v>700</v>
      </c>
      <c r="M1324" s="232">
        <v>890</v>
      </c>
      <c r="N1324" s="55" t="s">
        <v>1593</v>
      </c>
      <c r="O1324" s="61" t="s">
        <v>52</v>
      </c>
      <c r="P1324" s="200"/>
      <c r="Q1324" s="200"/>
      <c r="R1324" s="200"/>
      <c r="S1324" s="200"/>
      <c r="T1324" s="66"/>
      <c r="U1324" s="66"/>
      <c r="V1324" s="66"/>
    </row>
    <row r="1325" spans="1:22" s="64" customFormat="1" x14ac:dyDescent="0.25">
      <c r="A1325" s="65" t="s">
        <v>1433</v>
      </c>
      <c r="B1325" s="511" t="s">
        <v>1477</v>
      </c>
      <c r="C1325" s="511"/>
      <c r="D1325" s="511"/>
      <c r="E1325" s="61" t="s">
        <v>1435</v>
      </c>
      <c r="F1325" s="61" t="s">
        <v>54</v>
      </c>
      <c r="G1325" s="61" t="s">
        <v>55</v>
      </c>
      <c r="H1325" s="61"/>
      <c r="I1325" s="61" t="s">
        <v>1366</v>
      </c>
      <c r="J1325" s="62">
        <v>270</v>
      </c>
      <c r="K1325" s="62">
        <v>300</v>
      </c>
      <c r="L1325" s="62">
        <v>300</v>
      </c>
      <c r="M1325" s="232">
        <v>385</v>
      </c>
      <c r="N1325" s="55" t="s">
        <v>1593</v>
      </c>
      <c r="O1325" s="61" t="s">
        <v>52</v>
      </c>
      <c r="P1325" s="200"/>
      <c r="Q1325" s="200"/>
      <c r="R1325" s="200"/>
      <c r="S1325" s="200"/>
      <c r="T1325" s="66"/>
      <c r="U1325" s="66"/>
      <c r="V1325" s="66"/>
    </row>
    <row r="1326" spans="1:22" s="64" customFormat="1" x14ac:dyDescent="0.25">
      <c r="A1326" s="65" t="s">
        <v>1433</v>
      </c>
      <c r="B1326" s="511" t="s">
        <v>1477</v>
      </c>
      <c r="C1326" s="511"/>
      <c r="D1326" s="511"/>
      <c r="E1326" s="61" t="s">
        <v>1435</v>
      </c>
      <c r="F1326" s="61" t="s">
        <v>389</v>
      </c>
      <c r="G1326" s="61" t="s">
        <v>55</v>
      </c>
      <c r="H1326" s="61"/>
      <c r="I1326" s="61" t="s">
        <v>1366</v>
      </c>
      <c r="J1326" s="62">
        <v>270</v>
      </c>
      <c r="K1326" s="62">
        <v>300</v>
      </c>
      <c r="L1326" s="62">
        <v>300</v>
      </c>
      <c r="M1326" s="232">
        <v>385</v>
      </c>
      <c r="N1326" s="55" t="s">
        <v>1593</v>
      </c>
      <c r="O1326" s="61" t="s">
        <v>52</v>
      </c>
      <c r="P1326" s="200"/>
      <c r="Q1326" s="200"/>
      <c r="R1326" s="200"/>
      <c r="S1326" s="200"/>
      <c r="T1326" s="66"/>
      <c r="U1326" s="66"/>
      <c r="V1326" s="66"/>
    </row>
    <row r="1327" spans="1:22" s="64" customFormat="1" x14ac:dyDescent="0.25">
      <c r="A1327" s="65" t="s">
        <v>1433</v>
      </c>
      <c r="B1327" s="511" t="s">
        <v>1478</v>
      </c>
      <c r="C1327" s="511"/>
      <c r="D1327" s="511"/>
      <c r="E1327" s="61" t="s">
        <v>1437</v>
      </c>
      <c r="F1327" s="61" t="s">
        <v>54</v>
      </c>
      <c r="G1327" s="61" t="s">
        <v>55</v>
      </c>
      <c r="H1327" s="61"/>
      <c r="I1327" s="61" t="s">
        <v>1366</v>
      </c>
      <c r="J1327" s="62">
        <v>225</v>
      </c>
      <c r="K1327" s="62">
        <v>250</v>
      </c>
      <c r="L1327" s="62">
        <v>250</v>
      </c>
      <c r="M1327" s="232">
        <v>320</v>
      </c>
      <c r="N1327" s="55" t="s">
        <v>1593</v>
      </c>
      <c r="O1327" s="61" t="s">
        <v>52</v>
      </c>
      <c r="P1327" s="200"/>
      <c r="Q1327" s="200"/>
      <c r="R1327" s="200"/>
      <c r="S1327" s="200"/>
      <c r="T1327" s="66"/>
      <c r="U1327" s="66"/>
      <c r="V1327" s="66"/>
    </row>
    <row r="1328" spans="1:22" s="64" customFormat="1" x14ac:dyDescent="0.25">
      <c r="A1328" s="65" t="s">
        <v>1433</v>
      </c>
      <c r="B1328" s="511" t="s">
        <v>1478</v>
      </c>
      <c r="C1328" s="511"/>
      <c r="D1328" s="511"/>
      <c r="E1328" s="61" t="s">
        <v>1437</v>
      </c>
      <c r="F1328" s="61" t="s">
        <v>389</v>
      </c>
      <c r="G1328" s="61" t="s">
        <v>55</v>
      </c>
      <c r="H1328" s="61"/>
      <c r="I1328" s="61" t="s">
        <v>1366</v>
      </c>
      <c r="J1328" s="62">
        <v>225</v>
      </c>
      <c r="K1328" s="62">
        <v>250</v>
      </c>
      <c r="L1328" s="62">
        <v>250</v>
      </c>
      <c r="M1328" s="232">
        <v>320</v>
      </c>
      <c r="N1328" s="55" t="s">
        <v>1593</v>
      </c>
      <c r="O1328" s="61" t="s">
        <v>52</v>
      </c>
      <c r="P1328" s="200"/>
      <c r="Q1328" s="200"/>
      <c r="R1328" s="200"/>
      <c r="S1328" s="200"/>
      <c r="T1328" s="66"/>
      <c r="U1328" s="66"/>
      <c r="V1328" s="66"/>
    </row>
    <row r="1329" spans="1:22" s="64" customFormat="1" x14ac:dyDescent="0.25">
      <c r="A1329" s="65" t="s">
        <v>1433</v>
      </c>
      <c r="B1329" s="511" t="s">
        <v>1479</v>
      </c>
      <c r="C1329" s="511"/>
      <c r="D1329" s="511"/>
      <c r="E1329" s="61" t="s">
        <v>1437</v>
      </c>
      <c r="F1329" s="61" t="s">
        <v>54</v>
      </c>
      <c r="G1329" s="61" t="s">
        <v>55</v>
      </c>
      <c r="H1329" s="61"/>
      <c r="I1329" s="61" t="s">
        <v>1366</v>
      </c>
      <c r="J1329" s="62">
        <v>360</v>
      </c>
      <c r="K1329" s="62">
        <v>400</v>
      </c>
      <c r="L1329" s="62">
        <v>400</v>
      </c>
      <c r="M1329" s="232">
        <v>510</v>
      </c>
      <c r="N1329" s="55" t="s">
        <v>1593</v>
      </c>
      <c r="O1329" s="61" t="s">
        <v>52</v>
      </c>
      <c r="P1329" s="200"/>
      <c r="Q1329" s="200"/>
      <c r="R1329" s="200"/>
      <c r="S1329" s="200"/>
      <c r="T1329" s="66"/>
      <c r="U1329" s="66"/>
      <c r="V1329" s="66"/>
    </row>
    <row r="1330" spans="1:22" s="64" customFormat="1" x14ac:dyDescent="0.25">
      <c r="A1330" s="65" t="s">
        <v>1433</v>
      </c>
      <c r="B1330" s="511" t="s">
        <v>1479</v>
      </c>
      <c r="C1330" s="511"/>
      <c r="D1330" s="511"/>
      <c r="E1330" s="61" t="s">
        <v>1437</v>
      </c>
      <c r="F1330" s="61" t="s">
        <v>389</v>
      </c>
      <c r="G1330" s="61" t="s">
        <v>55</v>
      </c>
      <c r="H1330" s="61"/>
      <c r="I1330" s="61" t="s">
        <v>1366</v>
      </c>
      <c r="J1330" s="62">
        <v>360</v>
      </c>
      <c r="K1330" s="62">
        <v>400</v>
      </c>
      <c r="L1330" s="62">
        <v>400</v>
      </c>
      <c r="M1330" s="232">
        <v>510</v>
      </c>
      <c r="N1330" s="55" t="s">
        <v>1593</v>
      </c>
      <c r="O1330" s="61" t="s">
        <v>52</v>
      </c>
      <c r="P1330" s="200"/>
      <c r="Q1330" s="200"/>
      <c r="R1330" s="200"/>
      <c r="S1330" s="200"/>
      <c r="T1330" s="66"/>
      <c r="U1330" s="66"/>
      <c r="V1330" s="66"/>
    </row>
    <row r="1331" spans="1:22" s="64" customFormat="1" x14ac:dyDescent="0.25">
      <c r="A1331" s="65" t="s">
        <v>1433</v>
      </c>
      <c r="B1331" s="511" t="s">
        <v>1480</v>
      </c>
      <c r="C1331" s="511"/>
      <c r="D1331" s="511"/>
      <c r="E1331" s="61" t="s">
        <v>1437</v>
      </c>
      <c r="F1331" s="61" t="s">
        <v>54</v>
      </c>
      <c r="G1331" s="61" t="s">
        <v>55</v>
      </c>
      <c r="H1331" s="61"/>
      <c r="I1331" s="61" t="s">
        <v>1366</v>
      </c>
      <c r="J1331" s="62">
        <v>135</v>
      </c>
      <c r="K1331" s="62">
        <v>150</v>
      </c>
      <c r="L1331" s="62">
        <v>150</v>
      </c>
      <c r="M1331" s="232">
        <v>190</v>
      </c>
      <c r="N1331" s="55" t="s">
        <v>1593</v>
      </c>
      <c r="O1331" s="61" t="s">
        <v>52</v>
      </c>
      <c r="P1331" s="200"/>
      <c r="Q1331" s="200"/>
      <c r="R1331" s="200"/>
      <c r="S1331" s="200"/>
      <c r="T1331" s="66"/>
      <c r="U1331" s="66"/>
      <c r="V1331" s="66"/>
    </row>
    <row r="1332" spans="1:22" s="64" customFormat="1" x14ac:dyDescent="0.25">
      <c r="A1332" s="65" t="s">
        <v>1433</v>
      </c>
      <c r="B1332" s="511" t="s">
        <v>1481</v>
      </c>
      <c r="C1332" s="511"/>
      <c r="D1332" s="511"/>
      <c r="E1332" s="61" t="s">
        <v>1435</v>
      </c>
      <c r="F1332" s="61" t="s">
        <v>54</v>
      </c>
      <c r="G1332" s="61" t="s">
        <v>55</v>
      </c>
      <c r="H1332" s="61"/>
      <c r="I1332" s="61" t="s">
        <v>1366</v>
      </c>
      <c r="J1332" s="62">
        <v>450</v>
      </c>
      <c r="K1332" s="62">
        <v>500</v>
      </c>
      <c r="L1332" s="62">
        <v>500</v>
      </c>
      <c r="M1332" s="232">
        <v>635</v>
      </c>
      <c r="N1332" s="55" t="s">
        <v>1593</v>
      </c>
      <c r="O1332" s="61" t="s">
        <v>52</v>
      </c>
      <c r="P1332" s="200"/>
      <c r="Q1332" s="200"/>
      <c r="R1332" s="200"/>
      <c r="S1332" s="200"/>
      <c r="T1332" s="66"/>
      <c r="U1332" s="66"/>
      <c r="V1332" s="66"/>
    </row>
    <row r="1333" spans="1:22" s="64" customFormat="1" x14ac:dyDescent="0.25">
      <c r="A1333" s="65" t="s">
        <v>1433</v>
      </c>
      <c r="B1333" s="511" t="s">
        <v>1481</v>
      </c>
      <c r="C1333" s="511"/>
      <c r="D1333" s="511"/>
      <c r="E1333" s="61" t="s">
        <v>1435</v>
      </c>
      <c r="F1333" s="61" t="s">
        <v>389</v>
      </c>
      <c r="G1333" s="61" t="s">
        <v>55</v>
      </c>
      <c r="H1333" s="61"/>
      <c r="I1333" s="61" t="s">
        <v>1366</v>
      </c>
      <c r="J1333" s="62">
        <v>450</v>
      </c>
      <c r="K1333" s="62">
        <v>500</v>
      </c>
      <c r="L1333" s="62">
        <v>500</v>
      </c>
      <c r="M1333" s="232">
        <v>635</v>
      </c>
      <c r="N1333" s="55" t="s">
        <v>1593</v>
      </c>
      <c r="O1333" s="61" t="s">
        <v>52</v>
      </c>
      <c r="P1333" s="200"/>
      <c r="Q1333" s="200"/>
      <c r="R1333" s="200"/>
      <c r="S1333" s="200"/>
      <c r="T1333" s="66"/>
      <c r="U1333" s="66"/>
      <c r="V1333" s="66"/>
    </row>
    <row r="1334" spans="1:22" s="64" customFormat="1" x14ac:dyDescent="0.25">
      <c r="A1334" s="65" t="s">
        <v>1433</v>
      </c>
      <c r="B1334" s="511" t="s">
        <v>1481</v>
      </c>
      <c r="C1334" s="511"/>
      <c r="D1334" s="511"/>
      <c r="E1334" s="61" t="s">
        <v>1447</v>
      </c>
      <c r="F1334" s="61" t="s">
        <v>56</v>
      </c>
      <c r="G1334" s="61" t="s">
        <v>55</v>
      </c>
      <c r="H1334" s="61"/>
      <c r="I1334" s="61" t="s">
        <v>1366</v>
      </c>
      <c r="J1334" s="62">
        <v>620</v>
      </c>
      <c r="K1334" s="62">
        <v>815</v>
      </c>
      <c r="L1334" s="62">
        <v>815</v>
      </c>
      <c r="M1334" s="232"/>
      <c r="N1334" s="55" t="s">
        <v>1593</v>
      </c>
      <c r="O1334" s="61" t="s">
        <v>52</v>
      </c>
      <c r="P1334" s="200"/>
      <c r="Q1334" s="200"/>
      <c r="R1334" s="200"/>
      <c r="S1334" s="200"/>
      <c r="T1334" s="66"/>
      <c r="U1334" s="66"/>
      <c r="V1334" s="66"/>
    </row>
    <row r="1335" spans="1:22" s="64" customFormat="1" x14ac:dyDescent="0.25">
      <c r="A1335" s="65" t="s">
        <v>1433</v>
      </c>
      <c r="B1335" s="511" t="s">
        <v>1481</v>
      </c>
      <c r="C1335" s="511"/>
      <c r="D1335" s="511"/>
      <c r="E1335" s="61" t="s">
        <v>1455</v>
      </c>
      <c r="F1335" s="61" t="s">
        <v>56</v>
      </c>
      <c r="G1335" s="61" t="s">
        <v>55</v>
      </c>
      <c r="H1335" s="61"/>
      <c r="I1335" s="61" t="s">
        <v>1366</v>
      </c>
      <c r="J1335" s="62">
        <v>495</v>
      </c>
      <c r="K1335" s="62">
        <v>720</v>
      </c>
      <c r="L1335" s="62">
        <v>720</v>
      </c>
      <c r="M1335" s="232"/>
      <c r="N1335" s="55" t="s">
        <v>1593</v>
      </c>
      <c r="O1335" s="61" t="s">
        <v>52</v>
      </c>
      <c r="P1335" s="200"/>
      <c r="Q1335" s="200"/>
      <c r="R1335" s="200"/>
      <c r="S1335" s="200"/>
      <c r="T1335" s="66"/>
      <c r="U1335" s="66"/>
      <c r="V1335" s="66"/>
    </row>
    <row r="1336" spans="1:22" s="64" customFormat="1" x14ac:dyDescent="0.25">
      <c r="A1336" s="65" t="s">
        <v>1433</v>
      </c>
      <c r="B1336" s="511" t="s">
        <v>1481</v>
      </c>
      <c r="C1336" s="511"/>
      <c r="D1336" s="511"/>
      <c r="E1336" s="61" t="s">
        <v>1437</v>
      </c>
      <c r="F1336" s="61" t="s">
        <v>56</v>
      </c>
      <c r="G1336" s="61" t="s">
        <v>55</v>
      </c>
      <c r="H1336" s="61"/>
      <c r="I1336" s="61" t="s">
        <v>1366</v>
      </c>
      <c r="J1336" s="62">
        <v>705</v>
      </c>
      <c r="K1336" s="62">
        <v>815</v>
      </c>
      <c r="L1336" s="62">
        <v>815</v>
      </c>
      <c r="M1336" s="232"/>
      <c r="N1336" s="55" t="s">
        <v>1593</v>
      </c>
      <c r="O1336" s="61" t="s">
        <v>52</v>
      </c>
      <c r="P1336" s="200"/>
      <c r="Q1336" s="200"/>
      <c r="R1336" s="200"/>
      <c r="S1336" s="200"/>
      <c r="T1336" s="66"/>
      <c r="U1336" s="66"/>
      <c r="V1336" s="66"/>
    </row>
    <row r="1337" spans="1:22" s="64" customFormat="1" x14ac:dyDescent="0.25">
      <c r="A1337" s="65" t="s">
        <v>1433</v>
      </c>
      <c r="B1337" s="511" t="s">
        <v>1482</v>
      </c>
      <c r="C1337" s="511"/>
      <c r="D1337" s="511"/>
      <c r="E1337" s="61" t="s">
        <v>1435</v>
      </c>
      <c r="F1337" s="61" t="s">
        <v>54</v>
      </c>
      <c r="G1337" s="61" t="s">
        <v>55</v>
      </c>
      <c r="H1337" s="61"/>
      <c r="I1337" s="61" t="s">
        <v>1366</v>
      </c>
      <c r="J1337" s="62">
        <v>225</v>
      </c>
      <c r="K1337" s="62">
        <v>250</v>
      </c>
      <c r="L1337" s="62">
        <v>250</v>
      </c>
      <c r="M1337" s="232">
        <v>320</v>
      </c>
      <c r="N1337" s="55" t="s">
        <v>1593</v>
      </c>
      <c r="O1337" s="61" t="s">
        <v>52</v>
      </c>
      <c r="P1337" s="200"/>
      <c r="Q1337" s="200"/>
      <c r="R1337" s="200"/>
      <c r="S1337" s="200"/>
      <c r="T1337" s="66"/>
      <c r="U1337" s="66"/>
      <c r="V1337" s="66"/>
    </row>
    <row r="1338" spans="1:22" s="64" customFormat="1" x14ac:dyDescent="0.25">
      <c r="A1338" s="65" t="s">
        <v>1433</v>
      </c>
      <c r="B1338" s="511" t="s">
        <v>1482</v>
      </c>
      <c r="C1338" s="511"/>
      <c r="D1338" s="511"/>
      <c r="E1338" s="61" t="s">
        <v>1435</v>
      </c>
      <c r="F1338" s="61" t="s">
        <v>389</v>
      </c>
      <c r="G1338" s="61" t="s">
        <v>55</v>
      </c>
      <c r="H1338" s="61"/>
      <c r="I1338" s="61" t="s">
        <v>1366</v>
      </c>
      <c r="J1338" s="62">
        <v>225</v>
      </c>
      <c r="K1338" s="62">
        <v>250</v>
      </c>
      <c r="L1338" s="62">
        <v>250</v>
      </c>
      <c r="M1338" s="232">
        <v>320</v>
      </c>
      <c r="N1338" s="55" t="s">
        <v>1593</v>
      </c>
      <c r="O1338" s="61" t="s">
        <v>52</v>
      </c>
      <c r="P1338" s="200"/>
      <c r="Q1338" s="200"/>
      <c r="R1338" s="200"/>
      <c r="S1338" s="200"/>
      <c r="T1338" s="66"/>
      <c r="U1338" s="66"/>
      <c r="V1338" s="66"/>
    </row>
    <row r="1339" spans="1:22" s="64" customFormat="1" x14ac:dyDescent="0.25">
      <c r="A1339" s="65" t="s">
        <v>1433</v>
      </c>
      <c r="B1339" s="511" t="s">
        <v>1482</v>
      </c>
      <c r="C1339" s="511"/>
      <c r="D1339" s="511"/>
      <c r="E1339" s="61" t="s">
        <v>1435</v>
      </c>
      <c r="F1339" s="61" t="s">
        <v>56</v>
      </c>
      <c r="G1339" s="61" t="s">
        <v>55</v>
      </c>
      <c r="H1339" s="61"/>
      <c r="I1339" s="61" t="s">
        <v>1366</v>
      </c>
      <c r="J1339" s="62">
        <v>745</v>
      </c>
      <c r="K1339" s="62">
        <v>970</v>
      </c>
      <c r="L1339" s="62">
        <v>970</v>
      </c>
      <c r="M1339" s="232">
        <v>510</v>
      </c>
      <c r="N1339" s="55" t="s">
        <v>1593</v>
      </c>
      <c r="O1339" s="61" t="s">
        <v>52</v>
      </c>
      <c r="P1339" s="200"/>
      <c r="Q1339" s="200"/>
      <c r="R1339" s="200"/>
      <c r="S1339" s="200"/>
      <c r="T1339" s="66"/>
      <c r="U1339" s="66"/>
      <c r="V1339" s="66"/>
    </row>
    <row r="1340" spans="1:22" s="64" customFormat="1" x14ac:dyDescent="0.25">
      <c r="A1340" s="65" t="s">
        <v>1433</v>
      </c>
      <c r="B1340" s="511" t="s">
        <v>1440</v>
      </c>
      <c r="C1340" s="511"/>
      <c r="D1340" s="511"/>
      <c r="E1340" s="61" t="s">
        <v>1437</v>
      </c>
      <c r="F1340" s="61" t="s">
        <v>54</v>
      </c>
      <c r="G1340" s="61" t="s">
        <v>55</v>
      </c>
      <c r="H1340" s="61"/>
      <c r="I1340" s="61" t="s">
        <v>1366</v>
      </c>
      <c r="J1340" s="62">
        <v>135</v>
      </c>
      <c r="K1340" s="62">
        <v>150</v>
      </c>
      <c r="L1340" s="62">
        <v>150</v>
      </c>
      <c r="M1340" s="232">
        <v>190</v>
      </c>
      <c r="N1340" s="55" t="s">
        <v>1593</v>
      </c>
      <c r="O1340" s="61" t="s">
        <v>52</v>
      </c>
      <c r="P1340" s="200"/>
      <c r="Q1340" s="200"/>
      <c r="R1340" s="200"/>
      <c r="S1340" s="200"/>
      <c r="T1340" s="66"/>
      <c r="U1340" s="66"/>
      <c r="V1340" s="66"/>
    </row>
    <row r="1341" spans="1:22" s="64" customFormat="1" x14ac:dyDescent="0.25">
      <c r="A1341" s="65" t="s">
        <v>1433</v>
      </c>
      <c r="B1341" s="511" t="s">
        <v>1440</v>
      </c>
      <c r="C1341" s="511"/>
      <c r="D1341" s="511"/>
      <c r="E1341" s="61" t="s">
        <v>1437</v>
      </c>
      <c r="F1341" s="61" t="s">
        <v>389</v>
      </c>
      <c r="G1341" s="61" t="s">
        <v>55</v>
      </c>
      <c r="H1341" s="61"/>
      <c r="I1341" s="61" t="s">
        <v>1366</v>
      </c>
      <c r="J1341" s="62">
        <v>135</v>
      </c>
      <c r="K1341" s="62">
        <v>150</v>
      </c>
      <c r="L1341" s="62">
        <v>150</v>
      </c>
      <c r="M1341" s="232">
        <v>190</v>
      </c>
      <c r="N1341" s="55" t="s">
        <v>1593</v>
      </c>
      <c r="O1341" s="61" t="s">
        <v>52</v>
      </c>
      <c r="P1341" s="200"/>
      <c r="Q1341" s="200"/>
      <c r="R1341" s="200"/>
      <c r="S1341" s="200"/>
      <c r="T1341" s="66"/>
      <c r="U1341" s="66"/>
      <c r="V1341" s="66"/>
    </row>
    <row r="1342" spans="1:22" s="64" customFormat="1" x14ac:dyDescent="0.25">
      <c r="A1342" s="65" t="s">
        <v>1433</v>
      </c>
      <c r="B1342" s="511" t="s">
        <v>1483</v>
      </c>
      <c r="C1342" s="511"/>
      <c r="D1342" s="511"/>
      <c r="E1342" s="61" t="s">
        <v>1435</v>
      </c>
      <c r="F1342" s="61" t="s">
        <v>56</v>
      </c>
      <c r="G1342" s="61" t="s">
        <v>55</v>
      </c>
      <c r="H1342" s="61"/>
      <c r="I1342" s="61" t="s">
        <v>1366</v>
      </c>
      <c r="J1342" s="62">
        <v>235</v>
      </c>
      <c r="K1342" s="62">
        <v>265</v>
      </c>
      <c r="L1342" s="62">
        <v>265</v>
      </c>
      <c r="M1342" s="232"/>
      <c r="N1342" s="55" t="s">
        <v>1593</v>
      </c>
      <c r="O1342" s="61" t="s">
        <v>52</v>
      </c>
      <c r="P1342" s="200"/>
      <c r="Q1342" s="200"/>
      <c r="R1342" s="200"/>
      <c r="S1342" s="200"/>
      <c r="T1342" s="66"/>
      <c r="U1342" s="66"/>
      <c r="V1342" s="66"/>
    </row>
    <row r="1343" spans="1:22" s="64" customFormat="1" x14ac:dyDescent="0.25">
      <c r="A1343" s="65" t="s">
        <v>1433</v>
      </c>
      <c r="B1343" s="511" t="s">
        <v>1484</v>
      </c>
      <c r="C1343" s="511"/>
      <c r="D1343" s="511"/>
      <c r="E1343" s="61" t="s">
        <v>1435</v>
      </c>
      <c r="F1343" s="61" t="s">
        <v>54</v>
      </c>
      <c r="G1343" s="61" t="s">
        <v>55</v>
      </c>
      <c r="H1343" s="61"/>
      <c r="I1343" s="61" t="s">
        <v>1366</v>
      </c>
      <c r="J1343" s="62">
        <v>180</v>
      </c>
      <c r="K1343" s="62">
        <v>200</v>
      </c>
      <c r="L1343" s="62">
        <v>200</v>
      </c>
      <c r="M1343" s="232">
        <v>255</v>
      </c>
      <c r="N1343" s="55" t="s">
        <v>1593</v>
      </c>
      <c r="O1343" s="61" t="s">
        <v>52</v>
      </c>
      <c r="P1343" s="200"/>
      <c r="Q1343" s="200"/>
      <c r="R1343" s="200"/>
      <c r="S1343" s="200"/>
      <c r="T1343" s="66"/>
      <c r="U1343" s="66"/>
      <c r="V1343" s="66"/>
    </row>
    <row r="1344" spans="1:22" s="64" customFormat="1" x14ac:dyDescent="0.25">
      <c r="A1344" s="65" t="s">
        <v>1433</v>
      </c>
      <c r="B1344" s="511" t="s">
        <v>1484</v>
      </c>
      <c r="C1344" s="511"/>
      <c r="D1344" s="511"/>
      <c r="E1344" s="61" t="s">
        <v>1435</v>
      </c>
      <c r="F1344" s="61" t="s">
        <v>389</v>
      </c>
      <c r="G1344" s="61" t="s">
        <v>55</v>
      </c>
      <c r="H1344" s="61"/>
      <c r="I1344" s="61" t="s">
        <v>1366</v>
      </c>
      <c r="J1344" s="62">
        <v>180</v>
      </c>
      <c r="K1344" s="62">
        <v>200</v>
      </c>
      <c r="L1344" s="62">
        <v>200</v>
      </c>
      <c r="M1344" s="232">
        <v>255</v>
      </c>
      <c r="N1344" s="55" t="s">
        <v>1593</v>
      </c>
      <c r="O1344" s="61" t="s">
        <v>52</v>
      </c>
      <c r="P1344" s="200"/>
      <c r="Q1344" s="200"/>
      <c r="R1344" s="200"/>
      <c r="S1344" s="200"/>
      <c r="T1344" s="66"/>
      <c r="U1344" s="66"/>
      <c r="V1344" s="66"/>
    </row>
    <row r="1345" spans="1:22" s="64" customFormat="1" x14ac:dyDescent="0.25">
      <c r="A1345" s="65" t="s">
        <v>1433</v>
      </c>
      <c r="B1345" s="511" t="s">
        <v>1468</v>
      </c>
      <c r="C1345" s="511"/>
      <c r="D1345" s="511"/>
      <c r="E1345" s="61" t="s">
        <v>1435</v>
      </c>
      <c r="F1345" s="61" t="s">
        <v>54</v>
      </c>
      <c r="G1345" s="61" t="s">
        <v>55</v>
      </c>
      <c r="H1345" s="61"/>
      <c r="I1345" s="61" t="s">
        <v>1366</v>
      </c>
      <c r="J1345" s="62">
        <v>0</v>
      </c>
      <c r="K1345" s="62">
        <v>0</v>
      </c>
      <c r="L1345" s="62">
        <v>0</v>
      </c>
      <c r="M1345" s="232">
        <v>0</v>
      </c>
      <c r="N1345" s="55" t="s">
        <v>1593</v>
      </c>
      <c r="O1345" s="61" t="s">
        <v>52</v>
      </c>
      <c r="P1345" s="200"/>
      <c r="Q1345" s="200"/>
      <c r="R1345" s="200"/>
      <c r="S1345" s="200"/>
      <c r="T1345" s="66"/>
      <c r="U1345" s="66"/>
      <c r="V1345" s="66"/>
    </row>
    <row r="1346" spans="1:22" s="64" customFormat="1" x14ac:dyDescent="0.25">
      <c r="A1346" s="65" t="s">
        <v>1433</v>
      </c>
      <c r="B1346" s="511" t="s">
        <v>1485</v>
      </c>
      <c r="C1346" s="511"/>
      <c r="D1346" s="511"/>
      <c r="E1346" s="61" t="s">
        <v>1437</v>
      </c>
      <c r="F1346" s="61" t="s">
        <v>54</v>
      </c>
      <c r="G1346" s="61" t="s">
        <v>55</v>
      </c>
      <c r="H1346" s="61"/>
      <c r="I1346" s="61" t="s">
        <v>1366</v>
      </c>
      <c r="J1346" s="62">
        <v>225</v>
      </c>
      <c r="K1346" s="62">
        <v>250</v>
      </c>
      <c r="L1346" s="62">
        <v>250</v>
      </c>
      <c r="M1346" s="232">
        <v>320</v>
      </c>
      <c r="N1346" s="55" t="s">
        <v>1593</v>
      </c>
      <c r="O1346" s="61" t="s">
        <v>52</v>
      </c>
      <c r="P1346" s="200"/>
      <c r="Q1346" s="200"/>
      <c r="R1346" s="200"/>
      <c r="S1346" s="200"/>
      <c r="T1346" s="66"/>
      <c r="U1346" s="66"/>
      <c r="V1346" s="66"/>
    </row>
    <row r="1347" spans="1:22" s="64" customFormat="1" x14ac:dyDescent="0.25">
      <c r="A1347" s="65" t="s">
        <v>1433</v>
      </c>
      <c r="B1347" s="511" t="s">
        <v>1485</v>
      </c>
      <c r="C1347" s="511"/>
      <c r="D1347" s="511"/>
      <c r="E1347" s="61" t="s">
        <v>1437</v>
      </c>
      <c r="F1347" s="61" t="s">
        <v>389</v>
      </c>
      <c r="G1347" s="61" t="s">
        <v>55</v>
      </c>
      <c r="H1347" s="61"/>
      <c r="I1347" s="61" t="s">
        <v>1366</v>
      </c>
      <c r="J1347" s="62">
        <v>225</v>
      </c>
      <c r="K1347" s="62">
        <v>250</v>
      </c>
      <c r="L1347" s="62">
        <v>250</v>
      </c>
      <c r="M1347" s="232">
        <v>320</v>
      </c>
      <c r="N1347" s="55" t="s">
        <v>1593</v>
      </c>
      <c r="O1347" s="61" t="s">
        <v>52</v>
      </c>
      <c r="P1347" s="200"/>
      <c r="Q1347" s="200"/>
      <c r="R1347" s="200"/>
      <c r="S1347" s="200"/>
      <c r="T1347" s="66"/>
      <c r="U1347" s="66"/>
      <c r="V1347" s="66"/>
    </row>
    <row r="1348" spans="1:22" s="64" customFormat="1" x14ac:dyDescent="0.25">
      <c r="A1348" s="65" t="s">
        <v>1433</v>
      </c>
      <c r="B1348" s="511" t="s">
        <v>1486</v>
      </c>
      <c r="C1348" s="511"/>
      <c r="D1348" s="511"/>
      <c r="E1348" s="61" t="s">
        <v>1437</v>
      </c>
      <c r="F1348" s="61" t="s">
        <v>54</v>
      </c>
      <c r="G1348" s="61" t="s">
        <v>55</v>
      </c>
      <c r="H1348" s="61"/>
      <c r="I1348" s="61" t="s">
        <v>1366</v>
      </c>
      <c r="J1348" s="62">
        <v>270</v>
      </c>
      <c r="K1348" s="62">
        <v>300</v>
      </c>
      <c r="L1348" s="62">
        <v>300</v>
      </c>
      <c r="M1348" s="232">
        <v>380</v>
      </c>
      <c r="N1348" s="55" t="s">
        <v>1593</v>
      </c>
      <c r="O1348" s="61" t="s">
        <v>52</v>
      </c>
      <c r="P1348" s="200"/>
      <c r="Q1348" s="200"/>
      <c r="R1348" s="200"/>
      <c r="S1348" s="200"/>
      <c r="T1348" s="66"/>
      <c r="U1348" s="66"/>
      <c r="V1348" s="66"/>
    </row>
    <row r="1349" spans="1:22" s="64" customFormat="1" x14ac:dyDescent="0.25">
      <c r="A1349" s="65" t="s">
        <v>1433</v>
      </c>
      <c r="B1349" s="511" t="s">
        <v>1486</v>
      </c>
      <c r="C1349" s="511"/>
      <c r="D1349" s="511"/>
      <c r="E1349" s="61" t="s">
        <v>1437</v>
      </c>
      <c r="F1349" s="61" t="s">
        <v>389</v>
      </c>
      <c r="G1349" s="61" t="s">
        <v>55</v>
      </c>
      <c r="H1349" s="61"/>
      <c r="I1349" s="61" t="s">
        <v>1366</v>
      </c>
      <c r="J1349" s="62">
        <v>270</v>
      </c>
      <c r="K1349" s="62">
        <v>300</v>
      </c>
      <c r="L1349" s="62">
        <v>300</v>
      </c>
      <c r="M1349" s="232">
        <v>380</v>
      </c>
      <c r="N1349" s="55" t="s">
        <v>1593</v>
      </c>
      <c r="O1349" s="61" t="s">
        <v>52</v>
      </c>
      <c r="P1349" s="200"/>
      <c r="Q1349" s="200"/>
      <c r="R1349" s="200"/>
      <c r="S1349" s="200"/>
      <c r="T1349" s="66"/>
      <c r="U1349" s="66"/>
      <c r="V1349" s="66"/>
    </row>
    <row r="1350" spans="1:22" s="64" customFormat="1" x14ac:dyDescent="0.25">
      <c r="A1350" s="65" t="s">
        <v>1433</v>
      </c>
      <c r="B1350" s="511" t="s">
        <v>1487</v>
      </c>
      <c r="C1350" s="511"/>
      <c r="D1350" s="511"/>
      <c r="E1350" s="61" t="s">
        <v>1437</v>
      </c>
      <c r="F1350" s="61" t="s">
        <v>54</v>
      </c>
      <c r="G1350" s="61" t="s">
        <v>55</v>
      </c>
      <c r="H1350" s="61"/>
      <c r="I1350" s="61" t="s">
        <v>1366</v>
      </c>
      <c r="J1350" s="62">
        <v>135</v>
      </c>
      <c r="K1350" s="62">
        <v>150</v>
      </c>
      <c r="L1350" s="62">
        <v>150</v>
      </c>
      <c r="M1350" s="232">
        <v>190</v>
      </c>
      <c r="N1350" s="55" t="s">
        <v>1593</v>
      </c>
      <c r="O1350" s="61" t="s">
        <v>52</v>
      </c>
      <c r="P1350" s="200"/>
      <c r="Q1350" s="200"/>
      <c r="R1350" s="200"/>
      <c r="S1350" s="200"/>
      <c r="T1350" s="66"/>
      <c r="U1350" s="66"/>
      <c r="V1350" s="66"/>
    </row>
    <row r="1351" spans="1:22" s="64" customFormat="1" x14ac:dyDescent="0.25">
      <c r="A1351" s="65" t="s">
        <v>1433</v>
      </c>
      <c r="B1351" s="511" t="s">
        <v>1487</v>
      </c>
      <c r="C1351" s="511"/>
      <c r="D1351" s="511"/>
      <c r="E1351" s="61" t="s">
        <v>1437</v>
      </c>
      <c r="F1351" s="61" t="s">
        <v>389</v>
      </c>
      <c r="G1351" s="61" t="s">
        <v>55</v>
      </c>
      <c r="H1351" s="61"/>
      <c r="I1351" s="61" t="s">
        <v>1366</v>
      </c>
      <c r="J1351" s="62">
        <v>135</v>
      </c>
      <c r="K1351" s="62">
        <v>150</v>
      </c>
      <c r="L1351" s="62">
        <v>150</v>
      </c>
      <c r="M1351" s="232">
        <v>190</v>
      </c>
      <c r="N1351" s="55" t="s">
        <v>1593</v>
      </c>
      <c r="O1351" s="61" t="s">
        <v>52</v>
      </c>
      <c r="P1351" s="200"/>
      <c r="Q1351" s="200"/>
      <c r="R1351" s="200"/>
      <c r="S1351" s="200"/>
      <c r="T1351" s="66"/>
      <c r="U1351" s="66"/>
      <c r="V1351" s="66"/>
    </row>
    <row r="1352" spans="1:22" s="64" customFormat="1" x14ac:dyDescent="0.25">
      <c r="A1352" s="65" t="s">
        <v>1433</v>
      </c>
      <c r="B1352" s="511" t="s">
        <v>1488</v>
      </c>
      <c r="C1352" s="511"/>
      <c r="D1352" s="511"/>
      <c r="E1352" s="61" t="s">
        <v>1437</v>
      </c>
      <c r="F1352" s="61" t="s">
        <v>54</v>
      </c>
      <c r="G1352" s="61" t="s">
        <v>55</v>
      </c>
      <c r="H1352" s="61"/>
      <c r="I1352" s="61" t="s">
        <v>1366</v>
      </c>
      <c r="J1352" s="62">
        <v>135</v>
      </c>
      <c r="K1352" s="62">
        <v>150</v>
      </c>
      <c r="L1352" s="62">
        <v>150</v>
      </c>
      <c r="M1352" s="232">
        <v>190</v>
      </c>
      <c r="N1352" s="55" t="s">
        <v>1593</v>
      </c>
      <c r="O1352" s="61" t="s">
        <v>52</v>
      </c>
      <c r="P1352" s="200"/>
      <c r="Q1352" s="200"/>
      <c r="R1352" s="200"/>
      <c r="S1352" s="200"/>
      <c r="T1352" s="66"/>
      <c r="U1352" s="66"/>
      <c r="V1352" s="66"/>
    </row>
    <row r="1353" spans="1:22" s="64" customFormat="1" x14ac:dyDescent="0.25">
      <c r="A1353" s="65" t="s">
        <v>1433</v>
      </c>
      <c r="B1353" s="511" t="s">
        <v>1488</v>
      </c>
      <c r="C1353" s="511"/>
      <c r="D1353" s="511"/>
      <c r="E1353" s="61" t="s">
        <v>1437</v>
      </c>
      <c r="F1353" s="61" t="s">
        <v>389</v>
      </c>
      <c r="G1353" s="61" t="s">
        <v>55</v>
      </c>
      <c r="H1353" s="61"/>
      <c r="I1353" s="61" t="s">
        <v>1366</v>
      </c>
      <c r="J1353" s="62">
        <v>135</v>
      </c>
      <c r="K1353" s="62">
        <v>150</v>
      </c>
      <c r="L1353" s="62">
        <v>150</v>
      </c>
      <c r="M1353" s="232">
        <v>190</v>
      </c>
      <c r="N1353" s="55" t="s">
        <v>1593</v>
      </c>
      <c r="O1353" s="61" t="s">
        <v>52</v>
      </c>
      <c r="P1353" s="200"/>
      <c r="Q1353" s="200"/>
      <c r="R1353" s="200"/>
      <c r="S1353" s="200"/>
      <c r="T1353" s="66"/>
      <c r="U1353" s="66"/>
      <c r="V1353" s="66"/>
    </row>
    <row r="1354" spans="1:22" s="64" customFormat="1" x14ac:dyDescent="0.25">
      <c r="A1354" s="65" t="s">
        <v>1433</v>
      </c>
      <c r="B1354" s="511" t="s">
        <v>1489</v>
      </c>
      <c r="C1354" s="511"/>
      <c r="D1354" s="511"/>
      <c r="E1354" s="61" t="s">
        <v>1447</v>
      </c>
      <c r="F1354" s="61" t="s">
        <v>56</v>
      </c>
      <c r="G1354" s="61" t="s">
        <v>55</v>
      </c>
      <c r="H1354" s="61"/>
      <c r="I1354" s="61" t="s">
        <v>1366</v>
      </c>
      <c r="J1354" s="62">
        <v>570</v>
      </c>
      <c r="K1354" s="62">
        <v>585</v>
      </c>
      <c r="L1354" s="62">
        <v>585</v>
      </c>
      <c r="M1354" s="232"/>
      <c r="N1354" s="55" t="s">
        <v>1593</v>
      </c>
      <c r="O1354" s="61" t="s">
        <v>52</v>
      </c>
      <c r="P1354" s="200"/>
      <c r="Q1354" s="200"/>
      <c r="R1354" s="200"/>
      <c r="S1354" s="200"/>
      <c r="T1354" s="66"/>
      <c r="U1354" s="66"/>
      <c r="V1354" s="66"/>
    </row>
    <row r="1355" spans="1:22" s="64" customFormat="1" x14ac:dyDescent="0.25">
      <c r="A1355" s="65" t="s">
        <v>1433</v>
      </c>
      <c r="B1355" s="511" t="s">
        <v>1490</v>
      </c>
      <c r="C1355" s="511"/>
      <c r="D1355" s="511"/>
      <c r="E1355" s="61" t="s">
        <v>1437</v>
      </c>
      <c r="F1355" s="61" t="s">
        <v>54</v>
      </c>
      <c r="G1355" s="61" t="s">
        <v>55</v>
      </c>
      <c r="H1355" s="61"/>
      <c r="I1355" s="61" t="s">
        <v>1366</v>
      </c>
      <c r="J1355" s="62">
        <v>270</v>
      </c>
      <c r="K1355" s="62">
        <v>300</v>
      </c>
      <c r="L1355" s="62">
        <v>300</v>
      </c>
      <c r="M1355" s="232">
        <v>380</v>
      </c>
      <c r="N1355" s="55" t="s">
        <v>1593</v>
      </c>
      <c r="O1355" s="61" t="s">
        <v>52</v>
      </c>
      <c r="P1355" s="200"/>
      <c r="Q1355" s="200"/>
      <c r="R1355" s="200"/>
      <c r="S1355" s="200"/>
      <c r="T1355" s="66"/>
      <c r="U1355" s="66"/>
      <c r="V1355" s="66"/>
    </row>
    <row r="1356" spans="1:22" s="64" customFormat="1" x14ac:dyDescent="0.25">
      <c r="A1356" s="65" t="s">
        <v>1433</v>
      </c>
      <c r="B1356" s="511" t="s">
        <v>1490</v>
      </c>
      <c r="C1356" s="511"/>
      <c r="D1356" s="511"/>
      <c r="E1356" s="61" t="s">
        <v>1437</v>
      </c>
      <c r="F1356" s="61" t="s">
        <v>389</v>
      </c>
      <c r="G1356" s="61" t="s">
        <v>55</v>
      </c>
      <c r="H1356" s="61"/>
      <c r="I1356" s="61" t="s">
        <v>1366</v>
      </c>
      <c r="J1356" s="62">
        <v>270</v>
      </c>
      <c r="K1356" s="62">
        <v>300</v>
      </c>
      <c r="L1356" s="62">
        <v>300</v>
      </c>
      <c r="M1356" s="232">
        <v>380</v>
      </c>
      <c r="N1356" s="55" t="s">
        <v>1593</v>
      </c>
      <c r="O1356" s="61" t="s">
        <v>52</v>
      </c>
      <c r="P1356" s="200"/>
      <c r="Q1356" s="200"/>
      <c r="R1356" s="200"/>
      <c r="S1356" s="200"/>
      <c r="T1356" s="66"/>
      <c r="U1356" s="66"/>
      <c r="V1356" s="66"/>
    </row>
    <row r="1357" spans="1:22" s="64" customFormat="1" x14ac:dyDescent="0.25">
      <c r="A1357" s="65" t="s">
        <v>1433</v>
      </c>
      <c r="B1357" s="511" t="s">
        <v>1491</v>
      </c>
      <c r="C1357" s="511"/>
      <c r="D1357" s="511"/>
      <c r="E1357" s="61" t="s">
        <v>1447</v>
      </c>
      <c r="F1357" s="61" t="s">
        <v>56</v>
      </c>
      <c r="G1357" s="61" t="s">
        <v>55</v>
      </c>
      <c r="H1357" s="61"/>
      <c r="I1357" s="61" t="s">
        <v>1366</v>
      </c>
      <c r="J1357" s="62">
        <v>340</v>
      </c>
      <c r="K1357" s="62">
        <v>520</v>
      </c>
      <c r="L1357" s="62">
        <v>520</v>
      </c>
      <c r="M1357" s="232"/>
      <c r="N1357" s="55" t="s">
        <v>1593</v>
      </c>
      <c r="O1357" s="61" t="s">
        <v>52</v>
      </c>
      <c r="P1357" s="200"/>
      <c r="Q1357" s="200"/>
      <c r="R1357" s="200"/>
      <c r="S1357" s="200"/>
      <c r="T1357" s="66"/>
      <c r="U1357" s="66"/>
      <c r="V1357" s="66"/>
    </row>
    <row r="1358" spans="1:22" s="64" customFormat="1" x14ac:dyDescent="0.25">
      <c r="A1358" s="65" t="s">
        <v>1433</v>
      </c>
      <c r="B1358" s="511" t="s">
        <v>1492</v>
      </c>
      <c r="C1358" s="511"/>
      <c r="D1358" s="511"/>
      <c r="E1358" s="61" t="s">
        <v>1435</v>
      </c>
      <c r="F1358" s="61" t="s">
        <v>54</v>
      </c>
      <c r="G1358" s="61" t="s">
        <v>55</v>
      </c>
      <c r="H1358" s="61"/>
      <c r="I1358" s="61" t="s">
        <v>1366</v>
      </c>
      <c r="J1358" s="62">
        <v>315</v>
      </c>
      <c r="K1358" s="62">
        <v>350</v>
      </c>
      <c r="L1358" s="62">
        <v>350</v>
      </c>
      <c r="M1358" s="232">
        <v>445</v>
      </c>
      <c r="N1358" s="55" t="s">
        <v>1593</v>
      </c>
      <c r="O1358" s="61" t="s">
        <v>52</v>
      </c>
      <c r="P1358" s="200"/>
      <c r="Q1358" s="200"/>
      <c r="R1358" s="200"/>
      <c r="S1358" s="200"/>
      <c r="T1358" s="66"/>
      <c r="U1358" s="66"/>
      <c r="V1358" s="66"/>
    </row>
    <row r="1359" spans="1:22" s="64" customFormat="1" x14ac:dyDescent="0.25">
      <c r="A1359" s="65" t="s">
        <v>1433</v>
      </c>
      <c r="B1359" s="511" t="s">
        <v>1492</v>
      </c>
      <c r="C1359" s="511"/>
      <c r="D1359" s="511"/>
      <c r="E1359" s="61" t="s">
        <v>1435</v>
      </c>
      <c r="F1359" s="61" t="s">
        <v>389</v>
      </c>
      <c r="G1359" s="61" t="s">
        <v>55</v>
      </c>
      <c r="H1359" s="61"/>
      <c r="I1359" s="61" t="s">
        <v>1366</v>
      </c>
      <c r="J1359" s="62">
        <v>315</v>
      </c>
      <c r="K1359" s="62">
        <v>350</v>
      </c>
      <c r="L1359" s="62">
        <v>350</v>
      </c>
      <c r="M1359" s="232">
        <v>445</v>
      </c>
      <c r="N1359" s="55" t="s">
        <v>1593</v>
      </c>
      <c r="O1359" s="61" t="s">
        <v>52</v>
      </c>
      <c r="P1359" s="200"/>
      <c r="Q1359" s="200"/>
      <c r="R1359" s="200"/>
      <c r="S1359" s="200"/>
      <c r="T1359" s="66"/>
      <c r="U1359" s="66"/>
      <c r="V1359" s="66"/>
    </row>
    <row r="1360" spans="1:22" s="64" customFormat="1" x14ac:dyDescent="0.25">
      <c r="A1360" s="65" t="s">
        <v>1433</v>
      </c>
      <c r="B1360" s="511" t="s">
        <v>1493</v>
      </c>
      <c r="C1360" s="511"/>
      <c r="D1360" s="511"/>
      <c r="E1360" s="61" t="s">
        <v>1437</v>
      </c>
      <c r="F1360" s="61" t="s">
        <v>54</v>
      </c>
      <c r="G1360" s="61" t="s">
        <v>55</v>
      </c>
      <c r="H1360" s="61"/>
      <c r="I1360" s="61" t="s">
        <v>1366</v>
      </c>
      <c r="J1360" s="62">
        <v>360</v>
      </c>
      <c r="K1360" s="62">
        <v>400</v>
      </c>
      <c r="L1360" s="62">
        <v>400</v>
      </c>
      <c r="M1360" s="232">
        <v>510</v>
      </c>
      <c r="N1360" s="55" t="s">
        <v>1593</v>
      </c>
      <c r="O1360" s="61" t="s">
        <v>52</v>
      </c>
      <c r="P1360" s="200"/>
      <c r="Q1360" s="200"/>
      <c r="R1360" s="200"/>
      <c r="S1360" s="200"/>
      <c r="T1360" s="66"/>
      <c r="U1360" s="66"/>
      <c r="V1360" s="66"/>
    </row>
    <row r="1361" spans="1:22" s="64" customFormat="1" x14ac:dyDescent="0.25">
      <c r="A1361" s="65" t="s">
        <v>1433</v>
      </c>
      <c r="B1361" s="511" t="s">
        <v>1493</v>
      </c>
      <c r="C1361" s="511"/>
      <c r="D1361" s="511"/>
      <c r="E1361" s="61" t="s">
        <v>1437</v>
      </c>
      <c r="F1361" s="61" t="s">
        <v>389</v>
      </c>
      <c r="G1361" s="61" t="s">
        <v>55</v>
      </c>
      <c r="H1361" s="61"/>
      <c r="I1361" s="61" t="s">
        <v>1366</v>
      </c>
      <c r="J1361" s="62">
        <v>360</v>
      </c>
      <c r="K1361" s="62">
        <v>400</v>
      </c>
      <c r="L1361" s="62">
        <v>400</v>
      </c>
      <c r="M1361" s="232">
        <v>510</v>
      </c>
      <c r="N1361" s="55" t="s">
        <v>1593</v>
      </c>
      <c r="O1361" s="61" t="s">
        <v>52</v>
      </c>
      <c r="P1361" s="200"/>
      <c r="Q1361" s="200"/>
      <c r="R1361" s="200"/>
      <c r="S1361" s="200"/>
      <c r="T1361" s="66"/>
      <c r="U1361" s="66"/>
      <c r="V1361" s="66"/>
    </row>
    <row r="1362" spans="1:22" s="64" customFormat="1" x14ac:dyDescent="0.25">
      <c r="A1362" s="65" t="s">
        <v>1433</v>
      </c>
      <c r="B1362" s="511" t="s">
        <v>1494</v>
      </c>
      <c r="C1362" s="511"/>
      <c r="D1362" s="511"/>
      <c r="E1362" s="61" t="s">
        <v>1435</v>
      </c>
      <c r="F1362" s="61" t="s">
        <v>56</v>
      </c>
      <c r="G1362" s="61" t="s">
        <v>55</v>
      </c>
      <c r="H1362" s="61"/>
      <c r="I1362" s="61" t="s">
        <v>1366</v>
      </c>
      <c r="J1362" s="62">
        <v>340</v>
      </c>
      <c r="K1362" s="62">
        <v>450</v>
      </c>
      <c r="L1362" s="62">
        <v>450</v>
      </c>
      <c r="M1362" s="232"/>
      <c r="N1362" s="55" t="s">
        <v>1593</v>
      </c>
      <c r="O1362" s="61" t="s">
        <v>52</v>
      </c>
      <c r="P1362" s="200"/>
      <c r="Q1362" s="200"/>
      <c r="R1362" s="200"/>
      <c r="S1362" s="200"/>
      <c r="T1362" s="66"/>
      <c r="U1362" s="66"/>
      <c r="V1362" s="66"/>
    </row>
    <row r="1363" spans="1:22" s="64" customFormat="1" x14ac:dyDescent="0.25">
      <c r="A1363" s="65" t="s">
        <v>1433</v>
      </c>
      <c r="B1363" s="511" t="s">
        <v>1495</v>
      </c>
      <c r="C1363" s="511"/>
      <c r="D1363" s="511"/>
      <c r="E1363" s="61" t="s">
        <v>1435</v>
      </c>
      <c r="F1363" s="61" t="s">
        <v>54</v>
      </c>
      <c r="G1363" s="61" t="s">
        <v>55</v>
      </c>
      <c r="H1363" s="61"/>
      <c r="I1363" s="61" t="s">
        <v>1366</v>
      </c>
      <c r="J1363" s="62">
        <v>180</v>
      </c>
      <c r="K1363" s="62">
        <v>200</v>
      </c>
      <c r="L1363" s="62">
        <v>200</v>
      </c>
      <c r="M1363" s="232">
        <v>255</v>
      </c>
      <c r="N1363" s="55" t="s">
        <v>1593</v>
      </c>
      <c r="O1363" s="61" t="s">
        <v>52</v>
      </c>
      <c r="P1363" s="200"/>
      <c r="Q1363" s="200"/>
      <c r="R1363" s="200"/>
      <c r="S1363" s="200"/>
      <c r="T1363" s="66"/>
      <c r="U1363" s="66"/>
      <c r="V1363" s="66"/>
    </row>
    <row r="1364" spans="1:22" s="64" customFormat="1" x14ac:dyDescent="0.25">
      <c r="A1364" s="65" t="s">
        <v>1433</v>
      </c>
      <c r="B1364" s="511" t="s">
        <v>1495</v>
      </c>
      <c r="C1364" s="511"/>
      <c r="D1364" s="511"/>
      <c r="E1364" s="61" t="s">
        <v>1435</v>
      </c>
      <c r="F1364" s="61" t="s">
        <v>389</v>
      </c>
      <c r="G1364" s="61" t="s">
        <v>55</v>
      </c>
      <c r="H1364" s="61"/>
      <c r="I1364" s="61" t="s">
        <v>1366</v>
      </c>
      <c r="J1364" s="62">
        <v>180</v>
      </c>
      <c r="K1364" s="62">
        <v>200</v>
      </c>
      <c r="L1364" s="62">
        <v>200</v>
      </c>
      <c r="M1364" s="232">
        <v>255</v>
      </c>
      <c r="N1364" s="55" t="s">
        <v>1593</v>
      </c>
      <c r="O1364" s="61" t="s">
        <v>52</v>
      </c>
      <c r="P1364" s="200"/>
      <c r="Q1364" s="200"/>
      <c r="R1364" s="200"/>
      <c r="S1364" s="200"/>
      <c r="T1364" s="66"/>
      <c r="U1364" s="66"/>
      <c r="V1364" s="66"/>
    </row>
    <row r="1365" spans="1:22" s="64" customFormat="1" x14ac:dyDescent="0.25">
      <c r="A1365" s="65" t="s">
        <v>1433</v>
      </c>
      <c r="B1365" s="511" t="s">
        <v>1496</v>
      </c>
      <c r="C1365" s="511"/>
      <c r="D1365" s="511"/>
      <c r="E1365" s="61" t="s">
        <v>1447</v>
      </c>
      <c r="F1365" s="61" t="s">
        <v>56</v>
      </c>
      <c r="G1365" s="61" t="s">
        <v>55</v>
      </c>
      <c r="H1365" s="61"/>
      <c r="I1365" s="61" t="s">
        <v>1366</v>
      </c>
      <c r="J1365" s="62">
        <v>230</v>
      </c>
      <c r="K1365" s="62">
        <v>265</v>
      </c>
      <c r="L1365" s="62">
        <v>265</v>
      </c>
      <c r="M1365" s="232"/>
      <c r="N1365" s="55" t="s">
        <v>1593</v>
      </c>
      <c r="O1365" s="61" t="s">
        <v>52</v>
      </c>
      <c r="P1365" s="200"/>
      <c r="Q1365" s="200"/>
      <c r="R1365" s="200"/>
      <c r="S1365" s="200"/>
      <c r="T1365" s="66"/>
      <c r="U1365" s="66"/>
      <c r="V1365" s="66"/>
    </row>
    <row r="1366" spans="1:22" s="64" customFormat="1" x14ac:dyDescent="0.25">
      <c r="A1366" s="65" t="s">
        <v>1433</v>
      </c>
      <c r="B1366" s="511" t="s">
        <v>1497</v>
      </c>
      <c r="C1366" s="511"/>
      <c r="D1366" s="511"/>
      <c r="E1366" s="61" t="s">
        <v>1435</v>
      </c>
      <c r="F1366" s="61" t="s">
        <v>54</v>
      </c>
      <c r="G1366" s="61" t="s">
        <v>55</v>
      </c>
      <c r="H1366" s="61"/>
      <c r="I1366" s="61" t="s">
        <v>1366</v>
      </c>
      <c r="J1366" s="62">
        <v>270</v>
      </c>
      <c r="K1366" s="62">
        <v>300</v>
      </c>
      <c r="L1366" s="62">
        <v>300</v>
      </c>
      <c r="M1366" s="232">
        <v>385</v>
      </c>
      <c r="N1366" s="55" t="s">
        <v>1593</v>
      </c>
      <c r="O1366" s="61" t="s">
        <v>52</v>
      </c>
      <c r="P1366" s="200"/>
      <c r="Q1366" s="200"/>
      <c r="R1366" s="200"/>
      <c r="S1366" s="200"/>
      <c r="T1366" s="66"/>
      <c r="U1366" s="66"/>
      <c r="V1366" s="66"/>
    </row>
    <row r="1367" spans="1:22" s="64" customFormat="1" x14ac:dyDescent="0.25">
      <c r="A1367" s="65" t="s">
        <v>1433</v>
      </c>
      <c r="B1367" s="511" t="s">
        <v>1497</v>
      </c>
      <c r="C1367" s="511"/>
      <c r="D1367" s="511"/>
      <c r="E1367" s="61" t="s">
        <v>1435</v>
      </c>
      <c r="F1367" s="61" t="s">
        <v>389</v>
      </c>
      <c r="G1367" s="61" t="s">
        <v>55</v>
      </c>
      <c r="H1367" s="61"/>
      <c r="I1367" s="61" t="s">
        <v>1366</v>
      </c>
      <c r="J1367" s="62">
        <v>270</v>
      </c>
      <c r="K1367" s="62">
        <v>300</v>
      </c>
      <c r="L1367" s="62">
        <v>300</v>
      </c>
      <c r="M1367" s="232">
        <v>385</v>
      </c>
      <c r="N1367" s="55" t="s">
        <v>1593</v>
      </c>
      <c r="O1367" s="61" t="s">
        <v>52</v>
      </c>
      <c r="P1367" s="200"/>
      <c r="Q1367" s="200"/>
      <c r="R1367" s="200"/>
      <c r="S1367" s="200"/>
      <c r="T1367" s="66"/>
      <c r="U1367" s="66"/>
      <c r="V1367" s="66"/>
    </row>
    <row r="1368" spans="1:22" s="64" customFormat="1" x14ac:dyDescent="0.25">
      <c r="A1368" s="65" t="s">
        <v>1433</v>
      </c>
      <c r="B1368" s="511" t="s">
        <v>1406</v>
      </c>
      <c r="C1368" s="511"/>
      <c r="D1368" s="511"/>
      <c r="E1368" s="61" t="s">
        <v>1435</v>
      </c>
      <c r="F1368" s="61" t="s">
        <v>54</v>
      </c>
      <c r="G1368" s="61" t="s">
        <v>55</v>
      </c>
      <c r="H1368" s="61"/>
      <c r="I1368" s="61" t="s">
        <v>1366</v>
      </c>
      <c r="J1368" s="62">
        <v>225</v>
      </c>
      <c r="K1368" s="62">
        <v>250</v>
      </c>
      <c r="L1368" s="62">
        <v>250</v>
      </c>
      <c r="M1368" s="232">
        <v>320</v>
      </c>
      <c r="N1368" s="55" t="s">
        <v>1593</v>
      </c>
      <c r="O1368" s="61" t="s">
        <v>52</v>
      </c>
      <c r="P1368" s="200"/>
      <c r="Q1368" s="200"/>
      <c r="R1368" s="200"/>
      <c r="S1368" s="200"/>
      <c r="T1368" s="66"/>
      <c r="U1368" s="66"/>
      <c r="V1368" s="66"/>
    </row>
    <row r="1369" spans="1:22" s="64" customFormat="1" x14ac:dyDescent="0.25">
      <c r="A1369" s="65" t="s">
        <v>1433</v>
      </c>
      <c r="B1369" s="511" t="s">
        <v>1498</v>
      </c>
      <c r="C1369" s="511"/>
      <c r="D1369" s="511"/>
      <c r="E1369" s="61" t="s">
        <v>1435</v>
      </c>
      <c r="F1369" s="61" t="s">
        <v>54</v>
      </c>
      <c r="G1369" s="61" t="s">
        <v>55</v>
      </c>
      <c r="H1369" s="61"/>
      <c r="I1369" s="61" t="s">
        <v>1366</v>
      </c>
      <c r="J1369" s="62">
        <v>225</v>
      </c>
      <c r="K1369" s="62">
        <v>250</v>
      </c>
      <c r="L1369" s="62">
        <v>250</v>
      </c>
      <c r="M1369" s="232">
        <v>320</v>
      </c>
      <c r="N1369" s="55" t="s">
        <v>1593</v>
      </c>
      <c r="O1369" s="61" t="s">
        <v>52</v>
      </c>
      <c r="P1369" s="200"/>
      <c r="Q1369" s="200"/>
      <c r="R1369" s="200"/>
      <c r="S1369" s="200"/>
      <c r="T1369" s="66"/>
      <c r="U1369" s="66"/>
      <c r="V1369" s="66"/>
    </row>
    <row r="1370" spans="1:22" s="64" customFormat="1" x14ac:dyDescent="0.25">
      <c r="A1370" s="65" t="s">
        <v>1433</v>
      </c>
      <c r="B1370" s="511" t="s">
        <v>1498</v>
      </c>
      <c r="C1370" s="511"/>
      <c r="D1370" s="511"/>
      <c r="E1370" s="61" t="s">
        <v>1435</v>
      </c>
      <c r="F1370" s="61" t="s">
        <v>389</v>
      </c>
      <c r="G1370" s="61" t="s">
        <v>55</v>
      </c>
      <c r="H1370" s="61"/>
      <c r="I1370" s="61" t="s">
        <v>1366</v>
      </c>
      <c r="J1370" s="62">
        <v>225</v>
      </c>
      <c r="K1370" s="62">
        <v>250</v>
      </c>
      <c r="L1370" s="62">
        <v>250</v>
      </c>
      <c r="M1370" s="232">
        <v>320</v>
      </c>
      <c r="N1370" s="55" t="s">
        <v>1593</v>
      </c>
      <c r="O1370" s="61" t="s">
        <v>52</v>
      </c>
      <c r="P1370" s="200"/>
      <c r="Q1370" s="200"/>
      <c r="R1370" s="200"/>
      <c r="S1370" s="200"/>
      <c r="T1370" s="66"/>
      <c r="U1370" s="66"/>
      <c r="V1370" s="66"/>
    </row>
    <row r="1371" spans="1:22" s="64" customFormat="1" x14ac:dyDescent="0.25">
      <c r="A1371" s="65" t="s">
        <v>1433</v>
      </c>
      <c r="B1371" s="511" t="s">
        <v>1499</v>
      </c>
      <c r="C1371" s="511"/>
      <c r="D1371" s="511"/>
      <c r="E1371" s="61" t="s">
        <v>1435</v>
      </c>
      <c r="F1371" s="61" t="s">
        <v>54</v>
      </c>
      <c r="G1371" s="61" t="s">
        <v>55</v>
      </c>
      <c r="H1371" s="61"/>
      <c r="I1371" s="61" t="s">
        <v>1366</v>
      </c>
      <c r="J1371" s="62">
        <v>675</v>
      </c>
      <c r="K1371" s="62">
        <v>750</v>
      </c>
      <c r="L1371" s="62">
        <v>750</v>
      </c>
      <c r="M1371" s="232">
        <v>955</v>
      </c>
      <c r="N1371" s="55" t="s">
        <v>1593</v>
      </c>
      <c r="O1371" s="61" t="s">
        <v>52</v>
      </c>
      <c r="P1371" s="200"/>
      <c r="Q1371" s="200"/>
      <c r="R1371" s="200"/>
      <c r="S1371" s="200"/>
      <c r="T1371" s="66"/>
      <c r="U1371" s="66"/>
      <c r="V1371" s="66"/>
    </row>
    <row r="1372" spans="1:22" s="64" customFormat="1" x14ac:dyDescent="0.25">
      <c r="A1372" s="65" t="s">
        <v>1433</v>
      </c>
      <c r="B1372" s="511" t="s">
        <v>1499</v>
      </c>
      <c r="C1372" s="511"/>
      <c r="D1372" s="511"/>
      <c r="E1372" s="61" t="s">
        <v>1435</v>
      </c>
      <c r="F1372" s="61" t="s">
        <v>389</v>
      </c>
      <c r="G1372" s="61" t="s">
        <v>55</v>
      </c>
      <c r="H1372" s="61"/>
      <c r="I1372" s="61" t="s">
        <v>1366</v>
      </c>
      <c r="J1372" s="62">
        <v>675</v>
      </c>
      <c r="K1372" s="62">
        <v>750</v>
      </c>
      <c r="L1372" s="62">
        <v>750</v>
      </c>
      <c r="M1372" s="232">
        <v>955</v>
      </c>
      <c r="N1372" s="55" t="s">
        <v>1593</v>
      </c>
      <c r="O1372" s="61" t="s">
        <v>52</v>
      </c>
      <c r="P1372" s="200"/>
      <c r="Q1372" s="200"/>
      <c r="R1372" s="200"/>
      <c r="S1372" s="200"/>
      <c r="T1372" s="66"/>
      <c r="U1372" s="66"/>
      <c r="V1372" s="66"/>
    </row>
    <row r="1373" spans="1:22" s="64" customFormat="1" x14ac:dyDescent="0.25">
      <c r="A1373" s="65" t="s">
        <v>1433</v>
      </c>
      <c r="B1373" s="511" t="s">
        <v>1500</v>
      </c>
      <c r="C1373" s="511"/>
      <c r="D1373" s="511"/>
      <c r="E1373" s="61" t="s">
        <v>1447</v>
      </c>
      <c r="F1373" s="61" t="s">
        <v>54</v>
      </c>
      <c r="G1373" s="61" t="s">
        <v>55</v>
      </c>
      <c r="H1373" s="61"/>
      <c r="I1373" s="61" t="s">
        <v>1366</v>
      </c>
      <c r="J1373" s="62">
        <v>270</v>
      </c>
      <c r="K1373" s="62">
        <v>300</v>
      </c>
      <c r="L1373" s="62">
        <v>300</v>
      </c>
      <c r="M1373" s="232">
        <v>385</v>
      </c>
      <c r="N1373" s="55" t="s">
        <v>1593</v>
      </c>
      <c r="O1373" s="61" t="s">
        <v>52</v>
      </c>
      <c r="P1373" s="200"/>
      <c r="Q1373" s="200"/>
      <c r="R1373" s="200"/>
      <c r="S1373" s="200"/>
      <c r="T1373" s="66"/>
      <c r="U1373" s="66"/>
      <c r="V1373" s="66"/>
    </row>
    <row r="1374" spans="1:22" s="64" customFormat="1" x14ac:dyDescent="0.25">
      <c r="A1374" s="65" t="s">
        <v>1433</v>
      </c>
      <c r="B1374" s="511" t="s">
        <v>1500</v>
      </c>
      <c r="C1374" s="511"/>
      <c r="D1374" s="511"/>
      <c r="E1374" s="61" t="s">
        <v>1447</v>
      </c>
      <c r="F1374" s="61" t="s">
        <v>389</v>
      </c>
      <c r="G1374" s="61" t="s">
        <v>55</v>
      </c>
      <c r="H1374" s="61"/>
      <c r="I1374" s="61" t="s">
        <v>1366</v>
      </c>
      <c r="J1374" s="62">
        <v>270</v>
      </c>
      <c r="K1374" s="62">
        <v>300</v>
      </c>
      <c r="L1374" s="62">
        <v>300</v>
      </c>
      <c r="M1374" s="232">
        <v>385</v>
      </c>
      <c r="N1374" s="55" t="s">
        <v>1593</v>
      </c>
      <c r="O1374" s="61" t="s">
        <v>52</v>
      </c>
      <c r="P1374" s="200"/>
      <c r="Q1374" s="200"/>
      <c r="R1374" s="200"/>
      <c r="S1374" s="200"/>
      <c r="T1374" s="66"/>
      <c r="U1374" s="66"/>
      <c r="V1374" s="66"/>
    </row>
    <row r="1375" spans="1:22" s="64" customFormat="1" x14ac:dyDescent="0.25">
      <c r="A1375" s="65" t="s">
        <v>1433</v>
      </c>
      <c r="B1375" s="511" t="s">
        <v>1501</v>
      </c>
      <c r="C1375" s="511"/>
      <c r="D1375" s="511"/>
      <c r="E1375" s="61" t="s">
        <v>1435</v>
      </c>
      <c r="F1375" s="61" t="s">
        <v>54</v>
      </c>
      <c r="G1375" s="61" t="s">
        <v>55</v>
      </c>
      <c r="H1375" s="61"/>
      <c r="I1375" s="61" t="s">
        <v>1366</v>
      </c>
      <c r="J1375" s="62">
        <v>360</v>
      </c>
      <c r="K1375" s="62">
        <v>400</v>
      </c>
      <c r="L1375" s="62">
        <v>400</v>
      </c>
      <c r="M1375" s="232">
        <v>510</v>
      </c>
      <c r="N1375" s="55" t="s">
        <v>1593</v>
      </c>
      <c r="O1375" s="61" t="s">
        <v>52</v>
      </c>
      <c r="P1375" s="200"/>
      <c r="Q1375" s="200"/>
      <c r="R1375" s="200"/>
      <c r="S1375" s="200"/>
      <c r="T1375" s="66"/>
      <c r="U1375" s="66"/>
      <c r="V1375" s="66"/>
    </row>
    <row r="1376" spans="1:22" s="64" customFormat="1" x14ac:dyDescent="0.25">
      <c r="A1376" s="65" t="s">
        <v>1433</v>
      </c>
      <c r="B1376" s="511" t="s">
        <v>1501</v>
      </c>
      <c r="C1376" s="511"/>
      <c r="D1376" s="511"/>
      <c r="E1376" s="61" t="s">
        <v>1435</v>
      </c>
      <c r="F1376" s="61" t="s">
        <v>389</v>
      </c>
      <c r="G1376" s="61" t="s">
        <v>55</v>
      </c>
      <c r="H1376" s="61"/>
      <c r="I1376" s="61" t="s">
        <v>1366</v>
      </c>
      <c r="J1376" s="62">
        <v>360</v>
      </c>
      <c r="K1376" s="62">
        <v>400</v>
      </c>
      <c r="L1376" s="62">
        <v>400</v>
      </c>
      <c r="M1376" s="232">
        <v>510</v>
      </c>
      <c r="N1376" s="55" t="s">
        <v>1593</v>
      </c>
      <c r="O1376" s="61" t="s">
        <v>52</v>
      </c>
      <c r="P1376" s="200"/>
      <c r="Q1376" s="200"/>
      <c r="R1376" s="200"/>
      <c r="S1376" s="200"/>
      <c r="T1376" s="66"/>
      <c r="U1376" s="66"/>
      <c r="V1376" s="66"/>
    </row>
    <row r="1377" spans="1:22" s="64" customFormat="1" x14ac:dyDescent="0.25">
      <c r="A1377" s="65" t="s">
        <v>1433</v>
      </c>
      <c r="B1377" s="511" t="s">
        <v>1501</v>
      </c>
      <c r="C1377" s="511"/>
      <c r="D1377" s="511"/>
      <c r="E1377" s="61" t="s">
        <v>1447</v>
      </c>
      <c r="F1377" s="61" t="s">
        <v>56</v>
      </c>
      <c r="G1377" s="61" t="s">
        <v>55</v>
      </c>
      <c r="H1377" s="61"/>
      <c r="I1377" s="61" t="s">
        <v>1366</v>
      </c>
      <c r="J1377" s="62">
        <v>430</v>
      </c>
      <c r="K1377" s="62">
        <v>460</v>
      </c>
      <c r="L1377" s="62">
        <v>460</v>
      </c>
      <c r="M1377" s="232"/>
      <c r="N1377" s="55" t="s">
        <v>1593</v>
      </c>
      <c r="O1377" s="61" t="s">
        <v>52</v>
      </c>
      <c r="P1377" s="200"/>
      <c r="Q1377" s="200"/>
      <c r="R1377" s="200"/>
      <c r="S1377" s="200"/>
      <c r="T1377" s="66"/>
      <c r="U1377" s="66"/>
      <c r="V1377" s="66"/>
    </row>
    <row r="1378" spans="1:22" s="64" customFormat="1" x14ac:dyDescent="0.25">
      <c r="A1378" s="65" t="s">
        <v>1433</v>
      </c>
      <c r="B1378" s="511" t="s">
        <v>1501</v>
      </c>
      <c r="C1378" s="511"/>
      <c r="D1378" s="511"/>
      <c r="E1378" s="61" t="s">
        <v>1455</v>
      </c>
      <c r="F1378" s="61" t="s">
        <v>56</v>
      </c>
      <c r="G1378" s="61" t="s">
        <v>55</v>
      </c>
      <c r="H1378" s="61"/>
      <c r="I1378" s="61" t="s">
        <v>1366</v>
      </c>
      <c r="J1378" s="62">
        <v>485</v>
      </c>
      <c r="K1378" s="62">
        <v>505</v>
      </c>
      <c r="L1378" s="62">
        <v>505</v>
      </c>
      <c r="M1378" s="232"/>
      <c r="N1378" s="55" t="s">
        <v>1593</v>
      </c>
      <c r="O1378" s="61" t="s">
        <v>52</v>
      </c>
      <c r="P1378" s="200"/>
      <c r="Q1378" s="200"/>
      <c r="R1378" s="200"/>
      <c r="S1378" s="200"/>
      <c r="T1378" s="66"/>
      <c r="U1378" s="66"/>
      <c r="V1378" s="66"/>
    </row>
    <row r="1379" spans="1:22" s="64" customFormat="1" x14ac:dyDescent="0.25">
      <c r="A1379" s="65" t="s">
        <v>1433</v>
      </c>
      <c r="B1379" s="511" t="s">
        <v>1502</v>
      </c>
      <c r="C1379" s="511"/>
      <c r="D1379" s="511"/>
      <c r="E1379" s="61" t="s">
        <v>1435</v>
      </c>
      <c r="F1379" s="61" t="s">
        <v>54</v>
      </c>
      <c r="G1379" s="61" t="s">
        <v>55</v>
      </c>
      <c r="H1379" s="61"/>
      <c r="I1379" s="61" t="s">
        <v>1366</v>
      </c>
      <c r="J1379" s="62">
        <v>270</v>
      </c>
      <c r="K1379" s="62">
        <v>300</v>
      </c>
      <c r="L1379" s="62">
        <v>300</v>
      </c>
      <c r="M1379" s="232">
        <v>380</v>
      </c>
      <c r="N1379" s="55" t="s">
        <v>1593</v>
      </c>
      <c r="O1379" s="61" t="s">
        <v>52</v>
      </c>
      <c r="P1379" s="200"/>
      <c r="Q1379" s="200"/>
      <c r="R1379" s="200"/>
      <c r="S1379" s="200"/>
      <c r="T1379" s="66"/>
      <c r="U1379" s="66"/>
      <c r="V1379" s="66"/>
    </row>
    <row r="1380" spans="1:22" s="64" customFormat="1" x14ac:dyDescent="0.25">
      <c r="A1380" s="65" t="s">
        <v>1433</v>
      </c>
      <c r="B1380" s="511" t="s">
        <v>1502</v>
      </c>
      <c r="C1380" s="511"/>
      <c r="D1380" s="511"/>
      <c r="E1380" s="61" t="s">
        <v>1435</v>
      </c>
      <c r="F1380" s="61" t="s">
        <v>389</v>
      </c>
      <c r="G1380" s="61" t="s">
        <v>55</v>
      </c>
      <c r="H1380" s="61"/>
      <c r="I1380" s="61" t="s">
        <v>1366</v>
      </c>
      <c r="J1380" s="62">
        <v>270</v>
      </c>
      <c r="K1380" s="62">
        <v>300</v>
      </c>
      <c r="L1380" s="62">
        <v>300</v>
      </c>
      <c r="M1380" s="232">
        <v>380</v>
      </c>
      <c r="N1380" s="55" t="s">
        <v>1593</v>
      </c>
      <c r="O1380" s="61" t="s">
        <v>52</v>
      </c>
      <c r="P1380" s="200"/>
      <c r="Q1380" s="200"/>
      <c r="R1380" s="200"/>
      <c r="S1380" s="200"/>
      <c r="T1380" s="66"/>
      <c r="U1380" s="66"/>
      <c r="V1380" s="66"/>
    </row>
    <row r="1381" spans="1:22" s="64" customFormat="1" x14ac:dyDescent="0.25">
      <c r="A1381" s="65" t="s">
        <v>1433</v>
      </c>
      <c r="B1381" s="511" t="s">
        <v>1503</v>
      </c>
      <c r="C1381" s="511"/>
      <c r="D1381" s="511"/>
      <c r="E1381" s="61" t="s">
        <v>1435</v>
      </c>
      <c r="F1381" s="61" t="s">
        <v>56</v>
      </c>
      <c r="G1381" s="61" t="s">
        <v>55</v>
      </c>
      <c r="H1381" s="61"/>
      <c r="I1381" s="61" t="s">
        <v>1366</v>
      </c>
      <c r="J1381" s="62">
        <v>380</v>
      </c>
      <c r="K1381" s="62">
        <v>520</v>
      </c>
      <c r="L1381" s="62">
        <v>520</v>
      </c>
      <c r="M1381" s="232"/>
      <c r="N1381" s="55" t="s">
        <v>1593</v>
      </c>
      <c r="O1381" s="61" t="s">
        <v>52</v>
      </c>
      <c r="P1381" s="200"/>
      <c r="Q1381" s="200"/>
      <c r="R1381" s="200"/>
      <c r="S1381" s="200"/>
      <c r="T1381" s="66"/>
      <c r="U1381" s="66"/>
      <c r="V1381" s="66"/>
    </row>
    <row r="1382" spans="1:22" s="64" customFormat="1" x14ac:dyDescent="0.25">
      <c r="A1382" s="65" t="s">
        <v>1433</v>
      </c>
      <c r="B1382" s="511" t="s">
        <v>1505</v>
      </c>
      <c r="C1382" s="511"/>
      <c r="D1382" s="511"/>
      <c r="E1382" s="61" t="s">
        <v>1437</v>
      </c>
      <c r="F1382" s="61" t="s">
        <v>54</v>
      </c>
      <c r="G1382" s="61" t="s">
        <v>55</v>
      </c>
      <c r="H1382" s="61"/>
      <c r="I1382" s="61" t="s">
        <v>1366</v>
      </c>
      <c r="J1382" s="62">
        <v>270</v>
      </c>
      <c r="K1382" s="62">
        <v>300</v>
      </c>
      <c r="L1382" s="62">
        <v>300</v>
      </c>
      <c r="M1382" s="232">
        <v>385</v>
      </c>
      <c r="N1382" s="55" t="s">
        <v>1593</v>
      </c>
      <c r="O1382" s="61" t="s">
        <v>52</v>
      </c>
      <c r="P1382" s="200"/>
      <c r="Q1382" s="200"/>
      <c r="R1382" s="200"/>
      <c r="S1382" s="200"/>
      <c r="T1382" s="66"/>
      <c r="U1382" s="66"/>
      <c r="V1382" s="66"/>
    </row>
    <row r="1383" spans="1:22" s="64" customFormat="1" x14ac:dyDescent="0.25">
      <c r="A1383" s="65" t="s">
        <v>1433</v>
      </c>
      <c r="B1383" s="511" t="s">
        <v>1505</v>
      </c>
      <c r="C1383" s="511"/>
      <c r="D1383" s="511"/>
      <c r="E1383" s="61" t="s">
        <v>1437</v>
      </c>
      <c r="F1383" s="61" t="s">
        <v>389</v>
      </c>
      <c r="G1383" s="61" t="s">
        <v>55</v>
      </c>
      <c r="H1383" s="61"/>
      <c r="I1383" s="61" t="s">
        <v>1366</v>
      </c>
      <c r="J1383" s="62">
        <v>270</v>
      </c>
      <c r="K1383" s="62">
        <v>300</v>
      </c>
      <c r="L1383" s="62">
        <v>300</v>
      </c>
      <c r="M1383" s="232">
        <v>385</v>
      </c>
      <c r="N1383" s="55" t="s">
        <v>1593</v>
      </c>
      <c r="O1383" s="61" t="s">
        <v>52</v>
      </c>
      <c r="P1383" s="200"/>
      <c r="Q1383" s="200"/>
      <c r="R1383" s="200"/>
      <c r="S1383" s="200"/>
      <c r="T1383" s="66"/>
      <c r="U1383" s="66"/>
      <c r="V1383" s="66"/>
    </row>
    <row r="1384" spans="1:22" s="64" customFormat="1" x14ac:dyDescent="0.25">
      <c r="A1384" s="65" t="s">
        <v>1433</v>
      </c>
      <c r="B1384" s="511" t="s">
        <v>1505</v>
      </c>
      <c r="C1384" s="511"/>
      <c r="D1384" s="511"/>
      <c r="E1384" s="61" t="s">
        <v>1437</v>
      </c>
      <c r="F1384" s="61" t="s">
        <v>56</v>
      </c>
      <c r="G1384" s="61" t="s">
        <v>55</v>
      </c>
      <c r="H1384" s="61"/>
      <c r="I1384" s="61" t="s">
        <v>1366</v>
      </c>
      <c r="J1384" s="62">
        <v>255</v>
      </c>
      <c r="K1384" s="62">
        <v>295</v>
      </c>
      <c r="L1384" s="62">
        <v>295</v>
      </c>
      <c r="M1384" s="232">
        <v>205</v>
      </c>
      <c r="N1384" s="55" t="s">
        <v>1593</v>
      </c>
      <c r="O1384" s="61" t="s">
        <v>52</v>
      </c>
      <c r="P1384" s="200"/>
      <c r="Q1384" s="200"/>
      <c r="R1384" s="200"/>
      <c r="S1384" s="200"/>
      <c r="T1384" s="66"/>
      <c r="U1384" s="66"/>
      <c r="V1384" s="66"/>
    </row>
    <row r="1385" spans="1:22" s="64" customFormat="1" x14ac:dyDescent="0.25">
      <c r="A1385" s="65" t="s">
        <v>1433</v>
      </c>
      <c r="B1385" s="511" t="s">
        <v>1506</v>
      </c>
      <c r="C1385" s="511"/>
      <c r="D1385" s="511"/>
      <c r="E1385" s="61" t="s">
        <v>1447</v>
      </c>
      <c r="F1385" s="61" t="s">
        <v>56</v>
      </c>
      <c r="G1385" s="61" t="s">
        <v>55</v>
      </c>
      <c r="H1385" s="61"/>
      <c r="I1385" s="61" t="s">
        <v>1366</v>
      </c>
      <c r="J1385" s="62">
        <v>380</v>
      </c>
      <c r="K1385" s="62">
        <v>370</v>
      </c>
      <c r="L1385" s="62">
        <v>370</v>
      </c>
      <c r="M1385" s="232"/>
      <c r="N1385" s="55" t="s">
        <v>1593</v>
      </c>
      <c r="O1385" s="61" t="s">
        <v>52</v>
      </c>
      <c r="P1385" s="200"/>
      <c r="Q1385" s="200"/>
      <c r="R1385" s="200"/>
      <c r="S1385" s="200"/>
      <c r="T1385" s="66"/>
      <c r="U1385" s="66"/>
      <c r="V1385" s="66"/>
    </row>
    <row r="1386" spans="1:22" s="64" customFormat="1" x14ac:dyDescent="0.25">
      <c r="A1386" s="65" t="s">
        <v>1433</v>
      </c>
      <c r="B1386" s="511" t="s">
        <v>1506</v>
      </c>
      <c r="C1386" s="511"/>
      <c r="D1386" s="511"/>
      <c r="E1386" s="61" t="s">
        <v>1435</v>
      </c>
      <c r="F1386" s="61" t="s">
        <v>56</v>
      </c>
      <c r="G1386" s="61" t="s">
        <v>55</v>
      </c>
      <c r="H1386" s="61"/>
      <c r="I1386" s="61" t="s">
        <v>1366</v>
      </c>
      <c r="J1386" s="62">
        <v>400</v>
      </c>
      <c r="K1386" s="62">
        <v>405</v>
      </c>
      <c r="L1386" s="62">
        <v>405</v>
      </c>
      <c r="M1386" s="232"/>
      <c r="N1386" s="55" t="s">
        <v>1593</v>
      </c>
      <c r="O1386" s="61" t="s">
        <v>52</v>
      </c>
      <c r="P1386" s="200"/>
      <c r="Q1386" s="200"/>
      <c r="R1386" s="200"/>
      <c r="S1386" s="200"/>
      <c r="T1386" s="66"/>
      <c r="U1386" s="66"/>
      <c r="V1386" s="66"/>
    </row>
    <row r="1387" spans="1:22" s="64" customFormat="1" x14ac:dyDescent="0.25">
      <c r="A1387" s="65" t="s">
        <v>1433</v>
      </c>
      <c r="B1387" s="511" t="s">
        <v>1507</v>
      </c>
      <c r="C1387" s="511"/>
      <c r="D1387" s="511"/>
      <c r="E1387" s="61" t="s">
        <v>1435</v>
      </c>
      <c r="F1387" s="61" t="s">
        <v>54</v>
      </c>
      <c r="G1387" s="61" t="s">
        <v>55</v>
      </c>
      <c r="H1387" s="61"/>
      <c r="I1387" s="61" t="s">
        <v>1366</v>
      </c>
      <c r="J1387" s="62">
        <v>405</v>
      </c>
      <c r="K1387" s="62">
        <v>450</v>
      </c>
      <c r="L1387" s="62">
        <v>450</v>
      </c>
      <c r="M1387" s="232">
        <v>570</v>
      </c>
      <c r="N1387" s="55" t="s">
        <v>1593</v>
      </c>
      <c r="O1387" s="61" t="s">
        <v>52</v>
      </c>
      <c r="P1387" s="200"/>
      <c r="Q1387" s="200"/>
      <c r="R1387" s="200"/>
      <c r="S1387" s="200"/>
      <c r="T1387" s="66"/>
      <c r="U1387" s="66"/>
      <c r="V1387" s="66"/>
    </row>
    <row r="1388" spans="1:22" s="64" customFormat="1" x14ac:dyDescent="0.25">
      <c r="A1388" s="65" t="s">
        <v>1433</v>
      </c>
      <c r="B1388" s="511" t="s">
        <v>1507</v>
      </c>
      <c r="C1388" s="511"/>
      <c r="D1388" s="511"/>
      <c r="E1388" s="61" t="s">
        <v>1435</v>
      </c>
      <c r="F1388" s="61" t="s">
        <v>389</v>
      </c>
      <c r="G1388" s="61" t="s">
        <v>55</v>
      </c>
      <c r="H1388" s="61"/>
      <c r="I1388" s="61" t="s">
        <v>1366</v>
      </c>
      <c r="J1388" s="62">
        <v>405</v>
      </c>
      <c r="K1388" s="62">
        <v>450</v>
      </c>
      <c r="L1388" s="62">
        <v>450</v>
      </c>
      <c r="M1388" s="232">
        <v>570</v>
      </c>
      <c r="N1388" s="55" t="s">
        <v>1593</v>
      </c>
      <c r="O1388" s="61" t="s">
        <v>52</v>
      </c>
      <c r="P1388" s="200"/>
      <c r="Q1388" s="200"/>
      <c r="R1388" s="200"/>
      <c r="S1388" s="200"/>
      <c r="T1388" s="66"/>
      <c r="U1388" s="66"/>
      <c r="V1388" s="66"/>
    </row>
    <row r="1389" spans="1:22" s="64" customFormat="1" x14ac:dyDescent="0.25">
      <c r="A1389" s="65" t="s">
        <v>1433</v>
      </c>
      <c r="B1389" s="511" t="s">
        <v>1508</v>
      </c>
      <c r="C1389" s="511"/>
      <c r="D1389" s="511"/>
      <c r="E1389" s="61" t="s">
        <v>1435</v>
      </c>
      <c r="F1389" s="61" t="s">
        <v>54</v>
      </c>
      <c r="G1389" s="61" t="s">
        <v>55</v>
      </c>
      <c r="H1389" s="61"/>
      <c r="I1389" s="61" t="s">
        <v>1366</v>
      </c>
      <c r="J1389" s="62">
        <v>900</v>
      </c>
      <c r="K1389" s="62">
        <v>1000</v>
      </c>
      <c r="L1389" s="62">
        <v>1000</v>
      </c>
      <c r="M1389" s="232">
        <v>1270</v>
      </c>
      <c r="N1389" s="55" t="s">
        <v>1593</v>
      </c>
      <c r="O1389" s="61" t="s">
        <v>52</v>
      </c>
      <c r="P1389" s="200"/>
      <c r="Q1389" s="200"/>
      <c r="R1389" s="200"/>
      <c r="S1389" s="200"/>
      <c r="T1389" s="66"/>
      <c r="U1389" s="66"/>
      <c r="V1389" s="66"/>
    </row>
    <row r="1390" spans="1:22" s="64" customFormat="1" x14ac:dyDescent="0.25">
      <c r="A1390" s="65" t="s">
        <v>1433</v>
      </c>
      <c r="B1390" s="511" t="s">
        <v>1508</v>
      </c>
      <c r="C1390" s="511"/>
      <c r="D1390" s="511"/>
      <c r="E1390" s="61" t="s">
        <v>1435</v>
      </c>
      <c r="F1390" s="61" t="s">
        <v>389</v>
      </c>
      <c r="G1390" s="61" t="s">
        <v>55</v>
      </c>
      <c r="H1390" s="61"/>
      <c r="I1390" s="61" t="s">
        <v>1366</v>
      </c>
      <c r="J1390" s="62">
        <v>900</v>
      </c>
      <c r="K1390" s="62">
        <v>1000</v>
      </c>
      <c r="L1390" s="62">
        <v>1000</v>
      </c>
      <c r="M1390" s="232">
        <v>1270</v>
      </c>
      <c r="N1390" s="55" t="s">
        <v>1593</v>
      </c>
      <c r="O1390" s="61" t="s">
        <v>52</v>
      </c>
      <c r="P1390" s="200"/>
      <c r="Q1390" s="200"/>
      <c r="R1390" s="200"/>
      <c r="S1390" s="200"/>
      <c r="T1390" s="66"/>
      <c r="U1390" s="66"/>
      <c r="V1390" s="66"/>
    </row>
    <row r="1391" spans="1:22" s="64" customFormat="1" x14ac:dyDescent="0.25">
      <c r="A1391" s="65" t="s">
        <v>1433</v>
      </c>
      <c r="B1391" s="511" t="s">
        <v>1509</v>
      </c>
      <c r="C1391" s="511"/>
      <c r="D1391" s="511"/>
      <c r="E1391" s="61" t="s">
        <v>1435</v>
      </c>
      <c r="F1391" s="61" t="s">
        <v>54</v>
      </c>
      <c r="G1391" s="61" t="s">
        <v>55</v>
      </c>
      <c r="H1391" s="61"/>
      <c r="I1391" s="61" t="s">
        <v>1366</v>
      </c>
      <c r="J1391" s="62">
        <v>315</v>
      </c>
      <c r="K1391" s="62">
        <v>350</v>
      </c>
      <c r="L1391" s="62">
        <v>350</v>
      </c>
      <c r="M1391" s="232">
        <v>445</v>
      </c>
      <c r="N1391" s="55" t="s">
        <v>1593</v>
      </c>
      <c r="O1391" s="61" t="s">
        <v>52</v>
      </c>
      <c r="P1391" s="200"/>
      <c r="Q1391" s="200"/>
      <c r="R1391" s="200"/>
      <c r="S1391" s="200"/>
      <c r="T1391" s="66"/>
      <c r="U1391" s="66"/>
      <c r="V1391" s="66"/>
    </row>
    <row r="1392" spans="1:22" s="64" customFormat="1" x14ac:dyDescent="0.25">
      <c r="A1392" s="65" t="s">
        <v>1433</v>
      </c>
      <c r="B1392" s="511" t="s">
        <v>1509</v>
      </c>
      <c r="C1392" s="511"/>
      <c r="D1392" s="511"/>
      <c r="E1392" s="61" t="s">
        <v>1435</v>
      </c>
      <c r="F1392" s="61" t="s">
        <v>389</v>
      </c>
      <c r="G1392" s="61" t="s">
        <v>55</v>
      </c>
      <c r="H1392" s="61"/>
      <c r="I1392" s="61" t="s">
        <v>1366</v>
      </c>
      <c r="J1392" s="62">
        <v>315</v>
      </c>
      <c r="K1392" s="62">
        <v>350</v>
      </c>
      <c r="L1392" s="62">
        <v>350</v>
      </c>
      <c r="M1392" s="232">
        <v>445</v>
      </c>
      <c r="N1392" s="55" t="s">
        <v>1593</v>
      </c>
      <c r="O1392" s="61" t="s">
        <v>52</v>
      </c>
      <c r="P1392" s="200"/>
      <c r="Q1392" s="200"/>
      <c r="R1392" s="200"/>
      <c r="S1392" s="200"/>
      <c r="T1392" s="66"/>
      <c r="U1392" s="66"/>
      <c r="V1392" s="66"/>
    </row>
    <row r="1393" spans="1:22" s="64" customFormat="1" x14ac:dyDescent="0.25">
      <c r="A1393" s="65" t="s">
        <v>1433</v>
      </c>
      <c r="B1393" s="511" t="s">
        <v>1510</v>
      </c>
      <c r="C1393" s="511"/>
      <c r="D1393" s="511"/>
      <c r="E1393" s="61" t="s">
        <v>1435</v>
      </c>
      <c r="F1393" s="61" t="s">
        <v>54</v>
      </c>
      <c r="G1393" s="61" t="s">
        <v>55</v>
      </c>
      <c r="H1393" s="61"/>
      <c r="I1393" s="61" t="s">
        <v>1366</v>
      </c>
      <c r="J1393" s="62">
        <v>315</v>
      </c>
      <c r="K1393" s="62">
        <v>350</v>
      </c>
      <c r="L1393" s="62">
        <v>350</v>
      </c>
      <c r="M1393" s="232">
        <v>445</v>
      </c>
      <c r="N1393" s="55" t="s">
        <v>1593</v>
      </c>
      <c r="O1393" s="61" t="s">
        <v>52</v>
      </c>
      <c r="P1393" s="200"/>
      <c r="Q1393" s="200"/>
      <c r="R1393" s="200"/>
      <c r="S1393" s="200"/>
      <c r="T1393" s="66"/>
      <c r="U1393" s="66"/>
      <c r="V1393" s="66"/>
    </row>
    <row r="1394" spans="1:22" s="64" customFormat="1" x14ac:dyDescent="0.25">
      <c r="A1394" s="65" t="s">
        <v>1433</v>
      </c>
      <c r="B1394" s="511" t="s">
        <v>1510</v>
      </c>
      <c r="C1394" s="511"/>
      <c r="D1394" s="511"/>
      <c r="E1394" s="61" t="s">
        <v>1435</v>
      </c>
      <c r="F1394" s="61" t="s">
        <v>389</v>
      </c>
      <c r="G1394" s="61" t="s">
        <v>55</v>
      </c>
      <c r="H1394" s="61"/>
      <c r="I1394" s="61" t="s">
        <v>1366</v>
      </c>
      <c r="J1394" s="62">
        <v>315</v>
      </c>
      <c r="K1394" s="62">
        <v>350</v>
      </c>
      <c r="L1394" s="62">
        <v>350</v>
      </c>
      <c r="M1394" s="232">
        <v>445</v>
      </c>
      <c r="N1394" s="55" t="s">
        <v>1593</v>
      </c>
      <c r="O1394" s="61" t="s">
        <v>52</v>
      </c>
      <c r="P1394" s="200"/>
      <c r="Q1394" s="200"/>
      <c r="R1394" s="200"/>
      <c r="S1394" s="200"/>
      <c r="T1394" s="66"/>
      <c r="U1394" s="66"/>
      <c r="V1394" s="66"/>
    </row>
    <row r="1395" spans="1:22" s="64" customFormat="1" x14ac:dyDescent="0.25">
      <c r="A1395" s="65" t="s">
        <v>1433</v>
      </c>
      <c r="B1395" s="511" t="s">
        <v>1510</v>
      </c>
      <c r="C1395" s="511"/>
      <c r="D1395" s="511"/>
      <c r="E1395" s="61" t="s">
        <v>1437</v>
      </c>
      <c r="F1395" s="61" t="s">
        <v>56</v>
      </c>
      <c r="G1395" s="61" t="s">
        <v>55</v>
      </c>
      <c r="H1395" s="61"/>
      <c r="I1395" s="61" t="s">
        <v>1366</v>
      </c>
      <c r="J1395" s="62">
        <v>475</v>
      </c>
      <c r="K1395" s="62">
        <v>645</v>
      </c>
      <c r="L1395" s="62">
        <v>645</v>
      </c>
      <c r="M1395" s="232"/>
      <c r="N1395" s="55" t="s">
        <v>1593</v>
      </c>
      <c r="O1395" s="61" t="s">
        <v>52</v>
      </c>
      <c r="P1395" s="200"/>
      <c r="Q1395" s="200"/>
      <c r="R1395" s="200"/>
      <c r="S1395" s="200"/>
      <c r="T1395" s="66"/>
      <c r="U1395" s="66"/>
      <c r="V1395" s="66"/>
    </row>
    <row r="1396" spans="1:22" s="64" customFormat="1" x14ac:dyDescent="0.25">
      <c r="A1396" s="65" t="s">
        <v>1433</v>
      </c>
      <c r="B1396" s="511" t="s">
        <v>1511</v>
      </c>
      <c r="C1396" s="511"/>
      <c r="D1396" s="511"/>
      <c r="E1396" s="61" t="s">
        <v>1437</v>
      </c>
      <c r="F1396" s="61" t="s">
        <v>54</v>
      </c>
      <c r="G1396" s="61" t="s">
        <v>55</v>
      </c>
      <c r="H1396" s="61"/>
      <c r="I1396" s="61" t="s">
        <v>1366</v>
      </c>
      <c r="J1396" s="62">
        <v>135</v>
      </c>
      <c r="K1396" s="62">
        <v>150</v>
      </c>
      <c r="L1396" s="62">
        <v>150</v>
      </c>
      <c r="M1396" s="232">
        <v>190</v>
      </c>
      <c r="N1396" s="55" t="s">
        <v>1593</v>
      </c>
      <c r="O1396" s="61" t="s">
        <v>52</v>
      </c>
      <c r="P1396" s="200"/>
      <c r="Q1396" s="200"/>
      <c r="R1396" s="200"/>
      <c r="S1396" s="200"/>
      <c r="T1396" s="66"/>
      <c r="U1396" s="66"/>
      <c r="V1396" s="66"/>
    </row>
    <row r="1397" spans="1:22" s="64" customFormat="1" x14ac:dyDescent="0.25">
      <c r="A1397" s="65" t="s">
        <v>1433</v>
      </c>
      <c r="B1397" s="511" t="s">
        <v>1511</v>
      </c>
      <c r="C1397" s="511"/>
      <c r="D1397" s="511"/>
      <c r="E1397" s="61" t="s">
        <v>1437</v>
      </c>
      <c r="F1397" s="61" t="s">
        <v>389</v>
      </c>
      <c r="G1397" s="61" t="s">
        <v>55</v>
      </c>
      <c r="H1397" s="61"/>
      <c r="I1397" s="61" t="s">
        <v>1366</v>
      </c>
      <c r="J1397" s="62">
        <v>135</v>
      </c>
      <c r="K1397" s="62">
        <v>150</v>
      </c>
      <c r="L1397" s="62">
        <v>150</v>
      </c>
      <c r="M1397" s="232">
        <v>190</v>
      </c>
      <c r="N1397" s="55" t="s">
        <v>1593</v>
      </c>
      <c r="O1397" s="61" t="s">
        <v>52</v>
      </c>
      <c r="P1397" s="200"/>
      <c r="Q1397" s="200"/>
      <c r="R1397" s="200"/>
      <c r="S1397" s="200"/>
      <c r="T1397" s="66"/>
      <c r="U1397" s="66"/>
      <c r="V1397" s="66"/>
    </row>
    <row r="1398" spans="1:22" s="64" customFormat="1" x14ac:dyDescent="0.25">
      <c r="A1398" s="65" t="s">
        <v>1433</v>
      </c>
      <c r="B1398" s="511" t="s">
        <v>1512</v>
      </c>
      <c r="C1398" s="511"/>
      <c r="D1398" s="511"/>
      <c r="E1398" s="61" t="s">
        <v>1435</v>
      </c>
      <c r="F1398" s="61" t="s">
        <v>54</v>
      </c>
      <c r="G1398" s="61" t="s">
        <v>55</v>
      </c>
      <c r="H1398" s="61"/>
      <c r="I1398" s="61" t="s">
        <v>1366</v>
      </c>
      <c r="J1398" s="62">
        <v>225</v>
      </c>
      <c r="K1398" s="62">
        <v>250</v>
      </c>
      <c r="L1398" s="62">
        <v>250</v>
      </c>
      <c r="M1398" s="232">
        <v>320</v>
      </c>
      <c r="N1398" s="55" t="s">
        <v>1593</v>
      </c>
      <c r="O1398" s="61" t="s">
        <v>52</v>
      </c>
      <c r="P1398" s="200"/>
      <c r="Q1398" s="200"/>
      <c r="R1398" s="200"/>
      <c r="S1398" s="200"/>
      <c r="T1398" s="66"/>
      <c r="U1398" s="66"/>
      <c r="V1398" s="66"/>
    </row>
    <row r="1399" spans="1:22" s="64" customFormat="1" x14ac:dyDescent="0.25">
      <c r="A1399" s="65" t="s">
        <v>1433</v>
      </c>
      <c r="B1399" s="511" t="s">
        <v>1512</v>
      </c>
      <c r="C1399" s="511"/>
      <c r="D1399" s="511"/>
      <c r="E1399" s="61" t="s">
        <v>1435</v>
      </c>
      <c r="F1399" s="61" t="s">
        <v>389</v>
      </c>
      <c r="G1399" s="61" t="s">
        <v>55</v>
      </c>
      <c r="H1399" s="61"/>
      <c r="I1399" s="61" t="s">
        <v>1366</v>
      </c>
      <c r="J1399" s="62">
        <v>225</v>
      </c>
      <c r="K1399" s="62">
        <v>250</v>
      </c>
      <c r="L1399" s="62">
        <v>250</v>
      </c>
      <c r="M1399" s="232">
        <v>320</v>
      </c>
      <c r="N1399" s="55" t="s">
        <v>1593</v>
      </c>
      <c r="O1399" s="61" t="s">
        <v>52</v>
      </c>
      <c r="P1399" s="200"/>
      <c r="Q1399" s="200"/>
      <c r="R1399" s="200"/>
      <c r="S1399" s="200"/>
      <c r="T1399" s="66"/>
      <c r="U1399" s="66"/>
      <c r="V1399" s="66"/>
    </row>
    <row r="1400" spans="1:22" s="64" customFormat="1" x14ac:dyDescent="0.25">
      <c r="A1400" s="65" t="s">
        <v>1433</v>
      </c>
      <c r="B1400" s="511" t="s">
        <v>1513</v>
      </c>
      <c r="C1400" s="511"/>
      <c r="D1400" s="511"/>
      <c r="E1400" s="61" t="s">
        <v>1437</v>
      </c>
      <c r="F1400" s="61" t="s">
        <v>54</v>
      </c>
      <c r="G1400" s="61" t="s">
        <v>55</v>
      </c>
      <c r="H1400" s="61"/>
      <c r="I1400" s="61" t="s">
        <v>1366</v>
      </c>
      <c r="J1400" s="62">
        <v>450</v>
      </c>
      <c r="K1400" s="62">
        <v>500</v>
      </c>
      <c r="L1400" s="62">
        <v>500</v>
      </c>
      <c r="M1400" s="232">
        <v>635</v>
      </c>
      <c r="N1400" s="55" t="s">
        <v>1593</v>
      </c>
      <c r="O1400" s="61" t="s">
        <v>52</v>
      </c>
      <c r="P1400" s="200"/>
      <c r="Q1400" s="200"/>
      <c r="R1400" s="200"/>
      <c r="S1400" s="200"/>
      <c r="T1400" s="66"/>
      <c r="U1400" s="66"/>
      <c r="V1400" s="66"/>
    </row>
    <row r="1401" spans="1:22" s="64" customFormat="1" x14ac:dyDescent="0.25">
      <c r="A1401" s="65" t="s">
        <v>1433</v>
      </c>
      <c r="B1401" s="511" t="s">
        <v>1513</v>
      </c>
      <c r="C1401" s="511"/>
      <c r="D1401" s="511"/>
      <c r="E1401" s="61" t="s">
        <v>1437</v>
      </c>
      <c r="F1401" s="61" t="s">
        <v>389</v>
      </c>
      <c r="G1401" s="61" t="s">
        <v>55</v>
      </c>
      <c r="H1401" s="61"/>
      <c r="I1401" s="61" t="s">
        <v>1366</v>
      </c>
      <c r="J1401" s="62">
        <v>450</v>
      </c>
      <c r="K1401" s="62">
        <v>500</v>
      </c>
      <c r="L1401" s="62">
        <v>500</v>
      </c>
      <c r="M1401" s="232">
        <v>635</v>
      </c>
      <c r="N1401" s="55" t="s">
        <v>1593</v>
      </c>
      <c r="O1401" s="61" t="s">
        <v>52</v>
      </c>
      <c r="P1401" s="200"/>
      <c r="Q1401" s="200"/>
      <c r="R1401" s="200"/>
      <c r="S1401" s="200"/>
      <c r="T1401" s="66"/>
      <c r="U1401" s="66"/>
      <c r="V1401" s="66"/>
    </row>
    <row r="1402" spans="1:22" s="64" customFormat="1" x14ac:dyDescent="0.25">
      <c r="A1402" s="65" t="s">
        <v>1433</v>
      </c>
      <c r="B1402" s="511" t="s">
        <v>1513</v>
      </c>
      <c r="C1402" s="511"/>
      <c r="D1402" s="511"/>
      <c r="E1402" s="61" t="s">
        <v>1437</v>
      </c>
      <c r="F1402" s="61" t="s">
        <v>56</v>
      </c>
      <c r="G1402" s="61" t="s">
        <v>55</v>
      </c>
      <c r="H1402" s="61"/>
      <c r="I1402" s="61" t="s">
        <v>1366</v>
      </c>
      <c r="J1402" s="62">
        <v>135</v>
      </c>
      <c r="K1402" s="62">
        <v>475</v>
      </c>
      <c r="L1402" s="62">
        <v>475</v>
      </c>
      <c r="M1402" s="232">
        <v>405</v>
      </c>
      <c r="N1402" s="55" t="s">
        <v>1593</v>
      </c>
      <c r="O1402" s="61" t="s">
        <v>52</v>
      </c>
      <c r="P1402" s="200"/>
      <c r="Q1402" s="200"/>
      <c r="R1402" s="200"/>
      <c r="S1402" s="200"/>
      <c r="T1402" s="66"/>
      <c r="U1402" s="66"/>
      <c r="V1402" s="66"/>
    </row>
    <row r="1403" spans="1:22" s="64" customFormat="1" x14ac:dyDescent="0.25">
      <c r="A1403" s="65" t="s">
        <v>1433</v>
      </c>
      <c r="B1403" s="511" t="s">
        <v>1514</v>
      </c>
      <c r="C1403" s="511"/>
      <c r="D1403" s="511"/>
      <c r="E1403" s="61" t="s">
        <v>1437</v>
      </c>
      <c r="F1403" s="61" t="s">
        <v>54</v>
      </c>
      <c r="G1403" s="61" t="s">
        <v>55</v>
      </c>
      <c r="H1403" s="61"/>
      <c r="I1403" s="61" t="s">
        <v>1366</v>
      </c>
      <c r="J1403" s="62">
        <v>180</v>
      </c>
      <c r="K1403" s="62">
        <v>200</v>
      </c>
      <c r="L1403" s="62">
        <v>200</v>
      </c>
      <c r="M1403" s="232">
        <v>255</v>
      </c>
      <c r="N1403" s="55" t="s">
        <v>1593</v>
      </c>
      <c r="O1403" s="61" t="s">
        <v>52</v>
      </c>
      <c r="P1403" s="200"/>
      <c r="Q1403" s="200"/>
      <c r="R1403" s="200"/>
      <c r="S1403" s="200"/>
      <c r="T1403" s="66"/>
      <c r="U1403" s="66"/>
      <c r="V1403" s="66"/>
    </row>
    <row r="1404" spans="1:22" s="64" customFormat="1" x14ac:dyDescent="0.25">
      <c r="A1404" s="65" t="s">
        <v>1433</v>
      </c>
      <c r="B1404" s="511" t="s">
        <v>1514</v>
      </c>
      <c r="C1404" s="511"/>
      <c r="D1404" s="511"/>
      <c r="E1404" s="61" t="s">
        <v>1437</v>
      </c>
      <c r="F1404" s="61" t="s">
        <v>389</v>
      </c>
      <c r="G1404" s="61" t="s">
        <v>55</v>
      </c>
      <c r="H1404" s="61"/>
      <c r="I1404" s="61" t="s">
        <v>1366</v>
      </c>
      <c r="J1404" s="62">
        <v>180</v>
      </c>
      <c r="K1404" s="62">
        <v>200</v>
      </c>
      <c r="L1404" s="62">
        <v>200</v>
      </c>
      <c r="M1404" s="232">
        <v>255</v>
      </c>
      <c r="N1404" s="55" t="s">
        <v>1593</v>
      </c>
      <c r="O1404" s="61" t="s">
        <v>52</v>
      </c>
      <c r="P1404" s="200"/>
      <c r="Q1404" s="200"/>
      <c r="R1404" s="200"/>
      <c r="S1404" s="200"/>
      <c r="T1404" s="66"/>
      <c r="U1404" s="66"/>
      <c r="V1404" s="66"/>
    </row>
    <row r="1405" spans="1:22" s="64" customFormat="1" x14ac:dyDescent="0.25">
      <c r="A1405" s="65" t="s">
        <v>1433</v>
      </c>
      <c r="B1405" s="511" t="s">
        <v>1515</v>
      </c>
      <c r="C1405" s="511"/>
      <c r="D1405" s="511"/>
      <c r="E1405" s="61" t="s">
        <v>1447</v>
      </c>
      <c r="F1405" s="61" t="s">
        <v>54</v>
      </c>
      <c r="G1405" s="61" t="s">
        <v>55</v>
      </c>
      <c r="H1405" s="61"/>
      <c r="I1405" s="61" t="s">
        <v>1366</v>
      </c>
      <c r="J1405" s="62">
        <v>135</v>
      </c>
      <c r="K1405" s="62">
        <v>150</v>
      </c>
      <c r="L1405" s="62">
        <v>150</v>
      </c>
      <c r="M1405" s="232">
        <v>190</v>
      </c>
      <c r="N1405" s="55" t="s">
        <v>1593</v>
      </c>
      <c r="O1405" s="61" t="s">
        <v>52</v>
      </c>
      <c r="P1405" s="200"/>
      <c r="Q1405" s="200"/>
      <c r="R1405" s="200"/>
      <c r="S1405" s="200"/>
      <c r="T1405" s="66"/>
      <c r="U1405" s="66"/>
      <c r="V1405" s="66"/>
    </row>
    <row r="1406" spans="1:22" s="64" customFormat="1" x14ac:dyDescent="0.25">
      <c r="A1406" s="65" t="s">
        <v>1433</v>
      </c>
      <c r="B1406" s="511" t="s">
        <v>1515</v>
      </c>
      <c r="C1406" s="511"/>
      <c r="D1406" s="511"/>
      <c r="E1406" s="61" t="s">
        <v>1447</v>
      </c>
      <c r="F1406" s="61" t="s">
        <v>389</v>
      </c>
      <c r="G1406" s="61" t="s">
        <v>55</v>
      </c>
      <c r="H1406" s="61"/>
      <c r="I1406" s="61" t="s">
        <v>1366</v>
      </c>
      <c r="J1406" s="62">
        <v>135</v>
      </c>
      <c r="K1406" s="62">
        <v>150</v>
      </c>
      <c r="L1406" s="62">
        <v>150</v>
      </c>
      <c r="M1406" s="232">
        <v>190</v>
      </c>
      <c r="N1406" s="55" t="s">
        <v>1593</v>
      </c>
      <c r="O1406" s="61" t="s">
        <v>52</v>
      </c>
      <c r="P1406" s="200"/>
      <c r="Q1406" s="200"/>
      <c r="R1406" s="200"/>
      <c r="S1406" s="200"/>
      <c r="T1406" s="66"/>
      <c r="U1406" s="66"/>
      <c r="V1406" s="66"/>
    </row>
    <row r="1407" spans="1:22" s="64" customFormat="1" x14ac:dyDescent="0.25">
      <c r="A1407" s="65" t="s">
        <v>1433</v>
      </c>
      <c r="B1407" s="511" t="s">
        <v>1517</v>
      </c>
      <c r="C1407" s="511"/>
      <c r="D1407" s="511"/>
      <c r="E1407" s="61" t="s">
        <v>1435</v>
      </c>
      <c r="F1407" s="61" t="s">
        <v>54</v>
      </c>
      <c r="G1407" s="61" t="s">
        <v>55</v>
      </c>
      <c r="H1407" s="61"/>
      <c r="I1407" s="61" t="s">
        <v>1366</v>
      </c>
      <c r="J1407" s="62">
        <v>225</v>
      </c>
      <c r="K1407" s="62">
        <v>250</v>
      </c>
      <c r="L1407" s="62">
        <v>250</v>
      </c>
      <c r="M1407" s="232">
        <v>320</v>
      </c>
      <c r="N1407" s="55" t="s">
        <v>1593</v>
      </c>
      <c r="O1407" s="61" t="s">
        <v>52</v>
      </c>
      <c r="P1407" s="200"/>
      <c r="Q1407" s="200"/>
      <c r="R1407" s="200"/>
      <c r="S1407" s="200"/>
      <c r="T1407" s="66"/>
      <c r="U1407" s="66"/>
      <c r="V1407" s="66"/>
    </row>
    <row r="1408" spans="1:22" s="64" customFormat="1" x14ac:dyDescent="0.25">
      <c r="A1408" s="65" t="s">
        <v>1433</v>
      </c>
      <c r="B1408" s="511" t="s">
        <v>1517</v>
      </c>
      <c r="C1408" s="511"/>
      <c r="D1408" s="511"/>
      <c r="E1408" s="61" t="s">
        <v>1435</v>
      </c>
      <c r="F1408" s="61" t="s">
        <v>389</v>
      </c>
      <c r="G1408" s="61" t="s">
        <v>55</v>
      </c>
      <c r="H1408" s="61"/>
      <c r="I1408" s="61" t="s">
        <v>1366</v>
      </c>
      <c r="J1408" s="62">
        <v>225</v>
      </c>
      <c r="K1408" s="62">
        <v>250</v>
      </c>
      <c r="L1408" s="62">
        <v>250</v>
      </c>
      <c r="M1408" s="232">
        <v>320</v>
      </c>
      <c r="N1408" s="55" t="s">
        <v>1593</v>
      </c>
      <c r="O1408" s="61" t="s">
        <v>52</v>
      </c>
      <c r="P1408" s="200"/>
      <c r="Q1408" s="200"/>
      <c r="R1408" s="200"/>
      <c r="S1408" s="200"/>
      <c r="T1408" s="66"/>
      <c r="U1408" s="66"/>
      <c r="V1408" s="66"/>
    </row>
    <row r="1409" spans="1:22" s="64" customFormat="1" x14ac:dyDescent="0.25">
      <c r="A1409" s="65" t="s">
        <v>1433</v>
      </c>
      <c r="B1409" s="511" t="s">
        <v>1518</v>
      </c>
      <c r="C1409" s="511"/>
      <c r="D1409" s="511"/>
      <c r="E1409" s="61" t="s">
        <v>1437</v>
      </c>
      <c r="F1409" s="61" t="s">
        <v>54</v>
      </c>
      <c r="G1409" s="61" t="s">
        <v>55</v>
      </c>
      <c r="H1409" s="61"/>
      <c r="I1409" s="61" t="s">
        <v>1366</v>
      </c>
      <c r="J1409" s="62">
        <v>180</v>
      </c>
      <c r="K1409" s="62">
        <v>200</v>
      </c>
      <c r="L1409" s="62">
        <v>200</v>
      </c>
      <c r="M1409" s="232">
        <v>255</v>
      </c>
      <c r="N1409" s="55" t="s">
        <v>1593</v>
      </c>
      <c r="O1409" s="61" t="s">
        <v>52</v>
      </c>
      <c r="P1409" s="200"/>
      <c r="Q1409" s="200"/>
      <c r="R1409" s="200"/>
      <c r="S1409" s="200"/>
      <c r="T1409" s="66"/>
      <c r="U1409" s="66"/>
      <c r="V1409" s="66"/>
    </row>
    <row r="1410" spans="1:22" s="64" customFormat="1" x14ac:dyDescent="0.25">
      <c r="A1410" s="65" t="s">
        <v>1433</v>
      </c>
      <c r="B1410" s="511" t="s">
        <v>1518</v>
      </c>
      <c r="C1410" s="511"/>
      <c r="D1410" s="511"/>
      <c r="E1410" s="61" t="s">
        <v>1437</v>
      </c>
      <c r="F1410" s="61" t="s">
        <v>389</v>
      </c>
      <c r="G1410" s="61" t="s">
        <v>55</v>
      </c>
      <c r="H1410" s="61"/>
      <c r="I1410" s="61" t="s">
        <v>1366</v>
      </c>
      <c r="J1410" s="62">
        <v>180</v>
      </c>
      <c r="K1410" s="62">
        <v>200</v>
      </c>
      <c r="L1410" s="62">
        <v>200</v>
      </c>
      <c r="M1410" s="232">
        <v>255</v>
      </c>
      <c r="N1410" s="55" t="s">
        <v>1593</v>
      </c>
      <c r="O1410" s="61" t="s">
        <v>52</v>
      </c>
      <c r="P1410" s="200"/>
      <c r="Q1410" s="200"/>
      <c r="R1410" s="200"/>
      <c r="S1410" s="200"/>
      <c r="T1410" s="66"/>
      <c r="U1410" s="66"/>
      <c r="V1410" s="66"/>
    </row>
    <row r="1411" spans="1:22" s="64" customFormat="1" x14ac:dyDescent="0.25">
      <c r="A1411" s="65" t="s">
        <v>1433</v>
      </c>
      <c r="B1411" s="511" t="s">
        <v>1519</v>
      </c>
      <c r="C1411" s="511"/>
      <c r="D1411" s="511"/>
      <c r="E1411" s="61" t="s">
        <v>1437</v>
      </c>
      <c r="F1411" s="61" t="s">
        <v>54</v>
      </c>
      <c r="G1411" s="61" t="s">
        <v>55</v>
      </c>
      <c r="H1411" s="61"/>
      <c r="I1411" s="61" t="s">
        <v>1366</v>
      </c>
      <c r="J1411" s="62">
        <v>225</v>
      </c>
      <c r="K1411" s="62">
        <v>250</v>
      </c>
      <c r="L1411" s="62">
        <v>250</v>
      </c>
      <c r="M1411" s="232">
        <v>320</v>
      </c>
      <c r="N1411" s="55" t="s">
        <v>1593</v>
      </c>
      <c r="O1411" s="61" t="s">
        <v>52</v>
      </c>
      <c r="P1411" s="200"/>
      <c r="Q1411" s="200"/>
      <c r="R1411" s="200"/>
      <c r="S1411" s="200"/>
      <c r="T1411" s="66"/>
      <c r="U1411" s="66"/>
      <c r="V1411" s="66"/>
    </row>
    <row r="1412" spans="1:22" s="64" customFormat="1" x14ac:dyDescent="0.25">
      <c r="A1412" s="65" t="s">
        <v>1433</v>
      </c>
      <c r="B1412" s="511" t="s">
        <v>1519</v>
      </c>
      <c r="C1412" s="511"/>
      <c r="D1412" s="511"/>
      <c r="E1412" s="61" t="s">
        <v>1437</v>
      </c>
      <c r="F1412" s="61" t="s">
        <v>389</v>
      </c>
      <c r="G1412" s="61" t="s">
        <v>55</v>
      </c>
      <c r="H1412" s="61"/>
      <c r="I1412" s="61" t="s">
        <v>1366</v>
      </c>
      <c r="J1412" s="62">
        <v>225</v>
      </c>
      <c r="K1412" s="62">
        <v>250</v>
      </c>
      <c r="L1412" s="62">
        <v>250</v>
      </c>
      <c r="M1412" s="232">
        <v>320</v>
      </c>
      <c r="N1412" s="55" t="s">
        <v>1593</v>
      </c>
      <c r="O1412" s="61" t="s">
        <v>52</v>
      </c>
      <c r="P1412" s="200"/>
      <c r="Q1412" s="200"/>
      <c r="R1412" s="200"/>
      <c r="S1412" s="200"/>
      <c r="T1412" s="66"/>
      <c r="U1412" s="66"/>
      <c r="V1412" s="66"/>
    </row>
    <row r="1413" spans="1:22" s="64" customFormat="1" x14ac:dyDescent="0.25">
      <c r="A1413" s="65" t="s">
        <v>1433</v>
      </c>
      <c r="B1413" s="511" t="s">
        <v>1520</v>
      </c>
      <c r="C1413" s="511"/>
      <c r="D1413" s="511"/>
      <c r="E1413" s="61" t="s">
        <v>1447</v>
      </c>
      <c r="F1413" s="61" t="s">
        <v>56</v>
      </c>
      <c r="G1413" s="61" t="s">
        <v>55</v>
      </c>
      <c r="H1413" s="61"/>
      <c r="I1413" s="61" t="s">
        <v>1366</v>
      </c>
      <c r="J1413" s="62">
        <v>620</v>
      </c>
      <c r="K1413" s="62">
        <v>740</v>
      </c>
      <c r="L1413" s="62">
        <v>740</v>
      </c>
      <c r="M1413" s="232"/>
      <c r="N1413" s="55" t="s">
        <v>1593</v>
      </c>
      <c r="O1413" s="61" t="s">
        <v>52</v>
      </c>
      <c r="P1413" s="200"/>
      <c r="Q1413" s="200"/>
      <c r="R1413" s="200"/>
      <c r="S1413" s="200"/>
      <c r="T1413" s="66"/>
      <c r="U1413" s="66"/>
      <c r="V1413" s="66"/>
    </row>
    <row r="1414" spans="1:22" s="64" customFormat="1" x14ac:dyDescent="0.25">
      <c r="A1414" s="65" t="s">
        <v>1433</v>
      </c>
      <c r="B1414" s="511" t="s">
        <v>1521</v>
      </c>
      <c r="C1414" s="511"/>
      <c r="D1414" s="511"/>
      <c r="E1414" s="61" t="s">
        <v>1437</v>
      </c>
      <c r="F1414" s="61" t="s">
        <v>56</v>
      </c>
      <c r="G1414" s="61" t="s">
        <v>55</v>
      </c>
      <c r="H1414" s="61"/>
      <c r="I1414" s="61" t="s">
        <v>1366</v>
      </c>
      <c r="J1414" s="62">
        <v>400</v>
      </c>
      <c r="K1414" s="62">
        <v>475</v>
      </c>
      <c r="L1414" s="62">
        <v>475</v>
      </c>
      <c r="M1414" s="232"/>
      <c r="N1414" s="55" t="s">
        <v>1593</v>
      </c>
      <c r="O1414" s="61" t="s">
        <v>52</v>
      </c>
      <c r="P1414" s="200"/>
      <c r="Q1414" s="200"/>
      <c r="R1414" s="200"/>
      <c r="S1414" s="200"/>
      <c r="T1414" s="66"/>
      <c r="U1414" s="66"/>
      <c r="V1414" s="66"/>
    </row>
    <row r="1415" spans="1:22" s="64" customFormat="1" x14ac:dyDescent="0.25">
      <c r="A1415" s="65" t="s">
        <v>1412</v>
      </c>
      <c r="B1415" s="511" t="s">
        <v>1438</v>
      </c>
      <c r="C1415" s="511"/>
      <c r="D1415" s="511"/>
      <c r="E1415" s="61" t="s">
        <v>1437</v>
      </c>
      <c r="F1415" s="61" t="s">
        <v>54</v>
      </c>
      <c r="G1415" s="61" t="s">
        <v>55</v>
      </c>
      <c r="H1415" s="61"/>
      <c r="I1415" s="61" t="s">
        <v>1366</v>
      </c>
      <c r="J1415" s="62">
        <v>180</v>
      </c>
      <c r="K1415" s="62">
        <v>200</v>
      </c>
      <c r="L1415" s="62">
        <v>200</v>
      </c>
      <c r="M1415" s="232">
        <v>255</v>
      </c>
      <c r="N1415" s="55" t="s">
        <v>1593</v>
      </c>
      <c r="O1415" s="61" t="s">
        <v>52</v>
      </c>
      <c r="P1415" s="200"/>
      <c r="Q1415" s="200"/>
      <c r="R1415" s="200"/>
      <c r="S1415" s="200"/>
      <c r="T1415" s="66"/>
      <c r="U1415" s="66"/>
      <c r="V1415" s="66"/>
    </row>
    <row r="1416" spans="1:22" s="64" customFormat="1" x14ac:dyDescent="0.25">
      <c r="A1416" s="65" t="s">
        <v>1522</v>
      </c>
      <c r="B1416" s="511" t="s">
        <v>1523</v>
      </c>
      <c r="C1416" s="511"/>
      <c r="D1416" s="511"/>
      <c r="E1416" s="61" t="s">
        <v>1570</v>
      </c>
      <c r="F1416" s="61" t="s">
        <v>54</v>
      </c>
      <c r="G1416" s="61" t="s">
        <v>55</v>
      </c>
      <c r="H1416" s="61"/>
      <c r="I1416" s="61" t="s">
        <v>1366</v>
      </c>
      <c r="J1416" s="62">
        <v>1080</v>
      </c>
      <c r="K1416" s="62">
        <v>1200</v>
      </c>
      <c r="L1416" s="62">
        <v>1200</v>
      </c>
      <c r="M1416" s="232">
        <v>1525</v>
      </c>
      <c r="N1416" s="55" t="s">
        <v>1593</v>
      </c>
      <c r="O1416" s="61" t="s">
        <v>52</v>
      </c>
      <c r="P1416" s="200"/>
      <c r="Q1416" s="200"/>
      <c r="R1416" s="200"/>
      <c r="S1416" s="200"/>
      <c r="T1416" s="66"/>
      <c r="U1416" s="66"/>
      <c r="V1416" s="66"/>
    </row>
    <row r="1417" spans="1:22" s="64" customFormat="1" x14ac:dyDescent="0.25">
      <c r="A1417" s="65" t="s">
        <v>1522</v>
      </c>
      <c r="B1417" s="511" t="s">
        <v>1524</v>
      </c>
      <c r="C1417" s="511"/>
      <c r="D1417" s="511"/>
      <c r="E1417" s="61" t="s">
        <v>1570</v>
      </c>
      <c r="F1417" s="61" t="s">
        <v>54</v>
      </c>
      <c r="G1417" s="61" t="s">
        <v>55</v>
      </c>
      <c r="H1417" s="61"/>
      <c r="I1417" s="61" t="s">
        <v>1366</v>
      </c>
      <c r="J1417" s="62">
        <v>1035</v>
      </c>
      <c r="K1417" s="62">
        <v>1150</v>
      </c>
      <c r="L1417" s="62">
        <v>1150</v>
      </c>
      <c r="M1417" s="232">
        <v>1460</v>
      </c>
      <c r="N1417" s="55" t="s">
        <v>1593</v>
      </c>
      <c r="O1417" s="61" t="s">
        <v>52</v>
      </c>
      <c r="P1417" s="200"/>
      <c r="Q1417" s="200"/>
      <c r="R1417" s="200"/>
      <c r="S1417" s="200"/>
      <c r="T1417" s="66"/>
      <c r="U1417" s="66"/>
      <c r="V1417" s="66"/>
    </row>
    <row r="1418" spans="1:22" s="64" customFormat="1" x14ac:dyDescent="0.25">
      <c r="A1418" s="65" t="s">
        <v>1522</v>
      </c>
      <c r="B1418" s="511" t="s">
        <v>1525</v>
      </c>
      <c r="C1418" s="511"/>
      <c r="D1418" s="511"/>
      <c r="E1418" s="61" t="s">
        <v>1570</v>
      </c>
      <c r="F1418" s="61" t="s">
        <v>54</v>
      </c>
      <c r="G1418" s="61" t="s">
        <v>55</v>
      </c>
      <c r="H1418" s="61"/>
      <c r="I1418" s="61" t="s">
        <v>1366</v>
      </c>
      <c r="J1418" s="62">
        <v>405</v>
      </c>
      <c r="K1418" s="62">
        <v>450</v>
      </c>
      <c r="L1418" s="62">
        <v>450</v>
      </c>
      <c r="M1418" s="232">
        <v>570</v>
      </c>
      <c r="N1418" s="55" t="s">
        <v>1593</v>
      </c>
      <c r="O1418" s="61" t="s">
        <v>52</v>
      </c>
      <c r="P1418" s="200"/>
      <c r="Q1418" s="200"/>
      <c r="R1418" s="200"/>
      <c r="S1418" s="200"/>
      <c r="T1418" s="66"/>
      <c r="U1418" s="66"/>
      <c r="V1418" s="66"/>
    </row>
    <row r="1419" spans="1:22" s="64" customFormat="1" x14ac:dyDescent="0.25">
      <c r="A1419" s="65" t="s">
        <v>1522</v>
      </c>
      <c r="B1419" s="511" t="s">
        <v>1526</v>
      </c>
      <c r="C1419" s="511"/>
      <c r="D1419" s="511"/>
      <c r="E1419" s="61" t="s">
        <v>1570</v>
      </c>
      <c r="F1419" s="61" t="s">
        <v>54</v>
      </c>
      <c r="G1419" s="61" t="s">
        <v>55</v>
      </c>
      <c r="H1419" s="61"/>
      <c r="I1419" s="61" t="s">
        <v>1366</v>
      </c>
      <c r="J1419" s="62">
        <v>450</v>
      </c>
      <c r="K1419" s="62">
        <v>500</v>
      </c>
      <c r="L1419" s="62">
        <v>500</v>
      </c>
      <c r="M1419" s="232">
        <v>635</v>
      </c>
      <c r="N1419" s="55" t="s">
        <v>1593</v>
      </c>
      <c r="O1419" s="61" t="s">
        <v>52</v>
      </c>
      <c r="P1419" s="200"/>
      <c r="Q1419" s="200"/>
      <c r="R1419" s="200"/>
      <c r="S1419" s="200"/>
      <c r="T1419" s="66"/>
      <c r="U1419" s="66"/>
      <c r="V1419" s="66"/>
    </row>
    <row r="1420" spans="1:22" s="64" customFormat="1" x14ac:dyDescent="0.25">
      <c r="A1420" s="65" t="s">
        <v>1522</v>
      </c>
      <c r="B1420" s="511" t="s">
        <v>1527</v>
      </c>
      <c r="C1420" s="511"/>
      <c r="D1420" s="511"/>
      <c r="E1420" s="61" t="s">
        <v>1570</v>
      </c>
      <c r="F1420" s="61" t="s">
        <v>54</v>
      </c>
      <c r="G1420" s="61" t="s">
        <v>55</v>
      </c>
      <c r="H1420" s="61"/>
      <c r="I1420" s="61" t="s">
        <v>1366</v>
      </c>
      <c r="J1420" s="62">
        <v>1125</v>
      </c>
      <c r="K1420" s="62">
        <v>1250</v>
      </c>
      <c r="L1420" s="62">
        <v>1250</v>
      </c>
      <c r="M1420" s="232">
        <v>1585</v>
      </c>
      <c r="N1420" s="55" t="s">
        <v>1593</v>
      </c>
      <c r="O1420" s="61" t="s">
        <v>52</v>
      </c>
      <c r="P1420" s="200"/>
      <c r="Q1420" s="200"/>
      <c r="R1420" s="200"/>
      <c r="S1420" s="200"/>
      <c r="T1420" s="66"/>
      <c r="U1420" s="66"/>
      <c r="V1420" s="66"/>
    </row>
    <row r="1421" spans="1:22" s="64" customFormat="1" x14ac:dyDescent="0.25">
      <c r="A1421" s="65" t="s">
        <v>1522</v>
      </c>
      <c r="B1421" s="511" t="s">
        <v>1529</v>
      </c>
      <c r="C1421" s="511"/>
      <c r="D1421" s="511"/>
      <c r="E1421" s="61" t="s">
        <v>1570</v>
      </c>
      <c r="F1421" s="61" t="s">
        <v>54</v>
      </c>
      <c r="G1421" s="61" t="s">
        <v>55</v>
      </c>
      <c r="H1421" s="61"/>
      <c r="I1421" s="61" t="s">
        <v>1366</v>
      </c>
      <c r="J1421" s="62">
        <v>0</v>
      </c>
      <c r="K1421" s="62">
        <v>0</v>
      </c>
      <c r="L1421" s="62">
        <v>0</v>
      </c>
      <c r="M1421" s="232">
        <v>0</v>
      </c>
      <c r="N1421" s="55" t="s">
        <v>1593</v>
      </c>
      <c r="O1421" s="61" t="s">
        <v>52</v>
      </c>
      <c r="P1421" s="200"/>
      <c r="Q1421" s="200"/>
      <c r="R1421" s="200"/>
      <c r="S1421" s="200"/>
      <c r="T1421" s="66"/>
      <c r="U1421" s="66"/>
      <c r="V1421" s="66"/>
    </row>
    <row r="1422" spans="1:22" s="64" customFormat="1" x14ac:dyDescent="0.25">
      <c r="A1422" s="65" t="s">
        <v>1522</v>
      </c>
      <c r="B1422" s="511" t="s">
        <v>1530</v>
      </c>
      <c r="C1422" s="511"/>
      <c r="D1422" s="511"/>
      <c r="E1422" s="61" t="s">
        <v>1570</v>
      </c>
      <c r="F1422" s="61" t="s">
        <v>54</v>
      </c>
      <c r="G1422" s="61" t="s">
        <v>55</v>
      </c>
      <c r="H1422" s="61"/>
      <c r="I1422" s="61" t="s">
        <v>1366</v>
      </c>
      <c r="J1422" s="62">
        <v>495</v>
      </c>
      <c r="K1422" s="62">
        <v>550</v>
      </c>
      <c r="L1422" s="62">
        <v>550</v>
      </c>
      <c r="M1422" s="232">
        <v>700</v>
      </c>
      <c r="N1422" s="55" t="s">
        <v>1593</v>
      </c>
      <c r="O1422" s="61" t="s">
        <v>52</v>
      </c>
      <c r="P1422" s="200"/>
      <c r="Q1422" s="200"/>
      <c r="R1422" s="200"/>
      <c r="S1422" s="200"/>
      <c r="T1422" s="66"/>
      <c r="U1422" s="66"/>
      <c r="V1422" s="66"/>
    </row>
    <row r="1423" spans="1:22" s="64" customFormat="1" x14ac:dyDescent="0.25">
      <c r="A1423" s="65" t="s">
        <v>1522</v>
      </c>
      <c r="B1423" s="511" t="s">
        <v>1531</v>
      </c>
      <c r="C1423" s="511"/>
      <c r="D1423" s="511"/>
      <c r="E1423" s="61" t="s">
        <v>1570</v>
      </c>
      <c r="F1423" s="61" t="s">
        <v>54</v>
      </c>
      <c r="G1423" s="61" t="s">
        <v>55</v>
      </c>
      <c r="H1423" s="61"/>
      <c r="I1423" s="61" t="s">
        <v>1366</v>
      </c>
      <c r="J1423" s="62">
        <v>1170</v>
      </c>
      <c r="K1423" s="62">
        <v>1300</v>
      </c>
      <c r="L1423" s="62">
        <v>1300</v>
      </c>
      <c r="M1423" s="232">
        <v>1650</v>
      </c>
      <c r="N1423" s="55" t="s">
        <v>1593</v>
      </c>
      <c r="O1423" s="61" t="s">
        <v>52</v>
      </c>
      <c r="P1423" s="200"/>
      <c r="Q1423" s="200"/>
      <c r="R1423" s="200"/>
      <c r="S1423" s="200"/>
      <c r="T1423" s="66"/>
      <c r="U1423" s="66"/>
      <c r="V1423" s="66"/>
    </row>
    <row r="1424" spans="1:22" s="64" customFormat="1" x14ac:dyDescent="0.25">
      <c r="A1424" s="65" t="s">
        <v>1522</v>
      </c>
      <c r="B1424" s="511" t="s">
        <v>1532</v>
      </c>
      <c r="C1424" s="511"/>
      <c r="D1424" s="511"/>
      <c r="E1424" s="61" t="s">
        <v>1570</v>
      </c>
      <c r="F1424" s="61" t="s">
        <v>54</v>
      </c>
      <c r="G1424" s="61" t="s">
        <v>55</v>
      </c>
      <c r="H1424" s="61"/>
      <c r="I1424" s="61" t="s">
        <v>1366</v>
      </c>
      <c r="J1424" s="62">
        <v>1125</v>
      </c>
      <c r="K1424" s="62">
        <v>1250</v>
      </c>
      <c r="L1424" s="62">
        <v>1250</v>
      </c>
      <c r="M1424" s="232">
        <v>1585</v>
      </c>
      <c r="N1424" s="55" t="s">
        <v>1593</v>
      </c>
      <c r="O1424" s="61" t="s">
        <v>52</v>
      </c>
      <c r="P1424" s="200"/>
      <c r="Q1424" s="200"/>
      <c r="R1424" s="200"/>
      <c r="S1424" s="200"/>
      <c r="T1424" s="66"/>
      <c r="U1424" s="66"/>
      <c r="V1424" s="66"/>
    </row>
    <row r="1425" spans="1:22" s="64" customFormat="1" x14ac:dyDescent="0.25">
      <c r="A1425" s="65" t="s">
        <v>1522</v>
      </c>
      <c r="B1425" s="511" t="s">
        <v>1533</v>
      </c>
      <c r="C1425" s="511"/>
      <c r="D1425" s="511"/>
      <c r="E1425" s="61" t="s">
        <v>1570</v>
      </c>
      <c r="F1425" s="61" t="s">
        <v>54</v>
      </c>
      <c r="G1425" s="61" t="s">
        <v>55</v>
      </c>
      <c r="H1425" s="61"/>
      <c r="I1425" s="61" t="s">
        <v>1366</v>
      </c>
      <c r="J1425" s="62">
        <v>1170</v>
      </c>
      <c r="K1425" s="62">
        <v>1300</v>
      </c>
      <c r="L1425" s="62">
        <v>1300</v>
      </c>
      <c r="M1425" s="232">
        <v>1650</v>
      </c>
      <c r="N1425" s="55" t="s">
        <v>1593</v>
      </c>
      <c r="O1425" s="61" t="s">
        <v>52</v>
      </c>
      <c r="P1425" s="200"/>
      <c r="Q1425" s="200"/>
      <c r="R1425" s="200"/>
      <c r="S1425" s="200"/>
      <c r="T1425" s="66"/>
      <c r="U1425" s="66"/>
      <c r="V1425" s="66"/>
    </row>
    <row r="1426" spans="1:22" s="64" customFormat="1" x14ac:dyDescent="0.25">
      <c r="A1426" s="65" t="s">
        <v>1522</v>
      </c>
      <c r="B1426" s="511" t="s">
        <v>1534</v>
      </c>
      <c r="C1426" s="511"/>
      <c r="D1426" s="511"/>
      <c r="E1426" s="61" t="s">
        <v>1570</v>
      </c>
      <c r="F1426" s="61" t="s">
        <v>54</v>
      </c>
      <c r="G1426" s="61" t="s">
        <v>55</v>
      </c>
      <c r="H1426" s="61"/>
      <c r="I1426" s="61" t="s">
        <v>1366</v>
      </c>
      <c r="J1426" s="62">
        <v>360</v>
      </c>
      <c r="K1426" s="62">
        <v>400</v>
      </c>
      <c r="L1426" s="62">
        <v>400</v>
      </c>
      <c r="M1426" s="232">
        <v>510</v>
      </c>
      <c r="N1426" s="55" t="s">
        <v>1593</v>
      </c>
      <c r="O1426" s="61" t="s">
        <v>52</v>
      </c>
      <c r="P1426" s="200"/>
      <c r="Q1426" s="200"/>
      <c r="R1426" s="200"/>
      <c r="S1426" s="200"/>
      <c r="T1426" s="66"/>
      <c r="U1426" s="66"/>
      <c r="V1426" s="66"/>
    </row>
    <row r="1427" spans="1:22" s="64" customFormat="1" x14ac:dyDescent="0.25">
      <c r="A1427" s="65" t="s">
        <v>1522</v>
      </c>
      <c r="B1427" s="511" t="s">
        <v>1535</v>
      </c>
      <c r="C1427" s="511"/>
      <c r="D1427" s="511"/>
      <c r="E1427" s="61" t="s">
        <v>1570</v>
      </c>
      <c r="F1427" s="61" t="s">
        <v>54</v>
      </c>
      <c r="G1427" s="61" t="s">
        <v>55</v>
      </c>
      <c r="H1427" s="61"/>
      <c r="I1427" s="61" t="s">
        <v>1366</v>
      </c>
      <c r="J1427" s="62">
        <v>450</v>
      </c>
      <c r="K1427" s="62">
        <v>500</v>
      </c>
      <c r="L1427" s="62">
        <v>500</v>
      </c>
      <c r="M1427" s="232">
        <v>635</v>
      </c>
      <c r="N1427" s="55" t="s">
        <v>1593</v>
      </c>
      <c r="O1427" s="61" t="s">
        <v>52</v>
      </c>
      <c r="P1427" s="200"/>
      <c r="Q1427" s="200"/>
      <c r="R1427" s="200"/>
      <c r="S1427" s="200"/>
      <c r="T1427" s="66"/>
      <c r="U1427" s="66"/>
      <c r="V1427" s="66"/>
    </row>
    <row r="1428" spans="1:22" s="64" customFormat="1" x14ac:dyDescent="0.25">
      <c r="A1428" s="65" t="s">
        <v>1522</v>
      </c>
      <c r="B1428" s="511" t="s">
        <v>1537</v>
      </c>
      <c r="C1428" s="511"/>
      <c r="D1428" s="511"/>
      <c r="E1428" s="61" t="s">
        <v>1570</v>
      </c>
      <c r="F1428" s="61" t="s">
        <v>54</v>
      </c>
      <c r="G1428" s="61" t="s">
        <v>55</v>
      </c>
      <c r="H1428" s="61"/>
      <c r="I1428" s="61" t="s">
        <v>1366</v>
      </c>
      <c r="J1428" s="62">
        <v>630</v>
      </c>
      <c r="K1428" s="62">
        <v>700</v>
      </c>
      <c r="L1428" s="62">
        <v>700</v>
      </c>
      <c r="M1428" s="232">
        <v>890</v>
      </c>
      <c r="N1428" s="55" t="s">
        <v>1593</v>
      </c>
      <c r="O1428" s="61" t="s">
        <v>52</v>
      </c>
      <c r="P1428" s="200"/>
      <c r="Q1428" s="200"/>
      <c r="R1428" s="200"/>
      <c r="S1428" s="200"/>
      <c r="T1428" s="66"/>
      <c r="U1428" s="66"/>
      <c r="V1428" s="66"/>
    </row>
    <row r="1429" spans="1:22" s="64" customFormat="1" x14ac:dyDescent="0.25">
      <c r="A1429" s="65" t="s">
        <v>1522</v>
      </c>
      <c r="B1429" s="511" t="s">
        <v>1538</v>
      </c>
      <c r="C1429" s="511"/>
      <c r="D1429" s="511"/>
      <c r="E1429" s="61" t="s">
        <v>1570</v>
      </c>
      <c r="F1429" s="61" t="s">
        <v>54</v>
      </c>
      <c r="G1429" s="61" t="s">
        <v>55</v>
      </c>
      <c r="H1429" s="61"/>
      <c r="I1429" s="61" t="s">
        <v>1366</v>
      </c>
      <c r="J1429" s="62">
        <v>1125</v>
      </c>
      <c r="K1429" s="62">
        <v>1250</v>
      </c>
      <c r="L1429" s="62">
        <v>1250</v>
      </c>
      <c r="M1429" s="232">
        <v>1585</v>
      </c>
      <c r="N1429" s="55" t="s">
        <v>1593</v>
      </c>
      <c r="O1429" s="61" t="s">
        <v>52</v>
      </c>
      <c r="P1429" s="200"/>
      <c r="Q1429" s="200"/>
      <c r="R1429" s="200"/>
      <c r="S1429" s="200"/>
      <c r="T1429" s="66"/>
      <c r="U1429" s="66"/>
      <c r="V1429" s="66"/>
    </row>
    <row r="1430" spans="1:22" s="64" customFormat="1" x14ac:dyDescent="0.25">
      <c r="A1430" s="65" t="s">
        <v>1522</v>
      </c>
      <c r="B1430" s="511" t="s">
        <v>1539</v>
      </c>
      <c r="C1430" s="511"/>
      <c r="D1430" s="511"/>
      <c r="E1430" s="61" t="s">
        <v>1570</v>
      </c>
      <c r="F1430" s="61" t="s">
        <v>54</v>
      </c>
      <c r="G1430" s="61" t="s">
        <v>55</v>
      </c>
      <c r="H1430" s="61"/>
      <c r="I1430" s="61" t="s">
        <v>1366</v>
      </c>
      <c r="J1430" s="62">
        <v>270</v>
      </c>
      <c r="K1430" s="62">
        <v>300</v>
      </c>
      <c r="L1430" s="62">
        <v>300</v>
      </c>
      <c r="M1430" s="232">
        <v>385</v>
      </c>
      <c r="N1430" s="55" t="s">
        <v>1593</v>
      </c>
      <c r="O1430" s="61" t="s">
        <v>52</v>
      </c>
      <c r="P1430" s="200"/>
      <c r="Q1430" s="200"/>
      <c r="R1430" s="200"/>
      <c r="S1430" s="200"/>
      <c r="T1430" s="66"/>
      <c r="U1430" s="66"/>
      <c r="V1430" s="66"/>
    </row>
    <row r="1431" spans="1:22" s="64" customFormat="1" x14ac:dyDescent="0.25">
      <c r="A1431" s="65" t="s">
        <v>1522</v>
      </c>
      <c r="B1431" s="511" t="s">
        <v>1540</v>
      </c>
      <c r="C1431" s="511"/>
      <c r="D1431" s="511"/>
      <c r="E1431" s="61" t="s">
        <v>1570</v>
      </c>
      <c r="F1431" s="61" t="s">
        <v>54</v>
      </c>
      <c r="G1431" s="61" t="s">
        <v>55</v>
      </c>
      <c r="H1431" s="61"/>
      <c r="I1431" s="61" t="s">
        <v>1366</v>
      </c>
      <c r="J1431" s="62">
        <v>0</v>
      </c>
      <c r="K1431" s="62">
        <v>0</v>
      </c>
      <c r="L1431" s="62">
        <v>0</v>
      </c>
      <c r="M1431" s="232">
        <v>0</v>
      </c>
      <c r="N1431" s="55" t="s">
        <v>1593</v>
      </c>
      <c r="O1431" s="61" t="s">
        <v>52</v>
      </c>
      <c r="P1431" s="200"/>
      <c r="Q1431" s="200"/>
      <c r="R1431" s="200"/>
      <c r="S1431" s="200"/>
      <c r="T1431" s="66"/>
      <c r="U1431" s="66"/>
      <c r="V1431" s="66"/>
    </row>
    <row r="1432" spans="1:22" s="64" customFormat="1" x14ac:dyDescent="0.25">
      <c r="A1432" s="65" t="s">
        <v>1522</v>
      </c>
      <c r="B1432" s="511" t="s">
        <v>1541</v>
      </c>
      <c r="C1432" s="511"/>
      <c r="D1432" s="511"/>
      <c r="E1432" s="61" t="s">
        <v>1570</v>
      </c>
      <c r="F1432" s="61" t="s">
        <v>54</v>
      </c>
      <c r="G1432" s="61" t="s">
        <v>55</v>
      </c>
      <c r="H1432" s="61"/>
      <c r="I1432" s="61" t="s">
        <v>1366</v>
      </c>
      <c r="J1432" s="62">
        <v>1530</v>
      </c>
      <c r="K1432" s="62">
        <v>1700</v>
      </c>
      <c r="L1432" s="62">
        <v>1700</v>
      </c>
      <c r="M1432" s="232">
        <v>2155</v>
      </c>
      <c r="N1432" s="55" t="s">
        <v>1593</v>
      </c>
      <c r="O1432" s="61" t="s">
        <v>52</v>
      </c>
      <c r="P1432" s="200"/>
      <c r="Q1432" s="200"/>
      <c r="R1432" s="200"/>
      <c r="S1432" s="200"/>
      <c r="T1432" s="66"/>
      <c r="U1432" s="66"/>
      <c r="V1432" s="66"/>
    </row>
    <row r="1433" spans="1:22" s="64" customFormat="1" x14ac:dyDescent="0.25">
      <c r="A1433" s="65" t="s">
        <v>1542</v>
      </c>
      <c r="B1433" s="511" t="s">
        <v>1543</v>
      </c>
      <c r="C1433" s="511"/>
      <c r="D1433" s="511"/>
      <c r="E1433" s="61" t="s">
        <v>1549</v>
      </c>
      <c r="F1433" s="61" t="s">
        <v>54</v>
      </c>
      <c r="G1433" s="61" t="s">
        <v>55</v>
      </c>
      <c r="H1433" s="61"/>
      <c r="I1433" s="61" t="s">
        <v>1366</v>
      </c>
      <c r="J1433" s="62">
        <v>135</v>
      </c>
      <c r="K1433" s="62">
        <v>150</v>
      </c>
      <c r="L1433" s="62">
        <v>150</v>
      </c>
      <c r="M1433" s="232">
        <v>190</v>
      </c>
      <c r="N1433" s="55" t="s">
        <v>1593</v>
      </c>
      <c r="O1433" s="61" t="s">
        <v>52</v>
      </c>
      <c r="P1433" s="200"/>
      <c r="Q1433" s="200"/>
      <c r="R1433" s="200"/>
      <c r="S1433" s="200"/>
      <c r="T1433" s="66"/>
      <c r="U1433" s="66"/>
      <c r="V1433" s="66"/>
    </row>
    <row r="1434" spans="1:22" s="64" customFormat="1" x14ac:dyDescent="0.25">
      <c r="A1434" s="65" t="s">
        <v>1542</v>
      </c>
      <c r="B1434" s="511" t="s">
        <v>1621</v>
      </c>
      <c r="C1434" s="511"/>
      <c r="D1434" s="511"/>
      <c r="E1434" s="61" t="s">
        <v>1549</v>
      </c>
      <c r="F1434" s="61" t="s">
        <v>389</v>
      </c>
      <c r="G1434" s="61" t="s">
        <v>55</v>
      </c>
      <c r="H1434" s="61"/>
      <c r="I1434" s="61" t="s">
        <v>1366</v>
      </c>
      <c r="J1434" s="62">
        <v>405</v>
      </c>
      <c r="K1434" s="62">
        <v>450</v>
      </c>
      <c r="L1434" s="62">
        <v>450</v>
      </c>
      <c r="M1434" s="232">
        <v>570</v>
      </c>
      <c r="N1434" s="55" t="s">
        <v>1593</v>
      </c>
      <c r="O1434" s="61" t="s">
        <v>52</v>
      </c>
      <c r="P1434" s="200"/>
      <c r="Q1434" s="200"/>
      <c r="R1434" s="200"/>
      <c r="S1434" s="200"/>
      <c r="T1434" s="66"/>
      <c r="U1434" s="66"/>
      <c r="V1434" s="66"/>
    </row>
    <row r="1435" spans="1:22" s="64" customFormat="1" x14ac:dyDescent="0.25">
      <c r="A1435" s="65" t="s">
        <v>1542</v>
      </c>
      <c r="B1435" s="511" t="s">
        <v>1544</v>
      </c>
      <c r="C1435" s="511"/>
      <c r="D1435" s="511"/>
      <c r="E1435" s="61" t="s">
        <v>1549</v>
      </c>
      <c r="F1435" s="61" t="s">
        <v>389</v>
      </c>
      <c r="G1435" s="61" t="s">
        <v>55</v>
      </c>
      <c r="H1435" s="61"/>
      <c r="I1435" s="61" t="s">
        <v>1366</v>
      </c>
      <c r="J1435" s="62">
        <v>225</v>
      </c>
      <c r="K1435" s="62">
        <v>250</v>
      </c>
      <c r="L1435" s="62">
        <v>250</v>
      </c>
      <c r="M1435" s="232">
        <v>320</v>
      </c>
      <c r="N1435" s="55" t="s">
        <v>1593</v>
      </c>
      <c r="O1435" s="61" t="s">
        <v>52</v>
      </c>
      <c r="P1435" s="200"/>
      <c r="Q1435" s="200"/>
      <c r="R1435" s="200"/>
      <c r="S1435" s="200"/>
      <c r="T1435" s="66"/>
      <c r="U1435" s="66"/>
      <c r="V1435" s="66"/>
    </row>
    <row r="1436" spans="1:22" s="64" customFormat="1" x14ac:dyDescent="0.25">
      <c r="A1436" s="65" t="s">
        <v>1542</v>
      </c>
      <c r="B1436" s="511" t="s">
        <v>1622</v>
      </c>
      <c r="C1436" s="511"/>
      <c r="D1436" s="511"/>
      <c r="E1436" s="61" t="s">
        <v>1549</v>
      </c>
      <c r="F1436" s="61" t="s">
        <v>54</v>
      </c>
      <c r="G1436" s="61" t="s">
        <v>55</v>
      </c>
      <c r="H1436" s="61"/>
      <c r="I1436" s="61" t="s">
        <v>1366</v>
      </c>
      <c r="J1436" s="62">
        <v>135</v>
      </c>
      <c r="K1436" s="62">
        <v>150</v>
      </c>
      <c r="L1436" s="62">
        <v>150</v>
      </c>
      <c r="M1436" s="232">
        <v>190</v>
      </c>
      <c r="N1436" s="55" t="s">
        <v>1593</v>
      </c>
      <c r="O1436" s="61" t="s">
        <v>52</v>
      </c>
      <c r="P1436" s="200"/>
      <c r="Q1436" s="200"/>
      <c r="R1436" s="200"/>
      <c r="S1436" s="200"/>
      <c r="T1436" s="66"/>
      <c r="U1436" s="66"/>
      <c r="V1436" s="66"/>
    </row>
    <row r="1437" spans="1:22" s="64" customFormat="1" x14ac:dyDescent="0.25">
      <c r="A1437" s="65" t="s">
        <v>1542</v>
      </c>
      <c r="B1437" s="511" t="s">
        <v>1545</v>
      </c>
      <c r="C1437" s="511"/>
      <c r="D1437" s="511"/>
      <c r="E1437" s="61" t="s">
        <v>1549</v>
      </c>
      <c r="F1437" s="61" t="s">
        <v>389</v>
      </c>
      <c r="G1437" s="61" t="s">
        <v>55</v>
      </c>
      <c r="H1437" s="61"/>
      <c r="I1437" s="61" t="s">
        <v>1366</v>
      </c>
      <c r="J1437" s="62">
        <v>225</v>
      </c>
      <c r="K1437" s="62">
        <v>250</v>
      </c>
      <c r="L1437" s="62">
        <v>250</v>
      </c>
      <c r="M1437" s="232">
        <v>320</v>
      </c>
      <c r="N1437" s="55" t="s">
        <v>1593</v>
      </c>
      <c r="O1437" s="61" t="s">
        <v>52</v>
      </c>
      <c r="P1437" s="200"/>
      <c r="Q1437" s="200"/>
      <c r="R1437" s="200"/>
      <c r="S1437" s="200"/>
      <c r="T1437" s="66"/>
      <c r="U1437" s="66"/>
      <c r="V1437" s="66"/>
    </row>
    <row r="1438" spans="1:22" s="64" customFormat="1" x14ac:dyDescent="0.25">
      <c r="A1438" s="65" t="s">
        <v>1542</v>
      </c>
      <c r="B1438" s="511" t="s">
        <v>1546</v>
      </c>
      <c r="C1438" s="511"/>
      <c r="D1438" s="511"/>
      <c r="E1438" s="61" t="s">
        <v>1549</v>
      </c>
      <c r="F1438" s="61" t="s">
        <v>389</v>
      </c>
      <c r="G1438" s="61" t="s">
        <v>55</v>
      </c>
      <c r="H1438" s="61"/>
      <c r="I1438" s="61" t="s">
        <v>1366</v>
      </c>
      <c r="J1438" s="62">
        <v>450</v>
      </c>
      <c r="K1438" s="62">
        <v>500</v>
      </c>
      <c r="L1438" s="62">
        <v>500</v>
      </c>
      <c r="M1438" s="232">
        <v>635</v>
      </c>
      <c r="N1438" s="55" t="s">
        <v>1593</v>
      </c>
      <c r="O1438" s="61" t="s">
        <v>52</v>
      </c>
      <c r="P1438" s="200"/>
      <c r="Q1438" s="200"/>
      <c r="R1438" s="200"/>
      <c r="S1438" s="200"/>
      <c r="T1438" s="66"/>
      <c r="U1438" s="66"/>
      <c r="V1438" s="66"/>
    </row>
    <row r="1439" spans="1:22" s="64" customFormat="1" x14ac:dyDescent="0.25">
      <c r="A1439" s="65" t="s">
        <v>1542</v>
      </c>
      <c r="B1439" s="511" t="s">
        <v>1547</v>
      </c>
      <c r="C1439" s="511"/>
      <c r="D1439" s="511"/>
      <c r="E1439" s="61" t="s">
        <v>1549</v>
      </c>
      <c r="F1439" s="61" t="s">
        <v>389</v>
      </c>
      <c r="G1439" s="61" t="s">
        <v>55</v>
      </c>
      <c r="H1439" s="61"/>
      <c r="I1439" s="61" t="s">
        <v>1366</v>
      </c>
      <c r="J1439" s="62">
        <v>360</v>
      </c>
      <c r="K1439" s="62">
        <v>400</v>
      </c>
      <c r="L1439" s="62">
        <v>400</v>
      </c>
      <c r="M1439" s="232">
        <v>510</v>
      </c>
      <c r="N1439" s="55" t="s">
        <v>1593</v>
      </c>
      <c r="O1439" s="61" t="s">
        <v>52</v>
      </c>
      <c r="P1439" s="200"/>
      <c r="Q1439" s="200"/>
      <c r="R1439" s="200"/>
      <c r="S1439" s="200"/>
      <c r="T1439" s="66"/>
      <c r="U1439" s="66"/>
      <c r="V1439" s="66"/>
    </row>
    <row r="1440" spans="1:22" s="64" customFormat="1" x14ac:dyDescent="0.25">
      <c r="A1440" s="65" t="s">
        <v>1542</v>
      </c>
      <c r="B1440" s="511" t="s">
        <v>1548</v>
      </c>
      <c r="C1440" s="511"/>
      <c r="D1440" s="511"/>
      <c r="E1440" s="61" t="s">
        <v>1549</v>
      </c>
      <c r="F1440" s="61" t="s">
        <v>481</v>
      </c>
      <c r="G1440" s="61" t="s">
        <v>55</v>
      </c>
      <c r="H1440" s="61"/>
      <c r="I1440" s="61" t="s">
        <v>1366</v>
      </c>
      <c r="J1440" s="62">
        <v>225</v>
      </c>
      <c r="K1440" s="62">
        <v>250</v>
      </c>
      <c r="L1440" s="62">
        <v>250</v>
      </c>
      <c r="M1440" s="232">
        <v>320</v>
      </c>
      <c r="N1440" s="55" t="s">
        <v>1593</v>
      </c>
      <c r="O1440" s="61" t="s">
        <v>52</v>
      </c>
      <c r="P1440" s="200"/>
      <c r="Q1440" s="200"/>
      <c r="R1440" s="200"/>
      <c r="S1440" s="200"/>
      <c r="T1440" s="66"/>
      <c r="U1440" s="66"/>
      <c r="V1440" s="66"/>
    </row>
    <row r="1441" spans="1:22" s="64" customFormat="1" x14ac:dyDescent="0.25">
      <c r="A1441" s="65" t="s">
        <v>1542</v>
      </c>
      <c r="B1441" s="511" t="s">
        <v>1623</v>
      </c>
      <c r="C1441" s="511"/>
      <c r="D1441" s="511"/>
      <c r="E1441" s="61" t="s">
        <v>1549</v>
      </c>
      <c r="F1441" s="61" t="s">
        <v>389</v>
      </c>
      <c r="G1441" s="61" t="s">
        <v>55</v>
      </c>
      <c r="H1441" s="61"/>
      <c r="I1441" s="61" t="s">
        <v>1366</v>
      </c>
      <c r="J1441" s="62">
        <v>360</v>
      </c>
      <c r="K1441" s="62">
        <v>400</v>
      </c>
      <c r="L1441" s="62">
        <v>400</v>
      </c>
      <c r="M1441" s="232">
        <v>510</v>
      </c>
      <c r="N1441" s="55" t="s">
        <v>1593</v>
      </c>
      <c r="O1441" s="61" t="s">
        <v>52</v>
      </c>
      <c r="P1441" s="200"/>
      <c r="Q1441" s="200"/>
      <c r="R1441" s="200"/>
      <c r="S1441" s="200"/>
      <c r="T1441" s="66"/>
      <c r="U1441" s="66"/>
      <c r="V1441" s="66"/>
    </row>
    <row r="1442" spans="1:22" s="64" customFormat="1" x14ac:dyDescent="0.25">
      <c r="A1442" s="65" t="s">
        <v>1552</v>
      </c>
      <c r="B1442" s="511" t="s">
        <v>1555</v>
      </c>
      <c r="C1442" s="511"/>
      <c r="D1442" s="511"/>
      <c r="E1442" s="61" t="s">
        <v>1570</v>
      </c>
      <c r="F1442" s="61" t="s">
        <v>54</v>
      </c>
      <c r="G1442" s="61" t="s">
        <v>55</v>
      </c>
      <c r="H1442" s="61"/>
      <c r="I1442" s="61" t="s">
        <v>1366</v>
      </c>
      <c r="J1442" s="62">
        <v>360</v>
      </c>
      <c r="K1442" s="62">
        <v>400</v>
      </c>
      <c r="L1442" s="62">
        <v>400</v>
      </c>
      <c r="M1442" s="232">
        <v>510</v>
      </c>
      <c r="N1442" s="55" t="s">
        <v>1593</v>
      </c>
      <c r="O1442" s="61" t="s">
        <v>52</v>
      </c>
      <c r="P1442" s="200"/>
      <c r="Q1442" s="200"/>
      <c r="R1442" s="200"/>
      <c r="S1442" s="200"/>
      <c r="T1442" s="66"/>
      <c r="U1442" s="66"/>
      <c r="V1442" s="66"/>
    </row>
    <row r="1443" spans="1:22" s="64" customFormat="1" x14ac:dyDescent="0.25">
      <c r="A1443" s="65" t="s">
        <v>1552</v>
      </c>
      <c r="B1443" s="511" t="s">
        <v>1556</v>
      </c>
      <c r="C1443" s="511"/>
      <c r="D1443" s="511"/>
      <c r="E1443" s="61" t="s">
        <v>1570</v>
      </c>
      <c r="F1443" s="61" t="s">
        <v>54</v>
      </c>
      <c r="G1443" s="61" t="s">
        <v>55</v>
      </c>
      <c r="H1443" s="61"/>
      <c r="I1443" s="61" t="s">
        <v>1366</v>
      </c>
      <c r="J1443" s="62">
        <v>360</v>
      </c>
      <c r="K1443" s="62">
        <v>400</v>
      </c>
      <c r="L1443" s="62">
        <v>400</v>
      </c>
      <c r="M1443" s="232">
        <v>510</v>
      </c>
      <c r="N1443" s="55" t="s">
        <v>1593</v>
      </c>
      <c r="O1443" s="61" t="s">
        <v>52</v>
      </c>
      <c r="P1443" s="200"/>
      <c r="Q1443" s="200"/>
      <c r="R1443" s="200"/>
      <c r="S1443" s="200"/>
      <c r="T1443" s="66"/>
      <c r="U1443" s="66"/>
      <c r="V1443" s="66"/>
    </row>
    <row r="1444" spans="1:22" s="64" customFormat="1" x14ac:dyDescent="0.25">
      <c r="A1444" s="65" t="s">
        <v>1552</v>
      </c>
      <c r="B1444" s="511" t="s">
        <v>1554</v>
      </c>
      <c r="C1444" s="511"/>
      <c r="D1444" s="511"/>
      <c r="E1444" s="61" t="s">
        <v>1570</v>
      </c>
      <c r="F1444" s="61" t="s">
        <v>54</v>
      </c>
      <c r="G1444" s="61" t="s">
        <v>55</v>
      </c>
      <c r="H1444" s="61"/>
      <c r="I1444" s="61" t="s">
        <v>1366</v>
      </c>
      <c r="J1444" s="62">
        <v>180</v>
      </c>
      <c r="K1444" s="62">
        <v>200</v>
      </c>
      <c r="L1444" s="62">
        <v>200</v>
      </c>
      <c r="M1444" s="232">
        <v>255</v>
      </c>
      <c r="N1444" s="55" t="s">
        <v>1593</v>
      </c>
      <c r="O1444" s="61" t="s">
        <v>52</v>
      </c>
      <c r="P1444" s="200"/>
      <c r="Q1444" s="200"/>
      <c r="R1444" s="200"/>
      <c r="S1444" s="200"/>
      <c r="T1444" s="66"/>
      <c r="U1444" s="66"/>
      <c r="V1444" s="66"/>
    </row>
    <row r="1445" spans="1:22" s="64" customFormat="1" x14ac:dyDescent="0.25">
      <c r="A1445" s="65" t="s">
        <v>1552</v>
      </c>
      <c r="B1445" s="511" t="s">
        <v>1557</v>
      </c>
      <c r="C1445" s="511"/>
      <c r="D1445" s="511"/>
      <c r="E1445" s="61" t="s">
        <v>1570</v>
      </c>
      <c r="F1445" s="61" t="s">
        <v>54</v>
      </c>
      <c r="G1445" s="61" t="s">
        <v>55</v>
      </c>
      <c r="H1445" s="61"/>
      <c r="I1445" s="61" t="s">
        <v>1366</v>
      </c>
      <c r="J1445" s="62">
        <v>450</v>
      </c>
      <c r="K1445" s="62">
        <v>500</v>
      </c>
      <c r="L1445" s="62">
        <v>500</v>
      </c>
      <c r="M1445" s="232">
        <v>635</v>
      </c>
      <c r="N1445" s="55" t="s">
        <v>1593</v>
      </c>
      <c r="O1445" s="61" t="s">
        <v>52</v>
      </c>
      <c r="P1445" s="200"/>
      <c r="Q1445" s="200"/>
      <c r="R1445" s="200"/>
      <c r="S1445" s="200"/>
      <c r="T1445" s="66"/>
      <c r="U1445" s="66"/>
      <c r="V1445" s="66"/>
    </row>
    <row r="1446" spans="1:22" s="64" customFormat="1" x14ac:dyDescent="0.25">
      <c r="A1446" s="65" t="s">
        <v>1560</v>
      </c>
      <c r="B1446" s="511" t="s">
        <v>1563</v>
      </c>
      <c r="C1446" s="511"/>
      <c r="D1446" s="511"/>
      <c r="E1446" s="61" t="s">
        <v>1570</v>
      </c>
      <c r="F1446" s="61" t="s">
        <v>54</v>
      </c>
      <c r="G1446" s="61" t="s">
        <v>55</v>
      </c>
      <c r="H1446" s="61"/>
      <c r="I1446" s="61" t="s">
        <v>1366</v>
      </c>
      <c r="J1446" s="62">
        <v>405</v>
      </c>
      <c r="K1446" s="62">
        <v>450</v>
      </c>
      <c r="L1446" s="62">
        <v>450</v>
      </c>
      <c r="M1446" s="232">
        <v>570</v>
      </c>
      <c r="N1446" s="55" t="s">
        <v>1593</v>
      </c>
      <c r="O1446" s="61" t="s">
        <v>52</v>
      </c>
      <c r="P1446" s="200"/>
      <c r="Q1446" s="200"/>
      <c r="R1446" s="200"/>
      <c r="S1446" s="200"/>
      <c r="T1446" s="66"/>
      <c r="U1446" s="66"/>
      <c r="V1446" s="66"/>
    </row>
    <row r="1447" spans="1:22" s="64" customFormat="1" x14ac:dyDescent="0.25">
      <c r="A1447" s="65" t="s">
        <v>1399</v>
      </c>
      <c r="B1447" s="511" t="s">
        <v>1430</v>
      </c>
      <c r="C1447" s="511"/>
      <c r="D1447" s="511"/>
      <c r="E1447" s="61" t="s">
        <v>1570</v>
      </c>
      <c r="F1447" s="61" t="s">
        <v>54</v>
      </c>
      <c r="G1447" s="61" t="s">
        <v>55</v>
      </c>
      <c r="H1447" s="61"/>
      <c r="I1447" s="61" t="s">
        <v>1366</v>
      </c>
      <c r="J1447" s="62">
        <v>90</v>
      </c>
      <c r="K1447" s="62">
        <v>100</v>
      </c>
      <c r="L1447" s="62">
        <v>100</v>
      </c>
      <c r="M1447" s="232">
        <v>130</v>
      </c>
      <c r="N1447" s="55" t="s">
        <v>1593</v>
      </c>
      <c r="O1447" s="61" t="s">
        <v>52</v>
      </c>
      <c r="P1447" s="200"/>
      <c r="Q1447" s="200"/>
      <c r="R1447" s="200"/>
      <c r="S1447" s="200"/>
      <c r="T1447" s="66"/>
      <c r="U1447" s="66"/>
      <c r="V1447" s="66"/>
    </row>
    <row r="1448" spans="1:22" s="64" customFormat="1" x14ac:dyDescent="0.25">
      <c r="A1448" s="65" t="s">
        <v>1568</v>
      </c>
      <c r="B1448" s="511" t="s">
        <v>1569</v>
      </c>
      <c r="C1448" s="511"/>
      <c r="D1448" s="511"/>
      <c r="E1448" s="61" t="s">
        <v>1570</v>
      </c>
      <c r="F1448" s="61" t="s">
        <v>54</v>
      </c>
      <c r="G1448" s="61" t="s">
        <v>55</v>
      </c>
      <c r="H1448" s="61"/>
      <c r="I1448" s="61" t="s">
        <v>1366</v>
      </c>
      <c r="J1448" s="62">
        <v>180</v>
      </c>
      <c r="K1448" s="62">
        <v>200</v>
      </c>
      <c r="L1448" s="62">
        <v>200</v>
      </c>
      <c r="M1448" s="232">
        <v>255</v>
      </c>
      <c r="N1448" s="55" t="s">
        <v>1593</v>
      </c>
      <c r="O1448" s="61" t="s">
        <v>52</v>
      </c>
      <c r="P1448" s="200"/>
      <c r="Q1448" s="200"/>
      <c r="R1448" s="200"/>
      <c r="S1448" s="200"/>
      <c r="T1448" s="66"/>
      <c r="U1448" s="66"/>
      <c r="V1448" s="66"/>
    </row>
    <row r="1449" spans="1:22" s="64" customFormat="1" x14ac:dyDescent="0.25">
      <c r="A1449" s="65" t="s">
        <v>1568</v>
      </c>
      <c r="B1449" s="511" t="s">
        <v>1571</v>
      </c>
      <c r="C1449" s="511"/>
      <c r="D1449" s="511"/>
      <c r="E1449" s="61" t="s">
        <v>1570</v>
      </c>
      <c r="F1449" s="61" t="s">
        <v>54</v>
      </c>
      <c r="G1449" s="61" t="s">
        <v>55</v>
      </c>
      <c r="H1449" s="61"/>
      <c r="I1449" s="61" t="s">
        <v>1366</v>
      </c>
      <c r="J1449" s="62">
        <v>270</v>
      </c>
      <c r="K1449" s="62">
        <v>300</v>
      </c>
      <c r="L1449" s="62">
        <v>300</v>
      </c>
      <c r="M1449" s="232">
        <v>385</v>
      </c>
      <c r="N1449" s="55" t="s">
        <v>1593</v>
      </c>
      <c r="O1449" s="61" t="s">
        <v>52</v>
      </c>
      <c r="P1449" s="200"/>
      <c r="Q1449" s="200"/>
      <c r="R1449" s="200"/>
      <c r="S1449" s="200"/>
      <c r="T1449" s="66"/>
      <c r="U1449" s="66"/>
      <c r="V1449" s="66"/>
    </row>
    <row r="1450" spans="1:22" s="64" customFormat="1" x14ac:dyDescent="0.25">
      <c r="A1450" s="65" t="s">
        <v>1572</v>
      </c>
      <c r="B1450" s="511" t="s">
        <v>1575</v>
      </c>
      <c r="C1450" s="511"/>
      <c r="D1450" s="511"/>
      <c r="E1450" s="61" t="s">
        <v>1573</v>
      </c>
      <c r="F1450" s="61" t="s">
        <v>54</v>
      </c>
      <c r="G1450" s="61" t="s">
        <v>55</v>
      </c>
      <c r="H1450" s="61"/>
      <c r="I1450" s="61" t="s">
        <v>1366</v>
      </c>
      <c r="J1450" s="62">
        <v>90</v>
      </c>
      <c r="K1450" s="62">
        <v>100</v>
      </c>
      <c r="L1450" s="62">
        <v>100</v>
      </c>
      <c r="M1450" s="232">
        <v>130</v>
      </c>
      <c r="N1450" s="55" t="s">
        <v>1593</v>
      </c>
      <c r="O1450" s="61" t="s">
        <v>52</v>
      </c>
      <c r="P1450" s="200"/>
      <c r="Q1450" s="200"/>
      <c r="R1450" s="200"/>
      <c r="S1450" s="200"/>
      <c r="T1450" s="66"/>
      <c r="U1450" s="66"/>
      <c r="V1450" s="66"/>
    </row>
    <row r="1451" spans="1:22" s="64" customFormat="1" x14ac:dyDescent="0.25">
      <c r="A1451" s="65" t="s">
        <v>1572</v>
      </c>
      <c r="B1451" s="511" t="s">
        <v>1575</v>
      </c>
      <c r="C1451" s="511"/>
      <c r="D1451" s="511"/>
      <c r="E1451" s="61" t="s">
        <v>1573</v>
      </c>
      <c r="F1451" s="61" t="s">
        <v>481</v>
      </c>
      <c r="G1451" s="61" t="s">
        <v>55</v>
      </c>
      <c r="H1451" s="61"/>
      <c r="I1451" s="61" t="s">
        <v>1366</v>
      </c>
      <c r="J1451" s="62">
        <v>90</v>
      </c>
      <c r="K1451" s="62">
        <v>100</v>
      </c>
      <c r="L1451" s="62">
        <v>100</v>
      </c>
      <c r="M1451" s="232">
        <v>130</v>
      </c>
      <c r="N1451" s="55" t="s">
        <v>1593</v>
      </c>
      <c r="O1451" s="61" t="s">
        <v>52</v>
      </c>
      <c r="P1451" s="200"/>
      <c r="Q1451" s="200"/>
      <c r="R1451" s="200"/>
      <c r="S1451" s="200"/>
      <c r="T1451" s="66"/>
      <c r="U1451" s="66"/>
      <c r="V1451" s="66"/>
    </row>
    <row r="1452" spans="1:22" s="64" customFormat="1" x14ac:dyDescent="0.25">
      <c r="A1452" s="65" t="s">
        <v>1572</v>
      </c>
      <c r="B1452" s="511" t="s">
        <v>1576</v>
      </c>
      <c r="C1452" s="511"/>
      <c r="D1452" s="511"/>
      <c r="E1452" s="61" t="s">
        <v>1573</v>
      </c>
      <c r="F1452" s="61" t="s">
        <v>54</v>
      </c>
      <c r="G1452" s="61" t="s">
        <v>55</v>
      </c>
      <c r="H1452" s="61"/>
      <c r="I1452" s="61" t="s">
        <v>1366</v>
      </c>
      <c r="J1452" s="62">
        <v>90</v>
      </c>
      <c r="K1452" s="62">
        <v>100</v>
      </c>
      <c r="L1452" s="62">
        <v>100</v>
      </c>
      <c r="M1452" s="232">
        <v>130</v>
      </c>
      <c r="N1452" s="55" t="s">
        <v>1593</v>
      </c>
      <c r="O1452" s="61" t="s">
        <v>52</v>
      </c>
      <c r="P1452" s="200"/>
      <c r="Q1452" s="200"/>
      <c r="R1452" s="200"/>
      <c r="S1452" s="200"/>
      <c r="T1452" s="66"/>
      <c r="U1452" s="66"/>
      <c r="V1452" s="66"/>
    </row>
    <row r="1453" spans="1:22" s="64" customFormat="1" x14ac:dyDescent="0.25">
      <c r="A1453" s="65" t="s">
        <v>1572</v>
      </c>
      <c r="B1453" s="511" t="s">
        <v>1576</v>
      </c>
      <c r="C1453" s="511"/>
      <c r="D1453" s="511"/>
      <c r="E1453" s="61" t="s">
        <v>1573</v>
      </c>
      <c r="F1453" s="61" t="s">
        <v>481</v>
      </c>
      <c r="G1453" s="61" t="s">
        <v>55</v>
      </c>
      <c r="H1453" s="61"/>
      <c r="I1453" s="61" t="s">
        <v>1366</v>
      </c>
      <c r="J1453" s="62">
        <v>90</v>
      </c>
      <c r="K1453" s="62">
        <v>100</v>
      </c>
      <c r="L1453" s="62">
        <v>100</v>
      </c>
      <c r="M1453" s="232">
        <v>130</v>
      </c>
      <c r="N1453" s="55" t="s">
        <v>1593</v>
      </c>
      <c r="O1453" s="61" t="s">
        <v>52</v>
      </c>
      <c r="P1453" s="200"/>
      <c r="Q1453" s="200"/>
      <c r="R1453" s="200"/>
      <c r="S1453" s="200"/>
      <c r="T1453" s="66"/>
      <c r="U1453" s="66"/>
      <c r="V1453" s="66"/>
    </row>
    <row r="1454" spans="1:22" s="64" customFormat="1" x14ac:dyDescent="0.25">
      <c r="A1454" s="65" t="s">
        <v>1572</v>
      </c>
      <c r="B1454" s="511" t="s">
        <v>1577</v>
      </c>
      <c r="C1454" s="511"/>
      <c r="D1454" s="511"/>
      <c r="E1454" s="61" t="s">
        <v>1573</v>
      </c>
      <c r="F1454" s="61" t="s">
        <v>481</v>
      </c>
      <c r="G1454" s="61" t="s">
        <v>55</v>
      </c>
      <c r="H1454" s="61"/>
      <c r="I1454" s="61" t="s">
        <v>1366</v>
      </c>
      <c r="J1454" s="62">
        <v>360</v>
      </c>
      <c r="K1454" s="62">
        <v>400</v>
      </c>
      <c r="L1454" s="62">
        <v>400</v>
      </c>
      <c r="M1454" s="232">
        <v>510</v>
      </c>
      <c r="N1454" s="55" t="s">
        <v>1593</v>
      </c>
      <c r="O1454" s="61" t="s">
        <v>52</v>
      </c>
      <c r="P1454" s="200"/>
      <c r="Q1454" s="200"/>
      <c r="R1454" s="200"/>
      <c r="S1454" s="200"/>
      <c r="T1454" s="66"/>
      <c r="U1454" s="66"/>
      <c r="V1454" s="66"/>
    </row>
    <row r="1455" spans="1:22" s="64" customFormat="1" x14ac:dyDescent="0.25">
      <c r="A1455" s="65" t="s">
        <v>1578</v>
      </c>
      <c r="B1455" s="511" t="s">
        <v>1579</v>
      </c>
      <c r="C1455" s="511"/>
      <c r="D1455" s="511"/>
      <c r="E1455" s="61" t="s">
        <v>1570</v>
      </c>
      <c r="F1455" s="61" t="s">
        <v>54</v>
      </c>
      <c r="G1455" s="61" t="s">
        <v>55</v>
      </c>
      <c r="H1455" s="61"/>
      <c r="I1455" s="61" t="s">
        <v>1366</v>
      </c>
      <c r="J1455" s="62">
        <v>270</v>
      </c>
      <c r="K1455" s="62">
        <v>300</v>
      </c>
      <c r="L1455" s="62">
        <v>300</v>
      </c>
      <c r="M1455" s="232">
        <v>385</v>
      </c>
      <c r="N1455" s="55" t="s">
        <v>1593</v>
      </c>
      <c r="O1455" s="61" t="s">
        <v>52</v>
      </c>
      <c r="P1455" s="200"/>
      <c r="Q1455" s="200"/>
      <c r="R1455" s="200"/>
      <c r="S1455" s="200"/>
      <c r="T1455" s="66"/>
      <c r="U1455" s="66"/>
      <c r="V1455" s="66"/>
    </row>
    <row r="1456" spans="1:22" s="64" customFormat="1" x14ac:dyDescent="0.25">
      <c r="A1456" s="65" t="s">
        <v>1578</v>
      </c>
      <c r="B1456" s="511" t="s">
        <v>1579</v>
      </c>
      <c r="C1456" s="511"/>
      <c r="D1456" s="511"/>
      <c r="E1456" s="61" t="s">
        <v>1580</v>
      </c>
      <c r="F1456" s="61" t="s">
        <v>389</v>
      </c>
      <c r="G1456" s="61" t="s">
        <v>55</v>
      </c>
      <c r="H1456" s="61"/>
      <c r="I1456" s="61" t="s">
        <v>1366</v>
      </c>
      <c r="J1456" s="62">
        <v>90</v>
      </c>
      <c r="K1456" s="62">
        <v>100</v>
      </c>
      <c r="L1456" s="62">
        <v>100</v>
      </c>
      <c r="M1456" s="232">
        <v>130</v>
      </c>
      <c r="N1456" s="55" t="s">
        <v>1593</v>
      </c>
      <c r="O1456" s="61" t="s">
        <v>52</v>
      </c>
      <c r="P1456" s="200"/>
      <c r="Q1456" s="200"/>
      <c r="R1456" s="200"/>
      <c r="S1456" s="200"/>
      <c r="T1456" s="66"/>
      <c r="U1456" s="66"/>
      <c r="V1456" s="66"/>
    </row>
    <row r="1457" spans="1:22" s="64" customFormat="1" x14ac:dyDescent="0.25">
      <c r="A1457" s="65" t="s">
        <v>1578</v>
      </c>
      <c r="B1457" s="511" t="s">
        <v>1579</v>
      </c>
      <c r="C1457" s="511"/>
      <c r="D1457" s="511"/>
      <c r="E1457" s="61" t="s">
        <v>1580</v>
      </c>
      <c r="F1457" s="61" t="s">
        <v>481</v>
      </c>
      <c r="G1457" s="61" t="s">
        <v>55</v>
      </c>
      <c r="H1457" s="61"/>
      <c r="I1457" s="61" t="s">
        <v>1366</v>
      </c>
      <c r="J1457" s="62">
        <v>90</v>
      </c>
      <c r="K1457" s="62">
        <v>100</v>
      </c>
      <c r="L1457" s="62">
        <v>100</v>
      </c>
      <c r="M1457" s="232">
        <v>130</v>
      </c>
      <c r="N1457" s="55" t="s">
        <v>1593</v>
      </c>
      <c r="O1457" s="61" t="s">
        <v>52</v>
      </c>
      <c r="P1457" s="200"/>
      <c r="Q1457" s="200"/>
      <c r="R1457" s="200"/>
      <c r="S1457" s="200"/>
      <c r="T1457" s="66"/>
      <c r="U1457" s="66"/>
      <c r="V1457" s="66"/>
    </row>
    <row r="1458" spans="1:22" s="64" customFormat="1" x14ac:dyDescent="0.25">
      <c r="A1458" s="65" t="s">
        <v>1578</v>
      </c>
      <c r="B1458" s="511" t="s">
        <v>1416</v>
      </c>
      <c r="C1458" s="511"/>
      <c r="D1458" s="511"/>
      <c r="E1458" s="61" t="s">
        <v>1580</v>
      </c>
      <c r="F1458" s="61" t="s">
        <v>481</v>
      </c>
      <c r="G1458" s="61" t="s">
        <v>55</v>
      </c>
      <c r="H1458" s="61"/>
      <c r="I1458" s="61" t="s">
        <v>1366</v>
      </c>
      <c r="J1458" s="62">
        <v>225</v>
      </c>
      <c r="K1458" s="62">
        <v>250</v>
      </c>
      <c r="L1458" s="62">
        <v>250</v>
      </c>
      <c r="M1458" s="232">
        <v>320</v>
      </c>
      <c r="N1458" s="55" t="s">
        <v>1593</v>
      </c>
      <c r="O1458" s="61" t="s">
        <v>52</v>
      </c>
      <c r="P1458" s="200"/>
      <c r="Q1458" s="200"/>
      <c r="R1458" s="200"/>
      <c r="S1458" s="200"/>
      <c r="T1458" s="66"/>
      <c r="U1458" s="66"/>
      <c r="V1458" s="66"/>
    </row>
    <row r="1459" spans="1:22" s="64" customFormat="1" x14ac:dyDescent="0.25">
      <c r="A1459" s="65" t="s">
        <v>1578</v>
      </c>
      <c r="B1459" s="511" t="s">
        <v>1416</v>
      </c>
      <c r="C1459" s="511"/>
      <c r="D1459" s="511"/>
      <c r="E1459" s="61" t="s">
        <v>1580</v>
      </c>
      <c r="F1459" s="61" t="s">
        <v>58</v>
      </c>
      <c r="G1459" s="61" t="s">
        <v>55</v>
      </c>
      <c r="H1459" s="61"/>
      <c r="I1459" s="61" t="s">
        <v>1366</v>
      </c>
      <c r="J1459" s="62">
        <v>225</v>
      </c>
      <c r="K1459" s="62">
        <v>250</v>
      </c>
      <c r="L1459" s="62">
        <v>250</v>
      </c>
      <c r="M1459" s="232">
        <v>320</v>
      </c>
      <c r="N1459" s="55" t="s">
        <v>1593</v>
      </c>
      <c r="O1459" s="61" t="s">
        <v>52</v>
      </c>
      <c r="P1459" s="200"/>
      <c r="Q1459" s="200"/>
      <c r="R1459" s="200"/>
      <c r="S1459" s="200"/>
      <c r="T1459" s="66"/>
      <c r="U1459" s="66"/>
      <c r="V1459" s="66"/>
    </row>
    <row r="1460" spans="1:22" s="64" customFormat="1" x14ac:dyDescent="0.25">
      <c r="A1460" s="65" t="s">
        <v>1578</v>
      </c>
      <c r="B1460" s="511" t="s">
        <v>1581</v>
      </c>
      <c r="C1460" s="511"/>
      <c r="D1460" s="511"/>
      <c r="E1460" s="61" t="s">
        <v>1570</v>
      </c>
      <c r="F1460" s="61" t="s">
        <v>54</v>
      </c>
      <c r="G1460" s="61" t="s">
        <v>55</v>
      </c>
      <c r="H1460" s="61"/>
      <c r="I1460" s="61" t="s">
        <v>1366</v>
      </c>
      <c r="J1460" s="62">
        <v>630</v>
      </c>
      <c r="K1460" s="62">
        <v>700</v>
      </c>
      <c r="L1460" s="62">
        <v>700</v>
      </c>
      <c r="M1460" s="232">
        <v>890</v>
      </c>
      <c r="N1460" s="55" t="s">
        <v>1593</v>
      </c>
      <c r="O1460" s="61" t="s">
        <v>52</v>
      </c>
      <c r="P1460" s="200"/>
      <c r="Q1460" s="200"/>
      <c r="R1460" s="200"/>
      <c r="S1460" s="200"/>
      <c r="T1460" s="66"/>
      <c r="U1460" s="66"/>
      <c r="V1460" s="66"/>
    </row>
    <row r="1461" spans="1:22" s="64" customFormat="1" x14ac:dyDescent="0.25">
      <c r="A1461" s="65" t="s">
        <v>1582</v>
      </c>
      <c r="B1461" s="511" t="s">
        <v>1583</v>
      </c>
      <c r="C1461" s="511"/>
      <c r="D1461" s="511"/>
      <c r="E1461" s="61" t="s">
        <v>1570</v>
      </c>
      <c r="F1461" s="61" t="s">
        <v>54</v>
      </c>
      <c r="G1461" s="61" t="s">
        <v>55</v>
      </c>
      <c r="H1461" s="61"/>
      <c r="I1461" s="61" t="s">
        <v>1366</v>
      </c>
      <c r="J1461" s="62">
        <v>630</v>
      </c>
      <c r="K1461" s="62">
        <v>700</v>
      </c>
      <c r="L1461" s="62">
        <v>700</v>
      </c>
      <c r="M1461" s="232">
        <v>890</v>
      </c>
      <c r="N1461" s="55" t="s">
        <v>1593</v>
      </c>
      <c r="O1461" s="61" t="s">
        <v>52</v>
      </c>
      <c r="P1461" s="200"/>
      <c r="Q1461" s="200"/>
      <c r="R1461" s="200"/>
      <c r="S1461" s="200"/>
      <c r="T1461" s="66"/>
      <c r="U1461" s="66"/>
      <c r="V1461" s="66"/>
    </row>
    <row r="1462" spans="1:22" s="64" customFormat="1" x14ac:dyDescent="0.25">
      <c r="A1462" s="65" t="s">
        <v>1582</v>
      </c>
      <c r="B1462" s="511" t="s">
        <v>1585</v>
      </c>
      <c r="C1462" s="511"/>
      <c r="D1462" s="511"/>
      <c r="E1462" s="61" t="s">
        <v>1431</v>
      </c>
      <c r="F1462" s="61" t="s">
        <v>389</v>
      </c>
      <c r="G1462" s="61" t="s">
        <v>55</v>
      </c>
      <c r="H1462" s="61"/>
      <c r="I1462" s="61" t="s">
        <v>1366</v>
      </c>
      <c r="J1462" s="62">
        <v>45</v>
      </c>
      <c r="K1462" s="62">
        <v>50</v>
      </c>
      <c r="L1462" s="62">
        <v>50</v>
      </c>
      <c r="M1462" s="232">
        <v>65</v>
      </c>
      <c r="N1462" s="55" t="s">
        <v>1593</v>
      </c>
      <c r="O1462" s="61" t="s">
        <v>52</v>
      </c>
      <c r="P1462" s="200"/>
      <c r="Q1462" s="200"/>
      <c r="R1462" s="200"/>
      <c r="S1462" s="200"/>
      <c r="T1462" s="66"/>
      <c r="U1462" s="66"/>
      <c r="V1462" s="66"/>
    </row>
    <row r="1463" spans="1:22" s="64" customFormat="1" x14ac:dyDescent="0.25">
      <c r="A1463" s="65" t="s">
        <v>1582</v>
      </c>
      <c r="B1463" s="511" t="s">
        <v>1586</v>
      </c>
      <c r="C1463" s="511"/>
      <c r="D1463" s="511"/>
      <c r="E1463" s="61" t="s">
        <v>1570</v>
      </c>
      <c r="F1463" s="61" t="s">
        <v>54</v>
      </c>
      <c r="G1463" s="61" t="s">
        <v>55</v>
      </c>
      <c r="H1463" s="61"/>
      <c r="I1463" s="61" t="s">
        <v>1366</v>
      </c>
      <c r="J1463" s="62">
        <v>540</v>
      </c>
      <c r="K1463" s="62">
        <v>600</v>
      </c>
      <c r="L1463" s="62">
        <v>600</v>
      </c>
      <c r="M1463" s="232">
        <v>760</v>
      </c>
      <c r="N1463" s="55" t="s">
        <v>1593</v>
      </c>
      <c r="O1463" s="61" t="s">
        <v>52</v>
      </c>
      <c r="P1463" s="200"/>
      <c r="Q1463" s="200"/>
      <c r="R1463" s="200"/>
      <c r="S1463" s="200"/>
      <c r="T1463" s="66"/>
      <c r="U1463" s="66"/>
      <c r="V1463" s="66"/>
    </row>
    <row r="1464" spans="1:22" s="64" customFormat="1" x14ac:dyDescent="0.25">
      <c r="A1464" s="65" t="s">
        <v>1428</v>
      </c>
      <c r="B1464" s="511" t="s">
        <v>1429</v>
      </c>
      <c r="C1464" s="511"/>
      <c r="D1464" s="511"/>
      <c r="E1464" s="61" t="s">
        <v>1570</v>
      </c>
      <c r="F1464" s="61" t="s">
        <v>54</v>
      </c>
      <c r="G1464" s="61" t="s">
        <v>55</v>
      </c>
      <c r="H1464" s="61"/>
      <c r="I1464" s="61" t="s">
        <v>1366</v>
      </c>
      <c r="J1464" s="62">
        <v>270</v>
      </c>
      <c r="K1464" s="62">
        <v>300</v>
      </c>
      <c r="L1464" s="62">
        <v>300</v>
      </c>
      <c r="M1464" s="232">
        <v>380</v>
      </c>
      <c r="N1464" s="55" t="s">
        <v>1653</v>
      </c>
      <c r="O1464" s="61" t="s">
        <v>52</v>
      </c>
      <c r="P1464" s="200"/>
      <c r="Q1464" s="200"/>
      <c r="R1464" s="200"/>
      <c r="S1464" s="200"/>
      <c r="T1464" s="66"/>
      <c r="U1464" s="66"/>
      <c r="V1464" s="66"/>
    </row>
    <row r="1465" spans="1:22" s="64" customFormat="1" x14ac:dyDescent="0.25">
      <c r="A1465" s="65" t="s">
        <v>1428</v>
      </c>
      <c r="B1465" s="511" t="s">
        <v>1432</v>
      </c>
      <c r="C1465" s="511"/>
      <c r="D1465" s="511"/>
      <c r="E1465" s="61" t="s">
        <v>1570</v>
      </c>
      <c r="F1465" s="61" t="s">
        <v>54</v>
      </c>
      <c r="G1465" s="61" t="s">
        <v>55</v>
      </c>
      <c r="H1465" s="61"/>
      <c r="I1465" s="61" t="s">
        <v>1366</v>
      </c>
      <c r="J1465" s="62">
        <v>360</v>
      </c>
      <c r="K1465" s="62">
        <v>400</v>
      </c>
      <c r="L1465" s="62">
        <v>400</v>
      </c>
      <c r="M1465" s="232">
        <v>510</v>
      </c>
      <c r="N1465" s="55" t="s">
        <v>1653</v>
      </c>
      <c r="O1465" s="61" t="s">
        <v>52</v>
      </c>
      <c r="P1465" s="200"/>
      <c r="Q1465" s="200"/>
      <c r="R1465" s="200"/>
      <c r="S1465" s="200"/>
      <c r="T1465" s="66"/>
      <c r="U1465" s="66"/>
      <c r="V1465" s="66"/>
    </row>
    <row r="1466" spans="1:22" s="64" customFormat="1" x14ac:dyDescent="0.25">
      <c r="A1466" s="65" t="s">
        <v>1433</v>
      </c>
      <c r="B1466" s="511" t="s">
        <v>1434</v>
      </c>
      <c r="C1466" s="511"/>
      <c r="D1466" s="511"/>
      <c r="E1466" s="61" t="s">
        <v>1435</v>
      </c>
      <c r="F1466" s="61" t="s">
        <v>54</v>
      </c>
      <c r="G1466" s="61" t="s">
        <v>55</v>
      </c>
      <c r="H1466" s="61"/>
      <c r="I1466" s="61" t="s">
        <v>1366</v>
      </c>
      <c r="J1466" s="62">
        <v>225</v>
      </c>
      <c r="K1466" s="62">
        <v>250</v>
      </c>
      <c r="L1466" s="62">
        <v>250</v>
      </c>
      <c r="M1466" s="232">
        <v>320</v>
      </c>
      <c r="N1466" s="55" t="s">
        <v>1653</v>
      </c>
      <c r="O1466" s="61" t="s">
        <v>52</v>
      </c>
      <c r="P1466" s="200"/>
      <c r="Q1466" s="200"/>
      <c r="R1466" s="200"/>
      <c r="S1466" s="200"/>
      <c r="T1466" s="66"/>
      <c r="U1466" s="66"/>
      <c r="V1466" s="66"/>
    </row>
    <row r="1467" spans="1:22" s="64" customFormat="1" x14ac:dyDescent="0.25">
      <c r="A1467" s="65" t="s">
        <v>1433</v>
      </c>
      <c r="B1467" s="511" t="s">
        <v>1434</v>
      </c>
      <c r="C1467" s="511"/>
      <c r="D1467" s="511"/>
      <c r="E1467" s="61" t="s">
        <v>1435</v>
      </c>
      <c r="F1467" s="61" t="s">
        <v>389</v>
      </c>
      <c r="G1467" s="61" t="s">
        <v>55</v>
      </c>
      <c r="H1467" s="61"/>
      <c r="I1467" s="61" t="s">
        <v>1366</v>
      </c>
      <c r="J1467" s="62">
        <v>225</v>
      </c>
      <c r="K1467" s="62">
        <v>250</v>
      </c>
      <c r="L1467" s="62">
        <v>250</v>
      </c>
      <c r="M1467" s="232">
        <v>320</v>
      </c>
      <c r="N1467" s="55" t="s">
        <v>1653</v>
      </c>
      <c r="O1467" s="61" t="s">
        <v>52</v>
      </c>
      <c r="P1467" s="200"/>
      <c r="Q1467" s="200"/>
      <c r="R1467" s="200"/>
      <c r="S1467" s="200"/>
      <c r="T1467" s="66"/>
      <c r="U1467" s="66"/>
      <c r="V1467" s="66"/>
    </row>
    <row r="1468" spans="1:22" s="64" customFormat="1" x14ac:dyDescent="0.25">
      <c r="A1468" s="65" t="s">
        <v>1433</v>
      </c>
      <c r="B1468" s="511" t="s">
        <v>1441</v>
      </c>
      <c r="C1468" s="511"/>
      <c r="D1468" s="511"/>
      <c r="E1468" s="61" t="s">
        <v>1435</v>
      </c>
      <c r="F1468" s="61" t="s">
        <v>54</v>
      </c>
      <c r="G1468" s="61" t="s">
        <v>55</v>
      </c>
      <c r="H1468" s="61"/>
      <c r="I1468" s="61" t="s">
        <v>1366</v>
      </c>
      <c r="J1468" s="62">
        <v>450</v>
      </c>
      <c r="K1468" s="62">
        <v>500</v>
      </c>
      <c r="L1468" s="62">
        <v>500</v>
      </c>
      <c r="M1468" s="232">
        <v>635</v>
      </c>
      <c r="N1468" s="55" t="s">
        <v>1653</v>
      </c>
      <c r="O1468" s="61" t="s">
        <v>52</v>
      </c>
      <c r="P1468" s="200"/>
      <c r="Q1468" s="200"/>
      <c r="R1468" s="200"/>
      <c r="S1468" s="200"/>
      <c r="T1468" s="66"/>
      <c r="U1468" s="66"/>
      <c r="V1468" s="66"/>
    </row>
    <row r="1469" spans="1:22" s="64" customFormat="1" x14ac:dyDescent="0.25">
      <c r="A1469" s="65" t="s">
        <v>1433</v>
      </c>
      <c r="B1469" s="511" t="s">
        <v>1441</v>
      </c>
      <c r="C1469" s="511"/>
      <c r="D1469" s="511"/>
      <c r="E1469" s="61" t="s">
        <v>1435</v>
      </c>
      <c r="F1469" s="61" t="s">
        <v>389</v>
      </c>
      <c r="G1469" s="61" t="s">
        <v>55</v>
      </c>
      <c r="H1469" s="61"/>
      <c r="I1469" s="61" t="s">
        <v>1366</v>
      </c>
      <c r="J1469" s="62">
        <v>450</v>
      </c>
      <c r="K1469" s="62">
        <v>500</v>
      </c>
      <c r="L1469" s="62">
        <v>500</v>
      </c>
      <c r="M1469" s="232">
        <v>635</v>
      </c>
      <c r="N1469" s="55" t="s">
        <v>1653</v>
      </c>
      <c r="O1469" s="61" t="s">
        <v>52</v>
      </c>
      <c r="P1469" s="200"/>
      <c r="Q1469" s="200"/>
      <c r="R1469" s="200"/>
      <c r="S1469" s="200"/>
      <c r="T1469" s="66"/>
      <c r="U1469" s="66"/>
      <c r="V1469" s="66"/>
    </row>
    <row r="1470" spans="1:22" s="64" customFormat="1" x14ac:dyDescent="0.25">
      <c r="A1470" s="65" t="s">
        <v>1433</v>
      </c>
      <c r="B1470" s="511" t="s">
        <v>1442</v>
      </c>
      <c r="C1470" s="511"/>
      <c r="D1470" s="511"/>
      <c r="E1470" s="61" t="s">
        <v>1435</v>
      </c>
      <c r="F1470" s="61" t="s">
        <v>54</v>
      </c>
      <c r="G1470" s="61" t="s">
        <v>55</v>
      </c>
      <c r="H1470" s="61"/>
      <c r="I1470" s="61" t="s">
        <v>1366</v>
      </c>
      <c r="J1470" s="62">
        <v>225</v>
      </c>
      <c r="K1470" s="62">
        <v>250</v>
      </c>
      <c r="L1470" s="62">
        <v>250</v>
      </c>
      <c r="M1470" s="232">
        <v>320</v>
      </c>
      <c r="N1470" s="55" t="s">
        <v>1653</v>
      </c>
      <c r="O1470" s="61" t="s">
        <v>52</v>
      </c>
      <c r="P1470" s="200"/>
      <c r="Q1470" s="200"/>
      <c r="R1470" s="200"/>
      <c r="S1470" s="200"/>
      <c r="T1470" s="66"/>
      <c r="U1470" s="66"/>
      <c r="V1470" s="66"/>
    </row>
    <row r="1471" spans="1:22" s="64" customFormat="1" x14ac:dyDescent="0.25">
      <c r="A1471" s="65" t="s">
        <v>1433</v>
      </c>
      <c r="B1471" s="511" t="s">
        <v>1442</v>
      </c>
      <c r="C1471" s="511"/>
      <c r="D1471" s="511"/>
      <c r="E1471" s="61" t="s">
        <v>1435</v>
      </c>
      <c r="F1471" s="61" t="s">
        <v>389</v>
      </c>
      <c r="G1471" s="61" t="s">
        <v>55</v>
      </c>
      <c r="H1471" s="61"/>
      <c r="I1471" s="61" t="s">
        <v>1366</v>
      </c>
      <c r="J1471" s="62">
        <v>225</v>
      </c>
      <c r="K1471" s="62">
        <v>250</v>
      </c>
      <c r="L1471" s="62">
        <v>250</v>
      </c>
      <c r="M1471" s="232">
        <v>320</v>
      </c>
      <c r="N1471" s="55" t="s">
        <v>1653</v>
      </c>
      <c r="O1471" s="61" t="s">
        <v>52</v>
      </c>
      <c r="P1471" s="200"/>
      <c r="Q1471" s="200"/>
      <c r="R1471" s="200"/>
      <c r="S1471" s="200"/>
      <c r="T1471" s="66"/>
      <c r="U1471" s="66"/>
      <c r="V1471" s="66"/>
    </row>
    <row r="1472" spans="1:22" s="64" customFormat="1" x14ac:dyDescent="0.25">
      <c r="A1472" s="65" t="s">
        <v>1433</v>
      </c>
      <c r="B1472" s="511" t="s">
        <v>1443</v>
      </c>
      <c r="C1472" s="511"/>
      <c r="D1472" s="511"/>
      <c r="E1472" s="61" t="s">
        <v>1435</v>
      </c>
      <c r="F1472" s="61" t="s">
        <v>54</v>
      </c>
      <c r="G1472" s="61" t="s">
        <v>55</v>
      </c>
      <c r="H1472" s="61"/>
      <c r="I1472" s="61" t="s">
        <v>1366</v>
      </c>
      <c r="J1472" s="62">
        <v>540</v>
      </c>
      <c r="K1472" s="62">
        <v>600</v>
      </c>
      <c r="L1472" s="62">
        <v>600</v>
      </c>
      <c r="M1472" s="232">
        <v>760</v>
      </c>
      <c r="N1472" s="55" t="s">
        <v>1653</v>
      </c>
      <c r="O1472" s="61" t="s">
        <v>52</v>
      </c>
      <c r="P1472" s="200"/>
      <c r="Q1472" s="200"/>
      <c r="R1472" s="200"/>
      <c r="S1472" s="200"/>
      <c r="T1472" s="66"/>
      <c r="U1472" s="66"/>
      <c r="V1472" s="66"/>
    </row>
    <row r="1473" spans="1:22" s="64" customFormat="1" x14ac:dyDescent="0.25">
      <c r="A1473" s="65" t="s">
        <v>1433</v>
      </c>
      <c r="B1473" s="511" t="s">
        <v>1443</v>
      </c>
      <c r="C1473" s="511"/>
      <c r="D1473" s="511"/>
      <c r="E1473" s="61" t="s">
        <v>1435</v>
      </c>
      <c r="F1473" s="61" t="s">
        <v>389</v>
      </c>
      <c r="G1473" s="61" t="s">
        <v>55</v>
      </c>
      <c r="H1473" s="61"/>
      <c r="I1473" s="61" t="s">
        <v>1366</v>
      </c>
      <c r="J1473" s="62">
        <v>540</v>
      </c>
      <c r="K1473" s="62">
        <v>600</v>
      </c>
      <c r="L1473" s="62">
        <v>600</v>
      </c>
      <c r="M1473" s="232">
        <v>760</v>
      </c>
      <c r="N1473" s="55" t="s">
        <v>1653</v>
      </c>
      <c r="O1473" s="61" t="s">
        <v>52</v>
      </c>
      <c r="P1473" s="200"/>
      <c r="Q1473" s="200"/>
      <c r="R1473" s="200"/>
      <c r="S1473" s="200"/>
      <c r="T1473" s="66"/>
      <c r="U1473" s="66"/>
      <c r="V1473" s="66"/>
    </row>
    <row r="1474" spans="1:22" s="64" customFormat="1" x14ac:dyDescent="0.25">
      <c r="A1474" s="65" t="s">
        <v>1433</v>
      </c>
      <c r="B1474" s="511" t="s">
        <v>1445</v>
      </c>
      <c r="C1474" s="511"/>
      <c r="D1474" s="511"/>
      <c r="E1474" s="61" t="s">
        <v>1435</v>
      </c>
      <c r="F1474" s="61" t="s">
        <v>54</v>
      </c>
      <c r="G1474" s="61" t="s">
        <v>55</v>
      </c>
      <c r="H1474" s="61"/>
      <c r="I1474" s="61" t="s">
        <v>1366</v>
      </c>
      <c r="J1474" s="62">
        <v>270</v>
      </c>
      <c r="K1474" s="62">
        <v>300</v>
      </c>
      <c r="L1474" s="62">
        <v>300</v>
      </c>
      <c r="M1474" s="232">
        <v>385</v>
      </c>
      <c r="N1474" s="55" t="s">
        <v>1653</v>
      </c>
      <c r="O1474" s="61" t="s">
        <v>52</v>
      </c>
      <c r="P1474" s="200"/>
      <c r="Q1474" s="200"/>
      <c r="R1474" s="200"/>
      <c r="S1474" s="200"/>
      <c r="T1474" s="66"/>
      <c r="U1474" s="66"/>
      <c r="V1474" s="66"/>
    </row>
    <row r="1475" spans="1:22" s="64" customFormat="1" x14ac:dyDescent="0.25">
      <c r="A1475" s="65" t="s">
        <v>1433</v>
      </c>
      <c r="B1475" s="511" t="s">
        <v>1445</v>
      </c>
      <c r="C1475" s="511"/>
      <c r="D1475" s="511"/>
      <c r="E1475" s="61" t="s">
        <v>1435</v>
      </c>
      <c r="F1475" s="61" t="s">
        <v>389</v>
      </c>
      <c r="G1475" s="61" t="s">
        <v>55</v>
      </c>
      <c r="H1475" s="61"/>
      <c r="I1475" s="61" t="s">
        <v>1366</v>
      </c>
      <c r="J1475" s="62">
        <v>270</v>
      </c>
      <c r="K1475" s="62">
        <v>300</v>
      </c>
      <c r="L1475" s="62">
        <v>300</v>
      </c>
      <c r="M1475" s="232">
        <v>385</v>
      </c>
      <c r="N1475" s="55" t="s">
        <v>1653</v>
      </c>
      <c r="O1475" s="61" t="s">
        <v>52</v>
      </c>
      <c r="P1475" s="200"/>
      <c r="Q1475" s="200"/>
      <c r="R1475" s="200"/>
      <c r="S1475" s="200"/>
      <c r="T1475" s="66"/>
      <c r="U1475" s="66"/>
      <c r="V1475" s="66"/>
    </row>
    <row r="1476" spans="1:22" s="64" customFormat="1" x14ac:dyDescent="0.25">
      <c r="A1476" s="65" t="s">
        <v>1433</v>
      </c>
      <c r="B1476" s="511" t="s">
        <v>1446</v>
      </c>
      <c r="C1476" s="511"/>
      <c r="D1476" s="511"/>
      <c r="E1476" s="61" t="s">
        <v>1435</v>
      </c>
      <c r="F1476" s="61" t="s">
        <v>54</v>
      </c>
      <c r="G1476" s="61" t="s">
        <v>55</v>
      </c>
      <c r="H1476" s="61"/>
      <c r="I1476" s="61" t="s">
        <v>1366</v>
      </c>
      <c r="J1476" s="62">
        <v>630</v>
      </c>
      <c r="K1476" s="62">
        <v>700</v>
      </c>
      <c r="L1476" s="62">
        <v>700</v>
      </c>
      <c r="M1476" s="232">
        <v>890</v>
      </c>
      <c r="N1476" s="55" t="s">
        <v>1653</v>
      </c>
      <c r="O1476" s="61" t="s">
        <v>52</v>
      </c>
      <c r="P1476" s="200"/>
      <c r="Q1476" s="200"/>
      <c r="R1476" s="200"/>
      <c r="S1476" s="200"/>
      <c r="T1476" s="66"/>
      <c r="U1476" s="66"/>
      <c r="V1476" s="66"/>
    </row>
    <row r="1477" spans="1:22" s="64" customFormat="1" x14ac:dyDescent="0.25">
      <c r="A1477" s="65" t="s">
        <v>1433</v>
      </c>
      <c r="B1477" s="511" t="s">
        <v>1446</v>
      </c>
      <c r="C1477" s="511"/>
      <c r="D1477" s="511"/>
      <c r="E1477" s="61" t="s">
        <v>1435</v>
      </c>
      <c r="F1477" s="61" t="s">
        <v>389</v>
      </c>
      <c r="G1477" s="61" t="s">
        <v>55</v>
      </c>
      <c r="H1477" s="61"/>
      <c r="I1477" s="61" t="s">
        <v>1366</v>
      </c>
      <c r="J1477" s="62">
        <v>630</v>
      </c>
      <c r="K1477" s="62">
        <v>700</v>
      </c>
      <c r="L1477" s="62">
        <v>700</v>
      </c>
      <c r="M1477" s="232">
        <v>890</v>
      </c>
      <c r="N1477" s="55" t="s">
        <v>1653</v>
      </c>
      <c r="O1477" s="61" t="s">
        <v>52</v>
      </c>
      <c r="P1477" s="200"/>
      <c r="Q1477" s="200"/>
      <c r="R1477" s="200"/>
      <c r="S1477" s="200"/>
      <c r="T1477" s="66"/>
      <c r="U1477" s="66"/>
      <c r="V1477" s="66"/>
    </row>
    <row r="1478" spans="1:22" s="64" customFormat="1" x14ac:dyDescent="0.25">
      <c r="A1478" s="65" t="s">
        <v>1433</v>
      </c>
      <c r="B1478" s="511" t="s">
        <v>1449</v>
      </c>
      <c r="C1478" s="511"/>
      <c r="D1478" s="511"/>
      <c r="E1478" s="61" t="s">
        <v>1435</v>
      </c>
      <c r="F1478" s="61" t="s">
        <v>54</v>
      </c>
      <c r="G1478" s="61" t="s">
        <v>55</v>
      </c>
      <c r="H1478" s="61"/>
      <c r="I1478" s="61" t="s">
        <v>1366</v>
      </c>
      <c r="J1478" s="62">
        <v>45</v>
      </c>
      <c r="K1478" s="62">
        <v>50</v>
      </c>
      <c r="L1478" s="62">
        <v>50</v>
      </c>
      <c r="M1478" s="232">
        <v>65</v>
      </c>
      <c r="N1478" s="55" t="s">
        <v>1653</v>
      </c>
      <c r="O1478" s="61" t="s">
        <v>52</v>
      </c>
      <c r="P1478" s="200"/>
      <c r="Q1478" s="200"/>
      <c r="R1478" s="200"/>
      <c r="S1478" s="200"/>
      <c r="T1478" s="66"/>
      <c r="U1478" s="66"/>
      <c r="V1478" s="66"/>
    </row>
    <row r="1479" spans="1:22" s="64" customFormat="1" x14ac:dyDescent="0.25">
      <c r="A1479" s="65" t="s">
        <v>1433</v>
      </c>
      <c r="B1479" s="511" t="s">
        <v>1452</v>
      </c>
      <c r="C1479" s="511"/>
      <c r="D1479" s="511"/>
      <c r="E1479" s="61" t="s">
        <v>1435</v>
      </c>
      <c r="F1479" s="61" t="s">
        <v>54</v>
      </c>
      <c r="G1479" s="61" t="s">
        <v>55</v>
      </c>
      <c r="H1479" s="61"/>
      <c r="I1479" s="61" t="s">
        <v>1366</v>
      </c>
      <c r="J1479" s="62">
        <v>675</v>
      </c>
      <c r="K1479" s="62">
        <v>750</v>
      </c>
      <c r="L1479" s="62">
        <v>750</v>
      </c>
      <c r="M1479" s="232">
        <v>955</v>
      </c>
      <c r="N1479" s="55" t="s">
        <v>1653</v>
      </c>
      <c r="O1479" s="61" t="s">
        <v>52</v>
      </c>
      <c r="P1479" s="200"/>
      <c r="Q1479" s="200"/>
      <c r="R1479" s="200"/>
      <c r="S1479" s="200"/>
      <c r="T1479" s="66"/>
      <c r="U1479" s="66"/>
      <c r="V1479" s="66"/>
    </row>
    <row r="1480" spans="1:22" s="64" customFormat="1" x14ac:dyDescent="0.25">
      <c r="A1480" s="65" t="s">
        <v>1433</v>
      </c>
      <c r="B1480" s="511" t="s">
        <v>1452</v>
      </c>
      <c r="C1480" s="511"/>
      <c r="D1480" s="511"/>
      <c r="E1480" s="61" t="s">
        <v>1435</v>
      </c>
      <c r="F1480" s="61" t="s">
        <v>389</v>
      </c>
      <c r="G1480" s="61" t="s">
        <v>55</v>
      </c>
      <c r="H1480" s="61"/>
      <c r="I1480" s="61" t="s">
        <v>1366</v>
      </c>
      <c r="J1480" s="62">
        <v>675</v>
      </c>
      <c r="K1480" s="62">
        <v>750</v>
      </c>
      <c r="L1480" s="62">
        <v>750</v>
      </c>
      <c r="M1480" s="232">
        <v>955</v>
      </c>
      <c r="N1480" s="55" t="s">
        <v>1653</v>
      </c>
      <c r="O1480" s="61" t="s">
        <v>52</v>
      </c>
      <c r="P1480" s="200"/>
      <c r="Q1480" s="200"/>
      <c r="R1480" s="200"/>
      <c r="S1480" s="200"/>
      <c r="T1480" s="66"/>
      <c r="U1480" s="66"/>
      <c r="V1480" s="66"/>
    </row>
    <row r="1481" spans="1:22" s="64" customFormat="1" x14ac:dyDescent="0.25">
      <c r="A1481" s="65" t="s">
        <v>1433</v>
      </c>
      <c r="B1481" s="511" t="s">
        <v>1463</v>
      </c>
      <c r="C1481" s="511"/>
      <c r="D1481" s="511"/>
      <c r="E1481" s="61" t="s">
        <v>1435</v>
      </c>
      <c r="F1481" s="61" t="s">
        <v>54</v>
      </c>
      <c r="G1481" s="61" t="s">
        <v>55</v>
      </c>
      <c r="H1481" s="61"/>
      <c r="I1481" s="61" t="s">
        <v>1366</v>
      </c>
      <c r="J1481" s="62">
        <v>270</v>
      </c>
      <c r="K1481" s="62">
        <v>300</v>
      </c>
      <c r="L1481" s="62">
        <v>300</v>
      </c>
      <c r="M1481" s="232">
        <v>385</v>
      </c>
      <c r="N1481" s="55" t="s">
        <v>1653</v>
      </c>
      <c r="O1481" s="61" t="s">
        <v>52</v>
      </c>
      <c r="P1481" s="200"/>
      <c r="Q1481" s="200"/>
      <c r="R1481" s="200"/>
      <c r="S1481" s="200"/>
      <c r="T1481" s="66"/>
      <c r="U1481" s="66"/>
      <c r="V1481" s="66"/>
    </row>
    <row r="1482" spans="1:22" s="64" customFormat="1" x14ac:dyDescent="0.25">
      <c r="A1482" s="65" t="s">
        <v>1433</v>
      </c>
      <c r="B1482" s="511" t="s">
        <v>1463</v>
      </c>
      <c r="C1482" s="511"/>
      <c r="D1482" s="511"/>
      <c r="E1482" s="61" t="s">
        <v>1435</v>
      </c>
      <c r="F1482" s="61" t="s">
        <v>389</v>
      </c>
      <c r="G1482" s="61" t="s">
        <v>55</v>
      </c>
      <c r="H1482" s="61"/>
      <c r="I1482" s="61" t="s">
        <v>1366</v>
      </c>
      <c r="J1482" s="62">
        <v>270</v>
      </c>
      <c r="K1482" s="62">
        <v>300</v>
      </c>
      <c r="L1482" s="62">
        <v>300</v>
      </c>
      <c r="M1482" s="232">
        <v>385</v>
      </c>
      <c r="N1482" s="55" t="s">
        <v>1653</v>
      </c>
      <c r="O1482" s="61" t="s">
        <v>52</v>
      </c>
      <c r="P1482" s="200"/>
      <c r="Q1482" s="200"/>
      <c r="R1482" s="200"/>
      <c r="S1482" s="200"/>
      <c r="T1482" s="66"/>
      <c r="U1482" s="66"/>
      <c r="V1482" s="66"/>
    </row>
    <row r="1483" spans="1:22" s="64" customFormat="1" x14ac:dyDescent="0.25">
      <c r="A1483" s="65" t="s">
        <v>1433</v>
      </c>
      <c r="B1483" s="511" t="s">
        <v>1466</v>
      </c>
      <c r="C1483" s="511"/>
      <c r="D1483" s="511"/>
      <c r="E1483" s="61" t="s">
        <v>1435</v>
      </c>
      <c r="F1483" s="61" t="s">
        <v>54</v>
      </c>
      <c r="G1483" s="61" t="s">
        <v>55</v>
      </c>
      <c r="H1483" s="61"/>
      <c r="I1483" s="61" t="s">
        <v>1366</v>
      </c>
      <c r="J1483" s="62">
        <v>270</v>
      </c>
      <c r="K1483" s="62">
        <v>300</v>
      </c>
      <c r="L1483" s="62">
        <v>300</v>
      </c>
      <c r="M1483" s="232">
        <v>385</v>
      </c>
      <c r="N1483" s="55" t="s">
        <v>1653</v>
      </c>
      <c r="O1483" s="61" t="s">
        <v>52</v>
      </c>
      <c r="P1483" s="200"/>
      <c r="Q1483" s="200"/>
      <c r="R1483" s="200"/>
      <c r="S1483" s="200"/>
      <c r="T1483" s="66"/>
      <c r="U1483" s="66"/>
      <c r="V1483" s="66"/>
    </row>
    <row r="1484" spans="1:22" s="64" customFormat="1" x14ac:dyDescent="0.25">
      <c r="A1484" s="65" t="s">
        <v>1433</v>
      </c>
      <c r="B1484" s="511" t="s">
        <v>1466</v>
      </c>
      <c r="C1484" s="511"/>
      <c r="D1484" s="511"/>
      <c r="E1484" s="61" t="s">
        <v>1435</v>
      </c>
      <c r="F1484" s="61" t="s">
        <v>389</v>
      </c>
      <c r="G1484" s="61" t="s">
        <v>55</v>
      </c>
      <c r="H1484" s="61"/>
      <c r="I1484" s="61" t="s">
        <v>1366</v>
      </c>
      <c r="J1484" s="62">
        <v>270</v>
      </c>
      <c r="K1484" s="62">
        <v>300</v>
      </c>
      <c r="L1484" s="62">
        <v>300</v>
      </c>
      <c r="M1484" s="232">
        <v>385</v>
      </c>
      <c r="N1484" s="55" t="s">
        <v>1653</v>
      </c>
      <c r="O1484" s="61" t="s">
        <v>52</v>
      </c>
      <c r="P1484" s="200"/>
      <c r="Q1484" s="200"/>
      <c r="R1484" s="200"/>
      <c r="S1484" s="200"/>
      <c r="T1484" s="66"/>
      <c r="U1484" s="66"/>
      <c r="V1484" s="66"/>
    </row>
    <row r="1485" spans="1:22" s="64" customFormat="1" x14ac:dyDescent="0.25">
      <c r="A1485" s="65" t="s">
        <v>1433</v>
      </c>
      <c r="B1485" s="511" t="s">
        <v>1469</v>
      </c>
      <c r="C1485" s="511"/>
      <c r="D1485" s="511"/>
      <c r="E1485" s="61" t="s">
        <v>1435</v>
      </c>
      <c r="F1485" s="61" t="s">
        <v>54</v>
      </c>
      <c r="G1485" s="61" t="s">
        <v>55</v>
      </c>
      <c r="H1485" s="61"/>
      <c r="I1485" s="61" t="s">
        <v>1366</v>
      </c>
      <c r="J1485" s="62">
        <v>360</v>
      </c>
      <c r="K1485" s="62">
        <v>400</v>
      </c>
      <c r="L1485" s="62">
        <v>400</v>
      </c>
      <c r="M1485" s="232">
        <v>510</v>
      </c>
      <c r="N1485" s="55" t="s">
        <v>1653</v>
      </c>
      <c r="O1485" s="61" t="s">
        <v>52</v>
      </c>
      <c r="P1485" s="200"/>
      <c r="Q1485" s="200"/>
      <c r="R1485" s="200"/>
      <c r="S1485" s="200"/>
      <c r="T1485" s="66"/>
      <c r="U1485" s="66"/>
      <c r="V1485" s="66"/>
    </row>
    <row r="1486" spans="1:22" s="64" customFormat="1" x14ac:dyDescent="0.25">
      <c r="A1486" s="65" t="s">
        <v>1433</v>
      </c>
      <c r="B1486" s="511" t="s">
        <v>1469</v>
      </c>
      <c r="C1486" s="511"/>
      <c r="D1486" s="511"/>
      <c r="E1486" s="61" t="s">
        <v>1435</v>
      </c>
      <c r="F1486" s="61" t="s">
        <v>389</v>
      </c>
      <c r="G1486" s="61" t="s">
        <v>55</v>
      </c>
      <c r="H1486" s="61"/>
      <c r="I1486" s="61" t="s">
        <v>1366</v>
      </c>
      <c r="J1486" s="62">
        <v>360</v>
      </c>
      <c r="K1486" s="62">
        <v>400</v>
      </c>
      <c r="L1486" s="62">
        <v>400</v>
      </c>
      <c r="M1486" s="232">
        <v>510</v>
      </c>
      <c r="N1486" s="55" t="s">
        <v>1653</v>
      </c>
      <c r="O1486" s="61" t="s">
        <v>52</v>
      </c>
      <c r="P1486" s="200"/>
      <c r="Q1486" s="200"/>
      <c r="R1486" s="200"/>
      <c r="S1486" s="200"/>
      <c r="T1486" s="66"/>
      <c r="U1486" s="66"/>
      <c r="V1486" s="66"/>
    </row>
    <row r="1487" spans="1:22" s="64" customFormat="1" x14ac:dyDescent="0.25">
      <c r="A1487" s="65" t="s">
        <v>1433</v>
      </c>
      <c r="B1487" s="511" t="s">
        <v>1473</v>
      </c>
      <c r="C1487" s="511"/>
      <c r="D1487" s="511"/>
      <c r="E1487" s="61" t="s">
        <v>1435</v>
      </c>
      <c r="F1487" s="61" t="s">
        <v>54</v>
      </c>
      <c r="G1487" s="61" t="s">
        <v>55</v>
      </c>
      <c r="H1487" s="61"/>
      <c r="I1487" s="61" t="s">
        <v>1366</v>
      </c>
      <c r="J1487" s="62">
        <v>225</v>
      </c>
      <c r="K1487" s="62">
        <v>250</v>
      </c>
      <c r="L1487" s="62">
        <v>250</v>
      </c>
      <c r="M1487" s="232">
        <v>320</v>
      </c>
      <c r="N1487" s="55" t="s">
        <v>1653</v>
      </c>
      <c r="O1487" s="61" t="s">
        <v>52</v>
      </c>
      <c r="P1487" s="200"/>
      <c r="Q1487" s="200"/>
      <c r="R1487" s="200"/>
      <c r="S1487" s="200"/>
      <c r="T1487" s="66"/>
      <c r="U1487" s="66"/>
      <c r="V1487" s="66"/>
    </row>
    <row r="1488" spans="1:22" s="64" customFormat="1" x14ac:dyDescent="0.25">
      <c r="A1488" s="65" t="s">
        <v>1433</v>
      </c>
      <c r="B1488" s="511" t="s">
        <v>1473</v>
      </c>
      <c r="C1488" s="511"/>
      <c r="D1488" s="511"/>
      <c r="E1488" s="61" t="s">
        <v>1435</v>
      </c>
      <c r="F1488" s="61" t="s">
        <v>389</v>
      </c>
      <c r="G1488" s="61" t="s">
        <v>55</v>
      </c>
      <c r="H1488" s="61"/>
      <c r="I1488" s="61" t="s">
        <v>1366</v>
      </c>
      <c r="J1488" s="62">
        <v>225</v>
      </c>
      <c r="K1488" s="62">
        <v>250</v>
      </c>
      <c r="L1488" s="62">
        <v>250</v>
      </c>
      <c r="M1488" s="232">
        <v>320</v>
      </c>
      <c r="N1488" s="55" t="s">
        <v>1653</v>
      </c>
      <c r="O1488" s="61" t="s">
        <v>52</v>
      </c>
      <c r="P1488" s="200"/>
      <c r="Q1488" s="200"/>
      <c r="R1488" s="200"/>
      <c r="S1488" s="200"/>
      <c r="T1488" s="66"/>
      <c r="U1488" s="66"/>
      <c r="V1488" s="66"/>
    </row>
    <row r="1489" spans="1:22" s="64" customFormat="1" x14ac:dyDescent="0.25">
      <c r="A1489" s="65" t="s">
        <v>1433</v>
      </c>
      <c r="B1489" s="511" t="s">
        <v>1474</v>
      </c>
      <c r="C1489" s="511"/>
      <c r="D1489" s="511"/>
      <c r="E1489" s="61" t="s">
        <v>1435</v>
      </c>
      <c r="F1489" s="61" t="s">
        <v>54</v>
      </c>
      <c r="G1489" s="61" t="s">
        <v>55</v>
      </c>
      <c r="H1489" s="61"/>
      <c r="I1489" s="61" t="s">
        <v>1366</v>
      </c>
      <c r="J1489" s="62">
        <v>90</v>
      </c>
      <c r="K1489" s="62">
        <v>100</v>
      </c>
      <c r="L1489" s="62">
        <v>100</v>
      </c>
      <c r="M1489" s="232">
        <v>130</v>
      </c>
      <c r="N1489" s="55" t="s">
        <v>1653</v>
      </c>
      <c r="O1489" s="61" t="s">
        <v>52</v>
      </c>
      <c r="P1489" s="200"/>
      <c r="Q1489" s="200"/>
      <c r="R1489" s="200"/>
      <c r="S1489" s="200"/>
      <c r="T1489" s="66"/>
      <c r="U1489" s="66"/>
      <c r="V1489" s="66"/>
    </row>
    <row r="1490" spans="1:22" s="64" customFormat="1" x14ac:dyDescent="0.25">
      <c r="A1490" s="65" t="s">
        <v>1433</v>
      </c>
      <c r="B1490" s="511" t="s">
        <v>1476</v>
      </c>
      <c r="C1490" s="511"/>
      <c r="D1490" s="511"/>
      <c r="E1490" s="61" t="s">
        <v>1435</v>
      </c>
      <c r="F1490" s="61" t="s">
        <v>54</v>
      </c>
      <c r="G1490" s="61" t="s">
        <v>55</v>
      </c>
      <c r="H1490" s="61"/>
      <c r="I1490" s="61" t="s">
        <v>1366</v>
      </c>
      <c r="J1490" s="62">
        <v>630</v>
      </c>
      <c r="K1490" s="62">
        <v>700</v>
      </c>
      <c r="L1490" s="62">
        <v>700</v>
      </c>
      <c r="M1490" s="232">
        <v>890</v>
      </c>
      <c r="N1490" s="55" t="s">
        <v>1653</v>
      </c>
      <c r="O1490" s="61" t="s">
        <v>52</v>
      </c>
      <c r="P1490" s="200"/>
      <c r="Q1490" s="200"/>
      <c r="R1490" s="200"/>
      <c r="S1490" s="200"/>
      <c r="T1490" s="66"/>
      <c r="U1490" s="66"/>
      <c r="V1490" s="66"/>
    </row>
    <row r="1491" spans="1:22" s="64" customFormat="1" x14ac:dyDescent="0.25">
      <c r="A1491" s="65" t="s">
        <v>1433</v>
      </c>
      <c r="B1491" s="511" t="s">
        <v>1476</v>
      </c>
      <c r="C1491" s="511"/>
      <c r="D1491" s="511"/>
      <c r="E1491" s="61" t="s">
        <v>1435</v>
      </c>
      <c r="F1491" s="61" t="s">
        <v>389</v>
      </c>
      <c r="G1491" s="61" t="s">
        <v>55</v>
      </c>
      <c r="H1491" s="61"/>
      <c r="I1491" s="61" t="s">
        <v>1366</v>
      </c>
      <c r="J1491" s="62">
        <v>630</v>
      </c>
      <c r="K1491" s="62">
        <v>700</v>
      </c>
      <c r="L1491" s="62">
        <v>700</v>
      </c>
      <c r="M1491" s="232">
        <v>890</v>
      </c>
      <c r="N1491" s="55" t="s">
        <v>1653</v>
      </c>
      <c r="O1491" s="61" t="s">
        <v>52</v>
      </c>
      <c r="P1491" s="200"/>
      <c r="Q1491" s="200"/>
      <c r="R1491" s="200"/>
      <c r="S1491" s="200"/>
      <c r="T1491" s="66"/>
      <c r="U1491" s="66"/>
      <c r="V1491" s="66"/>
    </row>
    <row r="1492" spans="1:22" s="64" customFormat="1" x14ac:dyDescent="0.25">
      <c r="A1492" s="65" t="s">
        <v>1433</v>
      </c>
      <c r="B1492" s="511" t="s">
        <v>1477</v>
      </c>
      <c r="C1492" s="511"/>
      <c r="D1492" s="511"/>
      <c r="E1492" s="61" t="s">
        <v>1435</v>
      </c>
      <c r="F1492" s="61" t="s">
        <v>54</v>
      </c>
      <c r="G1492" s="61" t="s">
        <v>55</v>
      </c>
      <c r="H1492" s="61"/>
      <c r="I1492" s="61" t="s">
        <v>1366</v>
      </c>
      <c r="J1492" s="62">
        <v>270</v>
      </c>
      <c r="K1492" s="62">
        <v>300</v>
      </c>
      <c r="L1492" s="62">
        <v>300</v>
      </c>
      <c r="M1492" s="232">
        <v>385</v>
      </c>
      <c r="N1492" s="55" t="s">
        <v>1653</v>
      </c>
      <c r="O1492" s="61" t="s">
        <v>52</v>
      </c>
      <c r="P1492" s="200"/>
      <c r="Q1492" s="200"/>
      <c r="R1492" s="200"/>
      <c r="S1492" s="200"/>
      <c r="T1492" s="66"/>
      <c r="U1492" s="66"/>
      <c r="V1492" s="66"/>
    </row>
    <row r="1493" spans="1:22" s="64" customFormat="1" x14ac:dyDescent="0.25">
      <c r="A1493" s="65" t="s">
        <v>1433</v>
      </c>
      <c r="B1493" s="511" t="s">
        <v>1477</v>
      </c>
      <c r="C1493" s="511"/>
      <c r="D1493" s="511"/>
      <c r="E1493" s="61" t="s">
        <v>1435</v>
      </c>
      <c r="F1493" s="61" t="s">
        <v>389</v>
      </c>
      <c r="G1493" s="61" t="s">
        <v>55</v>
      </c>
      <c r="H1493" s="61"/>
      <c r="I1493" s="61" t="s">
        <v>1366</v>
      </c>
      <c r="J1493" s="62">
        <v>270</v>
      </c>
      <c r="K1493" s="62">
        <v>300</v>
      </c>
      <c r="L1493" s="62">
        <v>300</v>
      </c>
      <c r="M1493" s="232">
        <v>385</v>
      </c>
      <c r="N1493" s="55" t="s">
        <v>1653</v>
      </c>
      <c r="O1493" s="61" t="s">
        <v>52</v>
      </c>
      <c r="P1493" s="200"/>
      <c r="Q1493" s="200"/>
      <c r="R1493" s="200"/>
      <c r="S1493" s="200"/>
      <c r="T1493" s="66"/>
      <c r="U1493" s="66"/>
      <c r="V1493" s="66"/>
    </row>
    <row r="1494" spans="1:22" s="64" customFormat="1" x14ac:dyDescent="0.25">
      <c r="A1494" s="65" t="s">
        <v>1433</v>
      </c>
      <c r="B1494" s="511" t="s">
        <v>1481</v>
      </c>
      <c r="C1494" s="511"/>
      <c r="D1494" s="511"/>
      <c r="E1494" s="61" t="s">
        <v>1435</v>
      </c>
      <c r="F1494" s="61" t="s">
        <v>54</v>
      </c>
      <c r="G1494" s="61" t="s">
        <v>55</v>
      </c>
      <c r="H1494" s="61"/>
      <c r="I1494" s="61" t="s">
        <v>1366</v>
      </c>
      <c r="J1494" s="62">
        <v>450</v>
      </c>
      <c r="K1494" s="62">
        <v>500</v>
      </c>
      <c r="L1494" s="62">
        <v>500</v>
      </c>
      <c r="M1494" s="232">
        <v>635</v>
      </c>
      <c r="N1494" s="55" t="s">
        <v>1653</v>
      </c>
      <c r="O1494" s="61" t="s">
        <v>52</v>
      </c>
      <c r="P1494" s="200"/>
      <c r="Q1494" s="200"/>
      <c r="R1494" s="200"/>
      <c r="S1494" s="200"/>
      <c r="T1494" s="66"/>
      <c r="U1494" s="66"/>
      <c r="V1494" s="66"/>
    </row>
    <row r="1495" spans="1:22" s="64" customFormat="1" x14ac:dyDescent="0.25">
      <c r="A1495" s="65" t="s">
        <v>1433</v>
      </c>
      <c r="B1495" s="511" t="s">
        <v>1481</v>
      </c>
      <c r="C1495" s="511"/>
      <c r="D1495" s="511"/>
      <c r="E1495" s="61" t="s">
        <v>1435</v>
      </c>
      <c r="F1495" s="61" t="s">
        <v>389</v>
      </c>
      <c r="G1495" s="61" t="s">
        <v>55</v>
      </c>
      <c r="H1495" s="61"/>
      <c r="I1495" s="61" t="s">
        <v>1366</v>
      </c>
      <c r="J1495" s="62">
        <v>450</v>
      </c>
      <c r="K1495" s="62">
        <v>500</v>
      </c>
      <c r="L1495" s="62">
        <v>500</v>
      </c>
      <c r="M1495" s="232">
        <v>635</v>
      </c>
      <c r="N1495" s="55" t="s">
        <v>1653</v>
      </c>
      <c r="O1495" s="61" t="s">
        <v>52</v>
      </c>
      <c r="P1495" s="200"/>
      <c r="Q1495" s="200"/>
      <c r="R1495" s="200"/>
      <c r="S1495" s="200"/>
      <c r="T1495" s="66"/>
      <c r="U1495" s="66"/>
      <c r="V1495" s="66"/>
    </row>
    <row r="1496" spans="1:22" s="64" customFormat="1" x14ac:dyDescent="0.25">
      <c r="A1496" s="65" t="s">
        <v>1433</v>
      </c>
      <c r="B1496" s="511" t="s">
        <v>1482</v>
      </c>
      <c r="C1496" s="511"/>
      <c r="D1496" s="511"/>
      <c r="E1496" s="61" t="s">
        <v>1435</v>
      </c>
      <c r="F1496" s="61" t="s">
        <v>54</v>
      </c>
      <c r="G1496" s="61" t="s">
        <v>55</v>
      </c>
      <c r="H1496" s="61"/>
      <c r="I1496" s="61" t="s">
        <v>1366</v>
      </c>
      <c r="J1496" s="62">
        <v>225</v>
      </c>
      <c r="K1496" s="62">
        <v>250</v>
      </c>
      <c r="L1496" s="62">
        <v>250</v>
      </c>
      <c r="M1496" s="232">
        <v>320</v>
      </c>
      <c r="N1496" s="55" t="s">
        <v>1653</v>
      </c>
      <c r="O1496" s="61" t="s">
        <v>52</v>
      </c>
      <c r="P1496" s="200"/>
      <c r="Q1496" s="200"/>
      <c r="R1496" s="200"/>
      <c r="S1496" s="200"/>
      <c r="T1496" s="66"/>
      <c r="U1496" s="66"/>
      <c r="V1496" s="66"/>
    </row>
    <row r="1497" spans="1:22" s="64" customFormat="1" x14ac:dyDescent="0.25">
      <c r="A1497" s="65" t="s">
        <v>1433</v>
      </c>
      <c r="B1497" s="511" t="s">
        <v>1482</v>
      </c>
      <c r="C1497" s="511"/>
      <c r="D1497" s="511"/>
      <c r="E1497" s="61" t="s">
        <v>1435</v>
      </c>
      <c r="F1497" s="61" t="s">
        <v>389</v>
      </c>
      <c r="G1497" s="61" t="s">
        <v>55</v>
      </c>
      <c r="H1497" s="61"/>
      <c r="I1497" s="61" t="s">
        <v>1366</v>
      </c>
      <c r="J1497" s="62">
        <v>225</v>
      </c>
      <c r="K1497" s="62">
        <v>250</v>
      </c>
      <c r="L1497" s="62">
        <v>250</v>
      </c>
      <c r="M1497" s="232">
        <v>320</v>
      </c>
      <c r="N1497" s="55" t="s">
        <v>1653</v>
      </c>
      <c r="O1497" s="61" t="s">
        <v>52</v>
      </c>
      <c r="P1497" s="200"/>
      <c r="Q1497" s="200"/>
      <c r="R1497" s="200"/>
      <c r="S1497" s="200"/>
      <c r="T1497" s="66"/>
      <c r="U1497" s="66"/>
      <c r="V1497" s="66"/>
    </row>
    <row r="1498" spans="1:22" s="64" customFormat="1" x14ac:dyDescent="0.25">
      <c r="A1498" s="65" t="s">
        <v>1433</v>
      </c>
      <c r="B1498" s="511" t="s">
        <v>1484</v>
      </c>
      <c r="C1498" s="511"/>
      <c r="D1498" s="511"/>
      <c r="E1498" s="61" t="s">
        <v>1435</v>
      </c>
      <c r="F1498" s="61" t="s">
        <v>54</v>
      </c>
      <c r="G1498" s="61" t="s">
        <v>55</v>
      </c>
      <c r="H1498" s="61"/>
      <c r="I1498" s="61" t="s">
        <v>1366</v>
      </c>
      <c r="J1498" s="62">
        <v>180</v>
      </c>
      <c r="K1498" s="62">
        <v>200</v>
      </c>
      <c r="L1498" s="62">
        <v>200</v>
      </c>
      <c r="M1498" s="232">
        <v>255</v>
      </c>
      <c r="N1498" s="55" t="s">
        <v>1653</v>
      </c>
      <c r="O1498" s="61" t="s">
        <v>52</v>
      </c>
      <c r="P1498" s="200"/>
      <c r="Q1498" s="200"/>
      <c r="R1498" s="200"/>
      <c r="S1498" s="200"/>
      <c r="T1498" s="66"/>
      <c r="U1498" s="66"/>
      <c r="V1498" s="66"/>
    </row>
    <row r="1499" spans="1:22" s="64" customFormat="1" x14ac:dyDescent="0.25">
      <c r="A1499" s="65" t="s">
        <v>1433</v>
      </c>
      <c r="B1499" s="511" t="s">
        <v>1484</v>
      </c>
      <c r="C1499" s="511"/>
      <c r="D1499" s="511"/>
      <c r="E1499" s="61" t="s">
        <v>1435</v>
      </c>
      <c r="F1499" s="61" t="s">
        <v>389</v>
      </c>
      <c r="G1499" s="61" t="s">
        <v>55</v>
      </c>
      <c r="H1499" s="61"/>
      <c r="I1499" s="61" t="s">
        <v>1366</v>
      </c>
      <c r="J1499" s="62">
        <v>180</v>
      </c>
      <c r="K1499" s="62">
        <v>200</v>
      </c>
      <c r="L1499" s="62">
        <v>200</v>
      </c>
      <c r="M1499" s="232">
        <v>255</v>
      </c>
      <c r="N1499" s="55" t="s">
        <v>1653</v>
      </c>
      <c r="O1499" s="61" t="s">
        <v>52</v>
      </c>
      <c r="P1499" s="200"/>
      <c r="Q1499" s="200"/>
      <c r="R1499" s="200"/>
      <c r="S1499" s="200"/>
      <c r="T1499" s="66"/>
      <c r="U1499" s="66"/>
      <c r="V1499" s="66"/>
    </row>
    <row r="1500" spans="1:22" s="64" customFormat="1" x14ac:dyDescent="0.25">
      <c r="A1500" s="65" t="s">
        <v>1433</v>
      </c>
      <c r="B1500" s="511" t="s">
        <v>1492</v>
      </c>
      <c r="C1500" s="511"/>
      <c r="D1500" s="511"/>
      <c r="E1500" s="61" t="s">
        <v>1435</v>
      </c>
      <c r="F1500" s="61" t="s">
        <v>54</v>
      </c>
      <c r="G1500" s="61" t="s">
        <v>55</v>
      </c>
      <c r="H1500" s="61"/>
      <c r="I1500" s="61" t="s">
        <v>1366</v>
      </c>
      <c r="J1500" s="62">
        <v>315</v>
      </c>
      <c r="K1500" s="62">
        <v>350</v>
      </c>
      <c r="L1500" s="62">
        <v>350</v>
      </c>
      <c r="M1500" s="232">
        <v>445</v>
      </c>
      <c r="N1500" s="55" t="s">
        <v>1653</v>
      </c>
      <c r="O1500" s="61" t="s">
        <v>52</v>
      </c>
      <c r="P1500" s="200"/>
      <c r="Q1500" s="200"/>
      <c r="R1500" s="200"/>
      <c r="S1500" s="200"/>
      <c r="T1500" s="66"/>
      <c r="U1500" s="66"/>
      <c r="V1500" s="66"/>
    </row>
    <row r="1501" spans="1:22" s="64" customFormat="1" x14ac:dyDescent="0.25">
      <c r="A1501" s="65" t="s">
        <v>1433</v>
      </c>
      <c r="B1501" s="511" t="s">
        <v>1492</v>
      </c>
      <c r="C1501" s="511"/>
      <c r="D1501" s="511"/>
      <c r="E1501" s="61" t="s">
        <v>1435</v>
      </c>
      <c r="F1501" s="61" t="s">
        <v>389</v>
      </c>
      <c r="G1501" s="61" t="s">
        <v>55</v>
      </c>
      <c r="H1501" s="61"/>
      <c r="I1501" s="61" t="s">
        <v>1366</v>
      </c>
      <c r="J1501" s="62">
        <v>315</v>
      </c>
      <c r="K1501" s="62">
        <v>350</v>
      </c>
      <c r="L1501" s="62">
        <v>350</v>
      </c>
      <c r="M1501" s="232">
        <v>445</v>
      </c>
      <c r="N1501" s="55" t="s">
        <v>1653</v>
      </c>
      <c r="O1501" s="61" t="s">
        <v>52</v>
      </c>
      <c r="P1501" s="200"/>
      <c r="Q1501" s="200"/>
      <c r="R1501" s="200"/>
      <c r="S1501" s="200"/>
      <c r="T1501" s="66"/>
      <c r="U1501" s="66"/>
      <c r="V1501" s="66"/>
    </row>
    <row r="1502" spans="1:22" s="64" customFormat="1" x14ac:dyDescent="0.25">
      <c r="A1502" s="65" t="s">
        <v>1433</v>
      </c>
      <c r="B1502" s="511" t="s">
        <v>1494</v>
      </c>
      <c r="C1502" s="511"/>
      <c r="D1502" s="511"/>
      <c r="E1502" s="61" t="s">
        <v>1435</v>
      </c>
      <c r="F1502" s="61" t="s">
        <v>54</v>
      </c>
      <c r="G1502" s="61" t="s">
        <v>55</v>
      </c>
      <c r="H1502" s="61"/>
      <c r="I1502" s="61" t="s">
        <v>1366</v>
      </c>
      <c r="J1502" s="62">
        <v>405</v>
      </c>
      <c r="K1502" s="62">
        <v>450</v>
      </c>
      <c r="L1502" s="62">
        <v>450</v>
      </c>
      <c r="M1502" s="232">
        <v>570</v>
      </c>
      <c r="N1502" s="55" t="s">
        <v>1653</v>
      </c>
      <c r="O1502" s="61" t="s">
        <v>52</v>
      </c>
      <c r="P1502" s="200"/>
      <c r="Q1502" s="200"/>
      <c r="R1502" s="200"/>
      <c r="S1502" s="200"/>
      <c r="T1502" s="66"/>
      <c r="U1502" s="66"/>
      <c r="V1502" s="66"/>
    </row>
    <row r="1503" spans="1:22" s="64" customFormat="1" x14ac:dyDescent="0.25">
      <c r="A1503" s="65" t="s">
        <v>1433</v>
      </c>
      <c r="B1503" s="511" t="s">
        <v>1494</v>
      </c>
      <c r="C1503" s="511"/>
      <c r="D1503" s="511"/>
      <c r="E1503" s="61" t="s">
        <v>1435</v>
      </c>
      <c r="F1503" s="61" t="s">
        <v>389</v>
      </c>
      <c r="G1503" s="61" t="s">
        <v>55</v>
      </c>
      <c r="H1503" s="61"/>
      <c r="I1503" s="61" t="s">
        <v>1366</v>
      </c>
      <c r="J1503" s="62">
        <v>405</v>
      </c>
      <c r="K1503" s="62">
        <v>450</v>
      </c>
      <c r="L1503" s="62">
        <v>450</v>
      </c>
      <c r="M1503" s="232">
        <v>570</v>
      </c>
      <c r="N1503" s="55" t="s">
        <v>1653</v>
      </c>
      <c r="O1503" s="61" t="s">
        <v>52</v>
      </c>
      <c r="P1503" s="200"/>
      <c r="Q1503" s="200"/>
      <c r="R1503" s="200"/>
      <c r="S1503" s="200"/>
      <c r="T1503" s="66"/>
      <c r="U1503" s="66"/>
      <c r="V1503" s="66"/>
    </row>
    <row r="1504" spans="1:22" s="64" customFormat="1" x14ac:dyDescent="0.25">
      <c r="A1504" s="65" t="s">
        <v>1433</v>
      </c>
      <c r="B1504" s="511" t="s">
        <v>1495</v>
      </c>
      <c r="C1504" s="511"/>
      <c r="D1504" s="511"/>
      <c r="E1504" s="61" t="s">
        <v>1435</v>
      </c>
      <c r="F1504" s="61" t="s">
        <v>54</v>
      </c>
      <c r="G1504" s="61" t="s">
        <v>55</v>
      </c>
      <c r="H1504" s="61"/>
      <c r="I1504" s="61" t="s">
        <v>1366</v>
      </c>
      <c r="J1504" s="62">
        <v>180</v>
      </c>
      <c r="K1504" s="62">
        <v>200</v>
      </c>
      <c r="L1504" s="62">
        <v>200</v>
      </c>
      <c r="M1504" s="232">
        <v>255</v>
      </c>
      <c r="N1504" s="55" t="s">
        <v>1653</v>
      </c>
      <c r="O1504" s="61" t="s">
        <v>52</v>
      </c>
      <c r="P1504" s="200"/>
      <c r="Q1504" s="200"/>
      <c r="R1504" s="200"/>
      <c r="S1504" s="200"/>
      <c r="T1504" s="66"/>
      <c r="U1504" s="66"/>
      <c r="V1504" s="66"/>
    </row>
    <row r="1505" spans="1:22" s="64" customFormat="1" x14ac:dyDescent="0.25">
      <c r="A1505" s="65" t="s">
        <v>1433</v>
      </c>
      <c r="B1505" s="511" t="s">
        <v>1495</v>
      </c>
      <c r="C1505" s="511"/>
      <c r="D1505" s="511"/>
      <c r="E1505" s="61" t="s">
        <v>1435</v>
      </c>
      <c r="F1505" s="61" t="s">
        <v>389</v>
      </c>
      <c r="G1505" s="61" t="s">
        <v>55</v>
      </c>
      <c r="H1505" s="61"/>
      <c r="I1505" s="61" t="s">
        <v>1366</v>
      </c>
      <c r="J1505" s="62">
        <v>180</v>
      </c>
      <c r="K1505" s="62">
        <v>200</v>
      </c>
      <c r="L1505" s="62">
        <v>200</v>
      </c>
      <c r="M1505" s="232">
        <v>255</v>
      </c>
      <c r="N1505" s="55" t="s">
        <v>1653</v>
      </c>
      <c r="O1505" s="61" t="s">
        <v>52</v>
      </c>
      <c r="P1505" s="200"/>
      <c r="Q1505" s="200"/>
      <c r="R1505" s="200"/>
      <c r="S1505" s="200"/>
      <c r="T1505" s="66"/>
      <c r="U1505" s="66"/>
      <c r="V1505" s="66"/>
    </row>
    <row r="1506" spans="1:22" s="64" customFormat="1" x14ac:dyDescent="0.25">
      <c r="A1506" s="65" t="s">
        <v>1433</v>
      </c>
      <c r="B1506" s="511" t="s">
        <v>1497</v>
      </c>
      <c r="C1506" s="511"/>
      <c r="D1506" s="511"/>
      <c r="E1506" s="61" t="s">
        <v>1435</v>
      </c>
      <c r="F1506" s="61" t="s">
        <v>54</v>
      </c>
      <c r="G1506" s="61" t="s">
        <v>55</v>
      </c>
      <c r="H1506" s="61"/>
      <c r="I1506" s="61" t="s">
        <v>1366</v>
      </c>
      <c r="J1506" s="62">
        <v>270</v>
      </c>
      <c r="K1506" s="62">
        <v>300</v>
      </c>
      <c r="L1506" s="62">
        <v>300</v>
      </c>
      <c r="M1506" s="232">
        <v>385</v>
      </c>
      <c r="N1506" s="55" t="s">
        <v>1653</v>
      </c>
      <c r="O1506" s="61" t="s">
        <v>52</v>
      </c>
      <c r="P1506" s="200"/>
      <c r="Q1506" s="200"/>
      <c r="R1506" s="200"/>
      <c r="S1506" s="200"/>
      <c r="T1506" s="66"/>
      <c r="U1506" s="66"/>
      <c r="V1506" s="66"/>
    </row>
    <row r="1507" spans="1:22" s="64" customFormat="1" x14ac:dyDescent="0.25">
      <c r="A1507" s="65" t="s">
        <v>1433</v>
      </c>
      <c r="B1507" s="511" t="s">
        <v>1497</v>
      </c>
      <c r="C1507" s="511"/>
      <c r="D1507" s="511"/>
      <c r="E1507" s="61" t="s">
        <v>1435</v>
      </c>
      <c r="F1507" s="61" t="s">
        <v>389</v>
      </c>
      <c r="G1507" s="61" t="s">
        <v>55</v>
      </c>
      <c r="H1507" s="61"/>
      <c r="I1507" s="61" t="s">
        <v>1366</v>
      </c>
      <c r="J1507" s="62">
        <v>270</v>
      </c>
      <c r="K1507" s="62">
        <v>300</v>
      </c>
      <c r="L1507" s="62">
        <v>300</v>
      </c>
      <c r="M1507" s="232">
        <v>385</v>
      </c>
      <c r="N1507" s="55" t="s">
        <v>1653</v>
      </c>
      <c r="O1507" s="61" t="s">
        <v>52</v>
      </c>
      <c r="P1507" s="200"/>
      <c r="Q1507" s="200"/>
      <c r="R1507" s="200"/>
      <c r="S1507" s="200"/>
      <c r="T1507" s="66"/>
      <c r="U1507" s="66"/>
      <c r="V1507" s="66"/>
    </row>
    <row r="1508" spans="1:22" s="64" customFormat="1" x14ac:dyDescent="0.25">
      <c r="A1508" s="65" t="s">
        <v>1433</v>
      </c>
      <c r="B1508" s="511" t="s">
        <v>1406</v>
      </c>
      <c r="C1508" s="511"/>
      <c r="D1508" s="511"/>
      <c r="E1508" s="61" t="s">
        <v>1435</v>
      </c>
      <c r="F1508" s="61" t="s">
        <v>54</v>
      </c>
      <c r="G1508" s="61" t="s">
        <v>55</v>
      </c>
      <c r="H1508" s="61"/>
      <c r="I1508" s="61" t="s">
        <v>1366</v>
      </c>
      <c r="J1508" s="62">
        <v>0</v>
      </c>
      <c r="K1508" s="62">
        <v>0</v>
      </c>
      <c r="L1508" s="62">
        <v>0</v>
      </c>
      <c r="M1508" s="232">
        <v>0</v>
      </c>
      <c r="N1508" s="55" t="s">
        <v>1653</v>
      </c>
      <c r="O1508" s="61" t="s">
        <v>52</v>
      </c>
      <c r="P1508" s="200"/>
      <c r="Q1508" s="200"/>
      <c r="R1508" s="200"/>
      <c r="S1508" s="200"/>
      <c r="T1508" s="66"/>
      <c r="U1508" s="66"/>
      <c r="V1508" s="66"/>
    </row>
    <row r="1509" spans="1:22" s="64" customFormat="1" x14ac:dyDescent="0.25">
      <c r="A1509" s="65" t="s">
        <v>1433</v>
      </c>
      <c r="B1509" s="511" t="s">
        <v>1498</v>
      </c>
      <c r="C1509" s="511"/>
      <c r="D1509" s="511"/>
      <c r="E1509" s="61" t="s">
        <v>1435</v>
      </c>
      <c r="F1509" s="61" t="s">
        <v>54</v>
      </c>
      <c r="G1509" s="61" t="s">
        <v>55</v>
      </c>
      <c r="H1509" s="61"/>
      <c r="I1509" s="61" t="s">
        <v>1366</v>
      </c>
      <c r="J1509" s="62">
        <v>225</v>
      </c>
      <c r="K1509" s="62">
        <v>250</v>
      </c>
      <c r="L1509" s="62">
        <v>250</v>
      </c>
      <c r="M1509" s="232">
        <v>320</v>
      </c>
      <c r="N1509" s="55" t="s">
        <v>1653</v>
      </c>
      <c r="O1509" s="61" t="s">
        <v>52</v>
      </c>
      <c r="P1509" s="200"/>
      <c r="Q1509" s="200"/>
      <c r="R1509" s="200"/>
      <c r="S1509" s="200"/>
      <c r="T1509" s="66"/>
      <c r="U1509" s="66"/>
      <c r="V1509" s="66"/>
    </row>
    <row r="1510" spans="1:22" s="64" customFormat="1" x14ac:dyDescent="0.25">
      <c r="A1510" s="65" t="s">
        <v>1433</v>
      </c>
      <c r="B1510" s="511" t="s">
        <v>1498</v>
      </c>
      <c r="C1510" s="511"/>
      <c r="D1510" s="511"/>
      <c r="E1510" s="61" t="s">
        <v>1435</v>
      </c>
      <c r="F1510" s="61" t="s">
        <v>389</v>
      </c>
      <c r="G1510" s="61" t="s">
        <v>55</v>
      </c>
      <c r="H1510" s="61"/>
      <c r="I1510" s="61" t="s">
        <v>1366</v>
      </c>
      <c r="J1510" s="62">
        <v>225</v>
      </c>
      <c r="K1510" s="62">
        <v>250</v>
      </c>
      <c r="L1510" s="62">
        <v>250</v>
      </c>
      <c r="M1510" s="232">
        <v>320</v>
      </c>
      <c r="N1510" s="55" t="s">
        <v>1653</v>
      </c>
      <c r="O1510" s="61" t="s">
        <v>52</v>
      </c>
      <c r="P1510" s="200"/>
      <c r="Q1510" s="200"/>
      <c r="R1510" s="200"/>
      <c r="S1510" s="200"/>
      <c r="T1510" s="66"/>
      <c r="U1510" s="66"/>
      <c r="V1510" s="66"/>
    </row>
    <row r="1511" spans="1:22" s="64" customFormat="1" x14ac:dyDescent="0.25">
      <c r="A1511" s="65" t="s">
        <v>1433</v>
      </c>
      <c r="B1511" s="511" t="s">
        <v>1499</v>
      </c>
      <c r="C1511" s="511"/>
      <c r="D1511" s="511"/>
      <c r="E1511" s="61" t="s">
        <v>1435</v>
      </c>
      <c r="F1511" s="61" t="s">
        <v>54</v>
      </c>
      <c r="G1511" s="61" t="s">
        <v>55</v>
      </c>
      <c r="H1511" s="61"/>
      <c r="I1511" s="61" t="s">
        <v>1366</v>
      </c>
      <c r="J1511" s="62">
        <v>675</v>
      </c>
      <c r="K1511" s="62">
        <v>750</v>
      </c>
      <c r="L1511" s="62">
        <v>750</v>
      </c>
      <c r="M1511" s="232">
        <v>955</v>
      </c>
      <c r="N1511" s="55" t="s">
        <v>1653</v>
      </c>
      <c r="O1511" s="61" t="s">
        <v>52</v>
      </c>
      <c r="P1511" s="200"/>
      <c r="Q1511" s="200"/>
      <c r="R1511" s="200"/>
      <c r="S1511" s="200"/>
      <c r="T1511" s="66"/>
      <c r="U1511" s="66"/>
      <c r="V1511" s="66"/>
    </row>
    <row r="1512" spans="1:22" s="64" customFormat="1" x14ac:dyDescent="0.25">
      <c r="A1512" s="65" t="s">
        <v>1433</v>
      </c>
      <c r="B1512" s="511" t="s">
        <v>1499</v>
      </c>
      <c r="C1512" s="511"/>
      <c r="D1512" s="511"/>
      <c r="E1512" s="61" t="s">
        <v>1435</v>
      </c>
      <c r="F1512" s="61" t="s">
        <v>389</v>
      </c>
      <c r="G1512" s="61" t="s">
        <v>55</v>
      </c>
      <c r="H1512" s="61"/>
      <c r="I1512" s="61" t="s">
        <v>1366</v>
      </c>
      <c r="J1512" s="62">
        <v>675</v>
      </c>
      <c r="K1512" s="62">
        <v>750</v>
      </c>
      <c r="L1512" s="62">
        <v>750</v>
      </c>
      <c r="M1512" s="232">
        <v>955</v>
      </c>
      <c r="N1512" s="55" t="s">
        <v>1653</v>
      </c>
      <c r="O1512" s="61" t="s">
        <v>52</v>
      </c>
      <c r="P1512" s="200"/>
      <c r="Q1512" s="200"/>
      <c r="R1512" s="200"/>
      <c r="S1512" s="200"/>
      <c r="T1512" s="66"/>
      <c r="U1512" s="66"/>
      <c r="V1512" s="66"/>
    </row>
    <row r="1513" spans="1:22" s="64" customFormat="1" x14ac:dyDescent="0.25">
      <c r="A1513" s="65" t="s">
        <v>1433</v>
      </c>
      <c r="B1513" s="511" t="s">
        <v>1500</v>
      </c>
      <c r="C1513" s="511"/>
      <c r="D1513" s="511"/>
      <c r="E1513" s="61" t="s">
        <v>1447</v>
      </c>
      <c r="F1513" s="61" t="s">
        <v>54</v>
      </c>
      <c r="G1513" s="61" t="s">
        <v>55</v>
      </c>
      <c r="H1513" s="61"/>
      <c r="I1513" s="61" t="s">
        <v>1366</v>
      </c>
      <c r="J1513" s="62">
        <v>270</v>
      </c>
      <c r="K1513" s="62">
        <v>300</v>
      </c>
      <c r="L1513" s="62">
        <v>300</v>
      </c>
      <c r="M1513" s="232">
        <v>385</v>
      </c>
      <c r="N1513" s="55" t="s">
        <v>1653</v>
      </c>
      <c r="O1513" s="61" t="s">
        <v>52</v>
      </c>
      <c r="P1513" s="200"/>
      <c r="Q1513" s="200"/>
      <c r="R1513" s="200"/>
      <c r="S1513" s="200"/>
      <c r="T1513" s="66"/>
      <c r="U1513" s="66"/>
      <c r="V1513" s="66"/>
    </row>
    <row r="1514" spans="1:22" s="64" customFormat="1" x14ac:dyDescent="0.25">
      <c r="A1514" s="65" t="s">
        <v>1433</v>
      </c>
      <c r="B1514" s="511" t="s">
        <v>1500</v>
      </c>
      <c r="C1514" s="511"/>
      <c r="D1514" s="511"/>
      <c r="E1514" s="61" t="s">
        <v>1447</v>
      </c>
      <c r="F1514" s="61" t="s">
        <v>389</v>
      </c>
      <c r="G1514" s="61" t="s">
        <v>55</v>
      </c>
      <c r="H1514" s="61"/>
      <c r="I1514" s="61" t="s">
        <v>1366</v>
      </c>
      <c r="J1514" s="62">
        <v>270</v>
      </c>
      <c r="K1514" s="62">
        <v>300</v>
      </c>
      <c r="L1514" s="62">
        <v>300</v>
      </c>
      <c r="M1514" s="232">
        <v>385</v>
      </c>
      <c r="N1514" s="55" t="s">
        <v>1653</v>
      </c>
      <c r="O1514" s="61" t="s">
        <v>52</v>
      </c>
      <c r="P1514" s="200"/>
      <c r="Q1514" s="200"/>
      <c r="R1514" s="200"/>
      <c r="S1514" s="200"/>
      <c r="T1514" s="66"/>
      <c r="U1514" s="66"/>
      <c r="V1514" s="66"/>
    </row>
    <row r="1515" spans="1:22" s="64" customFormat="1" x14ac:dyDescent="0.25">
      <c r="A1515" s="65" t="s">
        <v>1433</v>
      </c>
      <c r="B1515" s="511" t="s">
        <v>1501</v>
      </c>
      <c r="C1515" s="511"/>
      <c r="D1515" s="511"/>
      <c r="E1515" s="61" t="s">
        <v>1435</v>
      </c>
      <c r="F1515" s="61" t="s">
        <v>54</v>
      </c>
      <c r="G1515" s="61" t="s">
        <v>55</v>
      </c>
      <c r="H1515" s="61"/>
      <c r="I1515" s="61" t="s">
        <v>1366</v>
      </c>
      <c r="J1515" s="62">
        <v>360</v>
      </c>
      <c r="K1515" s="62">
        <v>400</v>
      </c>
      <c r="L1515" s="62">
        <v>400</v>
      </c>
      <c r="M1515" s="232">
        <v>510</v>
      </c>
      <c r="N1515" s="55" t="s">
        <v>1653</v>
      </c>
      <c r="O1515" s="61" t="s">
        <v>52</v>
      </c>
      <c r="P1515" s="200"/>
      <c r="Q1515" s="200"/>
      <c r="R1515" s="200"/>
      <c r="S1515" s="200"/>
      <c r="T1515" s="66"/>
      <c r="U1515" s="66"/>
      <c r="V1515" s="66"/>
    </row>
    <row r="1516" spans="1:22" s="64" customFormat="1" x14ac:dyDescent="0.25">
      <c r="A1516" s="65" t="s">
        <v>1433</v>
      </c>
      <c r="B1516" s="511" t="s">
        <v>1501</v>
      </c>
      <c r="C1516" s="511"/>
      <c r="D1516" s="511"/>
      <c r="E1516" s="61" t="s">
        <v>1435</v>
      </c>
      <c r="F1516" s="61" t="s">
        <v>389</v>
      </c>
      <c r="G1516" s="61" t="s">
        <v>55</v>
      </c>
      <c r="H1516" s="61"/>
      <c r="I1516" s="61" t="s">
        <v>1366</v>
      </c>
      <c r="J1516" s="62">
        <v>360</v>
      </c>
      <c r="K1516" s="62">
        <v>400</v>
      </c>
      <c r="L1516" s="62">
        <v>400</v>
      </c>
      <c r="M1516" s="232">
        <v>510</v>
      </c>
      <c r="N1516" s="55" t="s">
        <v>1653</v>
      </c>
      <c r="O1516" s="61" t="s">
        <v>52</v>
      </c>
      <c r="P1516" s="200"/>
      <c r="Q1516" s="200"/>
      <c r="R1516" s="200"/>
      <c r="S1516" s="200"/>
      <c r="T1516" s="66"/>
      <c r="U1516" s="66"/>
      <c r="V1516" s="66"/>
    </row>
    <row r="1517" spans="1:22" s="64" customFormat="1" x14ac:dyDescent="0.25">
      <c r="A1517" s="65" t="s">
        <v>1433</v>
      </c>
      <c r="B1517" s="511" t="s">
        <v>1502</v>
      </c>
      <c r="C1517" s="511"/>
      <c r="D1517" s="511"/>
      <c r="E1517" s="61" t="s">
        <v>1435</v>
      </c>
      <c r="F1517" s="61" t="s">
        <v>54</v>
      </c>
      <c r="G1517" s="61" t="s">
        <v>55</v>
      </c>
      <c r="H1517" s="61"/>
      <c r="I1517" s="61" t="s">
        <v>1366</v>
      </c>
      <c r="J1517" s="62">
        <v>270</v>
      </c>
      <c r="K1517" s="62">
        <v>300</v>
      </c>
      <c r="L1517" s="62">
        <v>300</v>
      </c>
      <c r="M1517" s="232">
        <v>385</v>
      </c>
      <c r="N1517" s="55" t="s">
        <v>1653</v>
      </c>
      <c r="O1517" s="61" t="s">
        <v>52</v>
      </c>
      <c r="P1517" s="200"/>
      <c r="Q1517" s="200"/>
      <c r="R1517" s="200"/>
      <c r="S1517" s="200"/>
      <c r="T1517" s="66"/>
      <c r="U1517" s="66"/>
      <c r="V1517" s="66"/>
    </row>
    <row r="1518" spans="1:22" s="64" customFormat="1" x14ac:dyDescent="0.25">
      <c r="A1518" s="65" t="s">
        <v>1433</v>
      </c>
      <c r="B1518" s="511" t="s">
        <v>1502</v>
      </c>
      <c r="C1518" s="511"/>
      <c r="D1518" s="511"/>
      <c r="E1518" s="61" t="s">
        <v>1435</v>
      </c>
      <c r="F1518" s="61" t="s">
        <v>389</v>
      </c>
      <c r="G1518" s="61" t="s">
        <v>55</v>
      </c>
      <c r="H1518" s="61"/>
      <c r="I1518" s="61" t="s">
        <v>1366</v>
      </c>
      <c r="J1518" s="62">
        <v>270</v>
      </c>
      <c r="K1518" s="62">
        <v>300</v>
      </c>
      <c r="L1518" s="62">
        <v>300</v>
      </c>
      <c r="M1518" s="232">
        <v>385</v>
      </c>
      <c r="N1518" s="55" t="s">
        <v>1653</v>
      </c>
      <c r="O1518" s="61" t="s">
        <v>52</v>
      </c>
      <c r="P1518" s="200"/>
      <c r="Q1518" s="200"/>
      <c r="R1518" s="200"/>
      <c r="S1518" s="200"/>
      <c r="T1518" s="66"/>
      <c r="U1518" s="66"/>
      <c r="V1518" s="66"/>
    </row>
    <row r="1519" spans="1:22" s="64" customFormat="1" x14ac:dyDescent="0.25">
      <c r="A1519" s="65" t="s">
        <v>1433</v>
      </c>
      <c r="B1519" s="511" t="s">
        <v>1507</v>
      </c>
      <c r="C1519" s="511"/>
      <c r="D1519" s="511"/>
      <c r="E1519" s="61" t="s">
        <v>1435</v>
      </c>
      <c r="F1519" s="61" t="s">
        <v>54</v>
      </c>
      <c r="G1519" s="61" t="s">
        <v>55</v>
      </c>
      <c r="H1519" s="61"/>
      <c r="I1519" s="61" t="s">
        <v>1366</v>
      </c>
      <c r="J1519" s="62">
        <v>540</v>
      </c>
      <c r="K1519" s="62">
        <v>600</v>
      </c>
      <c r="L1519" s="62">
        <v>600</v>
      </c>
      <c r="M1519" s="232">
        <v>760</v>
      </c>
      <c r="N1519" s="55" t="s">
        <v>1653</v>
      </c>
      <c r="O1519" s="61" t="s">
        <v>52</v>
      </c>
      <c r="P1519" s="200"/>
      <c r="Q1519" s="200"/>
      <c r="R1519" s="200"/>
      <c r="S1519" s="200"/>
      <c r="T1519" s="66"/>
      <c r="U1519" s="66"/>
      <c r="V1519" s="66"/>
    </row>
    <row r="1520" spans="1:22" s="64" customFormat="1" x14ac:dyDescent="0.25">
      <c r="A1520" s="65" t="s">
        <v>1433</v>
      </c>
      <c r="B1520" s="511" t="s">
        <v>1507</v>
      </c>
      <c r="C1520" s="511"/>
      <c r="D1520" s="511"/>
      <c r="E1520" s="61" t="s">
        <v>1435</v>
      </c>
      <c r="F1520" s="61" t="s">
        <v>389</v>
      </c>
      <c r="G1520" s="61" t="s">
        <v>55</v>
      </c>
      <c r="H1520" s="61"/>
      <c r="I1520" s="61" t="s">
        <v>1366</v>
      </c>
      <c r="J1520" s="62">
        <v>540</v>
      </c>
      <c r="K1520" s="62">
        <v>600</v>
      </c>
      <c r="L1520" s="62">
        <v>600</v>
      </c>
      <c r="M1520" s="232">
        <v>760</v>
      </c>
      <c r="N1520" s="55" t="s">
        <v>1653</v>
      </c>
      <c r="O1520" s="61" t="s">
        <v>52</v>
      </c>
      <c r="P1520" s="200"/>
      <c r="Q1520" s="200"/>
      <c r="R1520" s="200"/>
      <c r="S1520" s="200"/>
      <c r="T1520" s="66"/>
      <c r="U1520" s="66"/>
      <c r="V1520" s="66"/>
    </row>
    <row r="1521" spans="1:22" s="64" customFormat="1" x14ac:dyDescent="0.25">
      <c r="A1521" s="65" t="s">
        <v>1433</v>
      </c>
      <c r="B1521" s="511" t="s">
        <v>1508</v>
      </c>
      <c r="C1521" s="511"/>
      <c r="D1521" s="511"/>
      <c r="E1521" s="61" t="s">
        <v>1435</v>
      </c>
      <c r="F1521" s="61" t="s">
        <v>54</v>
      </c>
      <c r="G1521" s="61" t="s">
        <v>55</v>
      </c>
      <c r="H1521" s="61"/>
      <c r="I1521" s="61" t="s">
        <v>1366</v>
      </c>
      <c r="J1521" s="62">
        <v>900</v>
      </c>
      <c r="K1521" s="62">
        <v>1000</v>
      </c>
      <c r="L1521" s="62">
        <v>1000</v>
      </c>
      <c r="M1521" s="232">
        <v>1270</v>
      </c>
      <c r="N1521" s="55" t="s">
        <v>1653</v>
      </c>
      <c r="O1521" s="61" t="s">
        <v>52</v>
      </c>
      <c r="P1521" s="200"/>
      <c r="Q1521" s="200"/>
      <c r="R1521" s="200"/>
      <c r="S1521" s="200"/>
      <c r="T1521" s="66"/>
      <c r="U1521" s="66"/>
      <c r="V1521" s="66"/>
    </row>
    <row r="1522" spans="1:22" s="64" customFormat="1" x14ac:dyDescent="0.25">
      <c r="A1522" s="65" t="s">
        <v>1433</v>
      </c>
      <c r="B1522" s="511" t="s">
        <v>1508</v>
      </c>
      <c r="C1522" s="511"/>
      <c r="D1522" s="511"/>
      <c r="E1522" s="61" t="s">
        <v>1435</v>
      </c>
      <c r="F1522" s="61" t="s">
        <v>389</v>
      </c>
      <c r="G1522" s="61" t="s">
        <v>55</v>
      </c>
      <c r="H1522" s="61"/>
      <c r="I1522" s="61" t="s">
        <v>1366</v>
      </c>
      <c r="J1522" s="62">
        <v>900</v>
      </c>
      <c r="K1522" s="62">
        <v>1000</v>
      </c>
      <c r="L1522" s="62">
        <v>1000</v>
      </c>
      <c r="M1522" s="232">
        <v>1270</v>
      </c>
      <c r="N1522" s="55" t="s">
        <v>1653</v>
      </c>
      <c r="O1522" s="61" t="s">
        <v>52</v>
      </c>
      <c r="P1522" s="200"/>
      <c r="Q1522" s="200"/>
      <c r="R1522" s="200"/>
      <c r="S1522" s="200"/>
      <c r="T1522" s="66"/>
      <c r="U1522" s="66"/>
      <c r="V1522" s="66"/>
    </row>
    <row r="1523" spans="1:22" s="64" customFormat="1" x14ac:dyDescent="0.25">
      <c r="A1523" s="65" t="s">
        <v>1433</v>
      </c>
      <c r="B1523" s="511" t="s">
        <v>1509</v>
      </c>
      <c r="C1523" s="511"/>
      <c r="D1523" s="511"/>
      <c r="E1523" s="61" t="s">
        <v>1435</v>
      </c>
      <c r="F1523" s="61" t="s">
        <v>54</v>
      </c>
      <c r="G1523" s="61" t="s">
        <v>55</v>
      </c>
      <c r="H1523" s="61"/>
      <c r="I1523" s="61" t="s">
        <v>1366</v>
      </c>
      <c r="J1523" s="62">
        <v>315</v>
      </c>
      <c r="K1523" s="62">
        <v>350</v>
      </c>
      <c r="L1523" s="62">
        <v>350</v>
      </c>
      <c r="M1523" s="232">
        <v>445</v>
      </c>
      <c r="N1523" s="55" t="s">
        <v>1653</v>
      </c>
      <c r="O1523" s="61" t="s">
        <v>52</v>
      </c>
      <c r="P1523" s="200"/>
      <c r="Q1523" s="200"/>
      <c r="R1523" s="200"/>
      <c r="S1523" s="200"/>
      <c r="T1523" s="66"/>
      <c r="U1523" s="66"/>
      <c r="V1523" s="66"/>
    </row>
    <row r="1524" spans="1:22" s="64" customFormat="1" x14ac:dyDescent="0.25">
      <c r="A1524" s="65" t="s">
        <v>1433</v>
      </c>
      <c r="B1524" s="511" t="s">
        <v>1509</v>
      </c>
      <c r="C1524" s="511"/>
      <c r="D1524" s="511"/>
      <c r="E1524" s="61" t="s">
        <v>1435</v>
      </c>
      <c r="F1524" s="61" t="s">
        <v>389</v>
      </c>
      <c r="G1524" s="61" t="s">
        <v>55</v>
      </c>
      <c r="H1524" s="61"/>
      <c r="I1524" s="61" t="s">
        <v>1366</v>
      </c>
      <c r="J1524" s="62">
        <v>315</v>
      </c>
      <c r="K1524" s="62">
        <v>350</v>
      </c>
      <c r="L1524" s="62">
        <v>350</v>
      </c>
      <c r="M1524" s="232">
        <v>445</v>
      </c>
      <c r="N1524" s="55" t="s">
        <v>1653</v>
      </c>
      <c r="O1524" s="61" t="s">
        <v>52</v>
      </c>
      <c r="P1524" s="200"/>
      <c r="Q1524" s="200"/>
      <c r="R1524" s="200"/>
      <c r="S1524" s="200"/>
      <c r="T1524" s="66"/>
      <c r="U1524" s="66"/>
      <c r="V1524" s="66"/>
    </row>
    <row r="1525" spans="1:22" s="64" customFormat="1" x14ac:dyDescent="0.25">
      <c r="A1525" s="65" t="s">
        <v>1433</v>
      </c>
      <c r="B1525" s="511" t="s">
        <v>1510</v>
      </c>
      <c r="C1525" s="511"/>
      <c r="D1525" s="511"/>
      <c r="E1525" s="61" t="s">
        <v>1435</v>
      </c>
      <c r="F1525" s="61" t="s">
        <v>54</v>
      </c>
      <c r="G1525" s="61" t="s">
        <v>55</v>
      </c>
      <c r="H1525" s="61"/>
      <c r="I1525" s="61" t="s">
        <v>1366</v>
      </c>
      <c r="J1525" s="62">
        <v>315</v>
      </c>
      <c r="K1525" s="62">
        <v>350</v>
      </c>
      <c r="L1525" s="62">
        <v>350</v>
      </c>
      <c r="M1525" s="232">
        <v>445</v>
      </c>
      <c r="N1525" s="55" t="s">
        <v>1653</v>
      </c>
      <c r="O1525" s="61" t="s">
        <v>52</v>
      </c>
      <c r="P1525" s="200"/>
      <c r="Q1525" s="200"/>
      <c r="R1525" s="200"/>
      <c r="S1525" s="200"/>
      <c r="T1525" s="66"/>
      <c r="U1525" s="66"/>
      <c r="V1525" s="66"/>
    </row>
    <row r="1526" spans="1:22" s="64" customFormat="1" x14ac:dyDescent="0.25">
      <c r="A1526" s="65" t="s">
        <v>1433</v>
      </c>
      <c r="B1526" s="511" t="s">
        <v>1510</v>
      </c>
      <c r="C1526" s="511"/>
      <c r="D1526" s="511"/>
      <c r="E1526" s="61" t="s">
        <v>1435</v>
      </c>
      <c r="F1526" s="61" t="s">
        <v>389</v>
      </c>
      <c r="G1526" s="61" t="s">
        <v>55</v>
      </c>
      <c r="H1526" s="61"/>
      <c r="I1526" s="61" t="s">
        <v>1366</v>
      </c>
      <c r="J1526" s="62">
        <v>315</v>
      </c>
      <c r="K1526" s="62">
        <v>350</v>
      </c>
      <c r="L1526" s="62">
        <v>350</v>
      </c>
      <c r="M1526" s="232">
        <v>445</v>
      </c>
      <c r="N1526" s="55" t="s">
        <v>1653</v>
      </c>
      <c r="O1526" s="61" t="s">
        <v>52</v>
      </c>
      <c r="P1526" s="200"/>
      <c r="Q1526" s="200"/>
      <c r="R1526" s="200"/>
      <c r="S1526" s="200"/>
      <c r="T1526" s="66"/>
      <c r="U1526" s="66"/>
      <c r="V1526" s="66"/>
    </row>
    <row r="1527" spans="1:22" s="64" customFormat="1" x14ac:dyDescent="0.25">
      <c r="A1527" s="65" t="s">
        <v>1433</v>
      </c>
      <c r="B1527" s="511" t="s">
        <v>1512</v>
      </c>
      <c r="C1527" s="511"/>
      <c r="D1527" s="511"/>
      <c r="E1527" s="61" t="s">
        <v>1435</v>
      </c>
      <c r="F1527" s="61" t="s">
        <v>54</v>
      </c>
      <c r="G1527" s="61" t="s">
        <v>55</v>
      </c>
      <c r="H1527" s="61"/>
      <c r="I1527" s="61" t="s">
        <v>1366</v>
      </c>
      <c r="J1527" s="62">
        <v>225</v>
      </c>
      <c r="K1527" s="62">
        <v>250</v>
      </c>
      <c r="L1527" s="62">
        <v>250</v>
      </c>
      <c r="M1527" s="232">
        <v>320</v>
      </c>
      <c r="N1527" s="55" t="s">
        <v>1653</v>
      </c>
      <c r="O1527" s="61" t="s">
        <v>52</v>
      </c>
      <c r="P1527" s="200"/>
      <c r="Q1527" s="200"/>
      <c r="R1527" s="200"/>
      <c r="S1527" s="200"/>
      <c r="T1527" s="66"/>
      <c r="U1527" s="66"/>
      <c r="V1527" s="66"/>
    </row>
    <row r="1528" spans="1:22" s="64" customFormat="1" x14ac:dyDescent="0.25">
      <c r="A1528" s="65" t="s">
        <v>1433</v>
      </c>
      <c r="B1528" s="511" t="s">
        <v>1512</v>
      </c>
      <c r="C1528" s="511"/>
      <c r="D1528" s="511"/>
      <c r="E1528" s="61" t="s">
        <v>1435</v>
      </c>
      <c r="F1528" s="61" t="s">
        <v>389</v>
      </c>
      <c r="G1528" s="61" t="s">
        <v>55</v>
      </c>
      <c r="H1528" s="61"/>
      <c r="I1528" s="61" t="s">
        <v>1366</v>
      </c>
      <c r="J1528" s="62">
        <v>225</v>
      </c>
      <c r="K1528" s="62">
        <v>250</v>
      </c>
      <c r="L1528" s="62">
        <v>250</v>
      </c>
      <c r="M1528" s="232">
        <v>320</v>
      </c>
      <c r="N1528" s="55" t="s">
        <v>1653</v>
      </c>
      <c r="O1528" s="61" t="s">
        <v>52</v>
      </c>
      <c r="P1528" s="200"/>
      <c r="Q1528" s="200"/>
      <c r="R1528" s="200"/>
      <c r="S1528" s="200"/>
      <c r="T1528" s="66"/>
      <c r="U1528" s="66"/>
      <c r="V1528" s="66"/>
    </row>
    <row r="1529" spans="1:22" s="64" customFormat="1" x14ac:dyDescent="0.25">
      <c r="A1529" s="65" t="s">
        <v>1433</v>
      </c>
      <c r="B1529" s="511" t="s">
        <v>1515</v>
      </c>
      <c r="C1529" s="511"/>
      <c r="D1529" s="511"/>
      <c r="E1529" s="61" t="s">
        <v>1447</v>
      </c>
      <c r="F1529" s="61" t="s">
        <v>54</v>
      </c>
      <c r="G1529" s="61" t="s">
        <v>55</v>
      </c>
      <c r="H1529" s="61"/>
      <c r="I1529" s="61" t="s">
        <v>1366</v>
      </c>
      <c r="J1529" s="62">
        <v>135</v>
      </c>
      <c r="K1529" s="62">
        <v>150</v>
      </c>
      <c r="L1529" s="62">
        <v>150</v>
      </c>
      <c r="M1529" s="232">
        <v>190</v>
      </c>
      <c r="N1529" s="55" t="s">
        <v>1653</v>
      </c>
      <c r="O1529" s="61" t="s">
        <v>52</v>
      </c>
      <c r="P1529" s="200"/>
      <c r="Q1529" s="200"/>
      <c r="R1529" s="200"/>
      <c r="S1529" s="200"/>
      <c r="T1529" s="66"/>
      <c r="U1529" s="66"/>
      <c r="V1529" s="66"/>
    </row>
    <row r="1530" spans="1:22" s="64" customFormat="1" x14ac:dyDescent="0.25">
      <c r="A1530" s="65" t="s">
        <v>1433</v>
      </c>
      <c r="B1530" s="511" t="s">
        <v>1515</v>
      </c>
      <c r="C1530" s="511"/>
      <c r="D1530" s="511"/>
      <c r="E1530" s="61" t="s">
        <v>1447</v>
      </c>
      <c r="F1530" s="61" t="s">
        <v>389</v>
      </c>
      <c r="G1530" s="61" t="s">
        <v>55</v>
      </c>
      <c r="H1530" s="61"/>
      <c r="I1530" s="61" t="s">
        <v>1366</v>
      </c>
      <c r="J1530" s="62">
        <v>135</v>
      </c>
      <c r="K1530" s="62">
        <v>150</v>
      </c>
      <c r="L1530" s="62">
        <v>150</v>
      </c>
      <c r="M1530" s="232">
        <v>190</v>
      </c>
      <c r="N1530" s="55" t="s">
        <v>1653</v>
      </c>
      <c r="O1530" s="61" t="s">
        <v>52</v>
      </c>
      <c r="P1530" s="200"/>
      <c r="Q1530" s="200"/>
      <c r="R1530" s="200"/>
      <c r="S1530" s="200"/>
      <c r="T1530" s="66"/>
      <c r="U1530" s="66"/>
      <c r="V1530" s="66"/>
    </row>
    <row r="1531" spans="1:22" s="64" customFormat="1" x14ac:dyDescent="0.25">
      <c r="A1531" s="65" t="s">
        <v>1433</v>
      </c>
      <c r="B1531" s="511" t="s">
        <v>1517</v>
      </c>
      <c r="C1531" s="511"/>
      <c r="D1531" s="511"/>
      <c r="E1531" s="61" t="s">
        <v>1435</v>
      </c>
      <c r="F1531" s="61" t="s">
        <v>54</v>
      </c>
      <c r="G1531" s="61" t="s">
        <v>55</v>
      </c>
      <c r="H1531" s="61"/>
      <c r="I1531" s="61" t="s">
        <v>1366</v>
      </c>
      <c r="J1531" s="62">
        <v>225</v>
      </c>
      <c r="K1531" s="62">
        <v>250</v>
      </c>
      <c r="L1531" s="62">
        <v>250</v>
      </c>
      <c r="M1531" s="232">
        <v>320</v>
      </c>
      <c r="N1531" s="55" t="s">
        <v>1653</v>
      </c>
      <c r="O1531" s="61" t="s">
        <v>52</v>
      </c>
      <c r="P1531" s="200"/>
      <c r="Q1531" s="200"/>
      <c r="R1531" s="200"/>
      <c r="S1531" s="200"/>
      <c r="T1531" s="66"/>
      <c r="U1531" s="66"/>
      <c r="V1531" s="66"/>
    </row>
    <row r="1532" spans="1:22" s="64" customFormat="1" x14ac:dyDescent="0.25">
      <c r="A1532" s="65" t="s">
        <v>1433</v>
      </c>
      <c r="B1532" s="511" t="s">
        <v>1517</v>
      </c>
      <c r="C1532" s="511"/>
      <c r="D1532" s="511"/>
      <c r="E1532" s="61" t="s">
        <v>1435</v>
      </c>
      <c r="F1532" s="61" t="s">
        <v>389</v>
      </c>
      <c r="G1532" s="61" t="s">
        <v>55</v>
      </c>
      <c r="H1532" s="61"/>
      <c r="I1532" s="61" t="s">
        <v>1366</v>
      </c>
      <c r="J1532" s="62">
        <v>225</v>
      </c>
      <c r="K1532" s="62">
        <v>250</v>
      </c>
      <c r="L1532" s="62">
        <v>250</v>
      </c>
      <c r="M1532" s="232">
        <v>320</v>
      </c>
      <c r="N1532" s="55" t="s">
        <v>1653</v>
      </c>
      <c r="O1532" s="61" t="s">
        <v>52</v>
      </c>
      <c r="P1532" s="200"/>
      <c r="Q1532" s="200"/>
      <c r="R1532" s="200"/>
      <c r="S1532" s="200"/>
      <c r="T1532" s="66"/>
      <c r="U1532" s="66"/>
      <c r="V1532" s="66"/>
    </row>
    <row r="1533" spans="1:22" s="64" customFormat="1" x14ac:dyDescent="0.25">
      <c r="A1533" s="65" t="s">
        <v>1522</v>
      </c>
      <c r="B1533" s="511" t="s">
        <v>1523</v>
      </c>
      <c r="C1533" s="511"/>
      <c r="D1533" s="511"/>
      <c r="E1533" s="61" t="s">
        <v>1570</v>
      </c>
      <c r="F1533" s="61" t="s">
        <v>54</v>
      </c>
      <c r="G1533" s="61" t="s">
        <v>55</v>
      </c>
      <c r="H1533" s="61"/>
      <c r="I1533" s="61" t="s">
        <v>1366</v>
      </c>
      <c r="J1533" s="62">
        <v>1080</v>
      </c>
      <c r="K1533" s="62">
        <v>1200</v>
      </c>
      <c r="L1533" s="62">
        <v>1200</v>
      </c>
      <c r="M1533" s="232">
        <v>1525</v>
      </c>
      <c r="N1533" s="55" t="s">
        <v>1653</v>
      </c>
      <c r="O1533" s="61" t="s">
        <v>52</v>
      </c>
      <c r="P1533" s="200"/>
      <c r="Q1533" s="200"/>
      <c r="R1533" s="200"/>
      <c r="S1533" s="200"/>
      <c r="T1533" s="66"/>
      <c r="U1533" s="66"/>
      <c r="V1533" s="66"/>
    </row>
    <row r="1534" spans="1:22" s="64" customFormat="1" x14ac:dyDescent="0.25">
      <c r="A1534" s="65" t="s">
        <v>1522</v>
      </c>
      <c r="B1534" s="511" t="s">
        <v>1524</v>
      </c>
      <c r="C1534" s="511"/>
      <c r="D1534" s="511"/>
      <c r="E1534" s="61" t="s">
        <v>1570</v>
      </c>
      <c r="F1534" s="61" t="s">
        <v>54</v>
      </c>
      <c r="G1534" s="61" t="s">
        <v>55</v>
      </c>
      <c r="H1534" s="61"/>
      <c r="I1534" s="61" t="s">
        <v>1366</v>
      </c>
      <c r="J1534" s="62">
        <v>1080</v>
      </c>
      <c r="K1534" s="62">
        <v>1200</v>
      </c>
      <c r="L1534" s="62">
        <v>1200</v>
      </c>
      <c r="M1534" s="232">
        <v>1525</v>
      </c>
      <c r="N1534" s="55" t="s">
        <v>1653</v>
      </c>
      <c r="O1534" s="61" t="s">
        <v>52</v>
      </c>
      <c r="P1534" s="200"/>
      <c r="Q1534" s="200"/>
      <c r="R1534" s="200"/>
      <c r="S1534" s="200"/>
      <c r="T1534" s="66"/>
      <c r="U1534" s="66"/>
      <c r="V1534" s="66"/>
    </row>
    <row r="1535" spans="1:22" s="64" customFormat="1" x14ac:dyDescent="0.25">
      <c r="A1535" s="65" t="s">
        <v>1522</v>
      </c>
      <c r="B1535" s="511" t="s">
        <v>1525</v>
      </c>
      <c r="C1535" s="511"/>
      <c r="D1535" s="511"/>
      <c r="E1535" s="61" t="s">
        <v>1570</v>
      </c>
      <c r="F1535" s="61" t="s">
        <v>54</v>
      </c>
      <c r="G1535" s="61" t="s">
        <v>55</v>
      </c>
      <c r="H1535" s="61"/>
      <c r="I1535" s="61" t="s">
        <v>1366</v>
      </c>
      <c r="J1535" s="62">
        <v>540</v>
      </c>
      <c r="K1535" s="62">
        <v>600</v>
      </c>
      <c r="L1535" s="62">
        <v>600</v>
      </c>
      <c r="M1535" s="232">
        <v>760</v>
      </c>
      <c r="N1535" s="55" t="s">
        <v>1653</v>
      </c>
      <c r="O1535" s="61" t="s">
        <v>52</v>
      </c>
      <c r="P1535" s="200"/>
      <c r="Q1535" s="200"/>
      <c r="R1535" s="200"/>
      <c r="S1535" s="200"/>
      <c r="T1535" s="66"/>
      <c r="U1535" s="66"/>
      <c r="V1535" s="66"/>
    </row>
    <row r="1536" spans="1:22" s="64" customFormat="1" x14ac:dyDescent="0.25">
      <c r="A1536" s="65" t="s">
        <v>1522</v>
      </c>
      <c r="B1536" s="511" t="s">
        <v>1526</v>
      </c>
      <c r="C1536" s="511"/>
      <c r="D1536" s="511"/>
      <c r="E1536" s="61" t="s">
        <v>1570</v>
      </c>
      <c r="F1536" s="61" t="s">
        <v>54</v>
      </c>
      <c r="G1536" s="61" t="s">
        <v>55</v>
      </c>
      <c r="H1536" s="61"/>
      <c r="I1536" s="61" t="s">
        <v>1366</v>
      </c>
      <c r="J1536" s="62">
        <v>540</v>
      </c>
      <c r="K1536" s="62">
        <v>600</v>
      </c>
      <c r="L1536" s="62">
        <v>600</v>
      </c>
      <c r="M1536" s="232">
        <v>760</v>
      </c>
      <c r="N1536" s="55" t="s">
        <v>1653</v>
      </c>
      <c r="O1536" s="61" t="s">
        <v>52</v>
      </c>
      <c r="P1536" s="200"/>
      <c r="Q1536" s="200"/>
      <c r="R1536" s="200"/>
      <c r="S1536" s="200"/>
      <c r="T1536" s="66"/>
      <c r="U1536" s="66"/>
      <c r="V1536" s="66"/>
    </row>
    <row r="1537" spans="1:22" s="64" customFormat="1" x14ac:dyDescent="0.25">
      <c r="A1537" s="65" t="s">
        <v>1522</v>
      </c>
      <c r="B1537" s="511" t="s">
        <v>1527</v>
      </c>
      <c r="C1537" s="511"/>
      <c r="D1537" s="511"/>
      <c r="E1537" s="61" t="s">
        <v>1570</v>
      </c>
      <c r="F1537" s="61" t="s">
        <v>54</v>
      </c>
      <c r="G1537" s="61" t="s">
        <v>55</v>
      </c>
      <c r="H1537" s="61"/>
      <c r="I1537" s="61" t="s">
        <v>1366</v>
      </c>
      <c r="J1537" s="62">
        <v>1170</v>
      </c>
      <c r="K1537" s="62">
        <v>1300</v>
      </c>
      <c r="L1537" s="62">
        <v>1300</v>
      </c>
      <c r="M1537" s="232">
        <v>1650</v>
      </c>
      <c r="N1537" s="55" t="s">
        <v>1653</v>
      </c>
      <c r="O1537" s="61" t="s">
        <v>52</v>
      </c>
      <c r="P1537" s="200"/>
      <c r="Q1537" s="200"/>
      <c r="R1537" s="200"/>
      <c r="S1537" s="200"/>
      <c r="T1537" s="66"/>
      <c r="U1537" s="66"/>
      <c r="V1537" s="66"/>
    </row>
    <row r="1538" spans="1:22" s="64" customFormat="1" x14ac:dyDescent="0.25">
      <c r="A1538" s="65" t="s">
        <v>1522</v>
      </c>
      <c r="B1538" s="511" t="s">
        <v>1529</v>
      </c>
      <c r="C1538" s="511"/>
      <c r="D1538" s="511"/>
      <c r="E1538" s="61" t="s">
        <v>1570</v>
      </c>
      <c r="F1538" s="61" t="s">
        <v>54</v>
      </c>
      <c r="G1538" s="61" t="s">
        <v>55</v>
      </c>
      <c r="H1538" s="61"/>
      <c r="I1538" s="61" t="s">
        <v>1366</v>
      </c>
      <c r="J1538" s="62">
        <v>0</v>
      </c>
      <c r="K1538" s="62">
        <v>0</v>
      </c>
      <c r="L1538" s="62">
        <v>0</v>
      </c>
      <c r="M1538" s="232">
        <v>0</v>
      </c>
      <c r="N1538" s="55" t="s">
        <v>1653</v>
      </c>
      <c r="O1538" s="61" t="s">
        <v>52</v>
      </c>
      <c r="P1538" s="200"/>
      <c r="Q1538" s="200"/>
      <c r="R1538" s="200"/>
      <c r="S1538" s="200"/>
      <c r="T1538" s="66"/>
      <c r="U1538" s="66"/>
      <c r="V1538" s="66"/>
    </row>
    <row r="1539" spans="1:22" s="64" customFormat="1" x14ac:dyDescent="0.25">
      <c r="A1539" s="65" t="s">
        <v>1522</v>
      </c>
      <c r="B1539" s="511" t="s">
        <v>1530</v>
      </c>
      <c r="C1539" s="511"/>
      <c r="D1539" s="511"/>
      <c r="E1539" s="61" t="s">
        <v>1570</v>
      </c>
      <c r="F1539" s="61" t="s">
        <v>54</v>
      </c>
      <c r="G1539" s="61" t="s">
        <v>55</v>
      </c>
      <c r="H1539" s="61"/>
      <c r="I1539" s="61" t="s">
        <v>1366</v>
      </c>
      <c r="J1539" s="62">
        <v>540</v>
      </c>
      <c r="K1539" s="62">
        <v>600</v>
      </c>
      <c r="L1539" s="62">
        <v>600</v>
      </c>
      <c r="M1539" s="232">
        <v>760</v>
      </c>
      <c r="N1539" s="55" t="s">
        <v>1653</v>
      </c>
      <c r="O1539" s="61" t="s">
        <v>52</v>
      </c>
      <c r="P1539" s="200"/>
      <c r="Q1539" s="200"/>
      <c r="R1539" s="200"/>
      <c r="S1539" s="200"/>
      <c r="T1539" s="66"/>
      <c r="U1539" s="66"/>
      <c r="V1539" s="66"/>
    </row>
    <row r="1540" spans="1:22" s="64" customFormat="1" x14ac:dyDescent="0.25">
      <c r="A1540" s="65" t="s">
        <v>1522</v>
      </c>
      <c r="B1540" s="511" t="s">
        <v>1531</v>
      </c>
      <c r="C1540" s="511"/>
      <c r="D1540" s="511"/>
      <c r="E1540" s="61" t="s">
        <v>1570</v>
      </c>
      <c r="F1540" s="61" t="s">
        <v>54</v>
      </c>
      <c r="G1540" s="61" t="s">
        <v>55</v>
      </c>
      <c r="H1540" s="61"/>
      <c r="I1540" s="61" t="s">
        <v>1366</v>
      </c>
      <c r="J1540" s="62">
        <v>1215</v>
      </c>
      <c r="K1540" s="62">
        <v>1350</v>
      </c>
      <c r="L1540" s="62">
        <v>1350</v>
      </c>
      <c r="M1540" s="232">
        <v>1710</v>
      </c>
      <c r="N1540" s="55" t="s">
        <v>1653</v>
      </c>
      <c r="O1540" s="61" t="s">
        <v>52</v>
      </c>
      <c r="P1540" s="200"/>
      <c r="Q1540" s="200"/>
      <c r="R1540" s="200"/>
      <c r="S1540" s="200"/>
      <c r="T1540" s="66"/>
      <c r="U1540" s="66"/>
      <c r="V1540" s="66"/>
    </row>
    <row r="1541" spans="1:22" s="64" customFormat="1" x14ac:dyDescent="0.25">
      <c r="A1541" s="65" t="s">
        <v>1522</v>
      </c>
      <c r="B1541" s="511" t="s">
        <v>1532</v>
      </c>
      <c r="C1541" s="511"/>
      <c r="D1541" s="511"/>
      <c r="E1541" s="61" t="s">
        <v>1570</v>
      </c>
      <c r="F1541" s="61" t="s">
        <v>54</v>
      </c>
      <c r="G1541" s="61" t="s">
        <v>55</v>
      </c>
      <c r="H1541" s="61"/>
      <c r="I1541" s="61" t="s">
        <v>1366</v>
      </c>
      <c r="J1541" s="62">
        <v>1170</v>
      </c>
      <c r="K1541" s="62">
        <v>1300</v>
      </c>
      <c r="L1541" s="62">
        <v>1300</v>
      </c>
      <c r="M1541" s="232">
        <v>1650</v>
      </c>
      <c r="N1541" s="55" t="s">
        <v>1653</v>
      </c>
      <c r="O1541" s="61" t="s">
        <v>52</v>
      </c>
      <c r="P1541" s="200"/>
      <c r="Q1541" s="200"/>
      <c r="R1541" s="200"/>
      <c r="S1541" s="200"/>
      <c r="T1541" s="66"/>
      <c r="U1541" s="66"/>
      <c r="V1541" s="66"/>
    </row>
    <row r="1542" spans="1:22" s="64" customFormat="1" x14ac:dyDescent="0.25">
      <c r="A1542" s="65" t="s">
        <v>1522</v>
      </c>
      <c r="B1542" s="511" t="s">
        <v>1533</v>
      </c>
      <c r="C1542" s="511"/>
      <c r="D1542" s="511"/>
      <c r="E1542" s="61" t="s">
        <v>1570</v>
      </c>
      <c r="F1542" s="61" t="s">
        <v>54</v>
      </c>
      <c r="G1542" s="61" t="s">
        <v>55</v>
      </c>
      <c r="H1542" s="61"/>
      <c r="I1542" s="61" t="s">
        <v>1366</v>
      </c>
      <c r="J1542" s="62">
        <v>1170</v>
      </c>
      <c r="K1542" s="62">
        <v>1300</v>
      </c>
      <c r="L1542" s="62">
        <v>1300</v>
      </c>
      <c r="M1542" s="232">
        <v>1650</v>
      </c>
      <c r="N1542" s="55" t="s">
        <v>1653</v>
      </c>
      <c r="O1542" s="61" t="s">
        <v>52</v>
      </c>
      <c r="P1542" s="200"/>
      <c r="Q1542" s="200"/>
      <c r="R1542" s="200"/>
      <c r="S1542" s="200"/>
      <c r="T1542" s="66"/>
      <c r="U1542" s="66"/>
      <c r="V1542" s="66"/>
    </row>
    <row r="1543" spans="1:22" s="64" customFormat="1" x14ac:dyDescent="0.25">
      <c r="A1543" s="65" t="s">
        <v>1522</v>
      </c>
      <c r="B1543" s="511" t="s">
        <v>1534</v>
      </c>
      <c r="C1543" s="511"/>
      <c r="D1543" s="511"/>
      <c r="E1543" s="61" t="s">
        <v>1570</v>
      </c>
      <c r="F1543" s="61" t="s">
        <v>54</v>
      </c>
      <c r="G1543" s="61" t="s">
        <v>55</v>
      </c>
      <c r="H1543" s="61"/>
      <c r="I1543" s="61" t="s">
        <v>1366</v>
      </c>
      <c r="J1543" s="62">
        <v>450</v>
      </c>
      <c r="K1543" s="62">
        <v>500</v>
      </c>
      <c r="L1543" s="62">
        <v>500</v>
      </c>
      <c r="M1543" s="232">
        <v>635</v>
      </c>
      <c r="N1543" s="55" t="s">
        <v>1653</v>
      </c>
      <c r="O1543" s="61" t="s">
        <v>52</v>
      </c>
      <c r="P1543" s="200"/>
      <c r="Q1543" s="200"/>
      <c r="R1543" s="200"/>
      <c r="S1543" s="200"/>
      <c r="T1543" s="66"/>
      <c r="U1543" s="66"/>
      <c r="V1543" s="66"/>
    </row>
    <row r="1544" spans="1:22" s="64" customFormat="1" x14ac:dyDescent="0.25">
      <c r="A1544" s="65" t="s">
        <v>1522</v>
      </c>
      <c r="B1544" s="511" t="s">
        <v>1535</v>
      </c>
      <c r="C1544" s="511"/>
      <c r="D1544" s="511"/>
      <c r="E1544" s="61" t="s">
        <v>1570</v>
      </c>
      <c r="F1544" s="61" t="s">
        <v>54</v>
      </c>
      <c r="G1544" s="61" t="s">
        <v>55</v>
      </c>
      <c r="H1544" s="61"/>
      <c r="I1544" s="61" t="s">
        <v>1366</v>
      </c>
      <c r="J1544" s="62">
        <v>450</v>
      </c>
      <c r="K1544" s="62">
        <v>500</v>
      </c>
      <c r="L1544" s="62">
        <v>500</v>
      </c>
      <c r="M1544" s="232">
        <v>635</v>
      </c>
      <c r="N1544" s="55" t="s">
        <v>1653</v>
      </c>
      <c r="O1544" s="61" t="s">
        <v>52</v>
      </c>
      <c r="P1544" s="200"/>
      <c r="Q1544" s="200"/>
      <c r="R1544" s="200"/>
      <c r="S1544" s="200"/>
      <c r="T1544" s="66"/>
      <c r="U1544" s="66"/>
      <c r="V1544" s="66"/>
    </row>
    <row r="1545" spans="1:22" s="64" customFormat="1" x14ac:dyDescent="0.25">
      <c r="A1545" s="65" t="s">
        <v>1522</v>
      </c>
      <c r="B1545" s="511" t="s">
        <v>1536</v>
      </c>
      <c r="C1545" s="511"/>
      <c r="D1545" s="511"/>
      <c r="E1545" s="61" t="s">
        <v>1570</v>
      </c>
      <c r="F1545" s="61" t="s">
        <v>54</v>
      </c>
      <c r="G1545" s="61" t="s">
        <v>55</v>
      </c>
      <c r="H1545" s="61"/>
      <c r="I1545" s="61" t="s">
        <v>1366</v>
      </c>
      <c r="J1545" s="62">
        <v>360</v>
      </c>
      <c r="K1545" s="62">
        <v>400</v>
      </c>
      <c r="L1545" s="62">
        <v>400</v>
      </c>
      <c r="M1545" s="232">
        <v>510</v>
      </c>
      <c r="N1545" s="55" t="s">
        <v>1653</v>
      </c>
      <c r="O1545" s="61" t="s">
        <v>52</v>
      </c>
      <c r="P1545" s="200"/>
      <c r="Q1545" s="200"/>
      <c r="R1545" s="200"/>
      <c r="S1545" s="200"/>
      <c r="T1545" s="66"/>
      <c r="U1545" s="66"/>
      <c r="V1545" s="66"/>
    </row>
    <row r="1546" spans="1:22" s="64" customFormat="1" x14ac:dyDescent="0.25">
      <c r="A1546" s="65" t="s">
        <v>1522</v>
      </c>
      <c r="B1546" s="511" t="s">
        <v>1537</v>
      </c>
      <c r="C1546" s="511"/>
      <c r="D1546" s="511"/>
      <c r="E1546" s="61" t="s">
        <v>1570</v>
      </c>
      <c r="F1546" s="61" t="s">
        <v>54</v>
      </c>
      <c r="G1546" s="61" t="s">
        <v>55</v>
      </c>
      <c r="H1546" s="61"/>
      <c r="I1546" s="61" t="s">
        <v>1366</v>
      </c>
      <c r="J1546" s="62">
        <v>675</v>
      </c>
      <c r="K1546" s="62">
        <v>750</v>
      </c>
      <c r="L1546" s="62">
        <v>750</v>
      </c>
      <c r="M1546" s="232">
        <v>955</v>
      </c>
      <c r="N1546" s="55" t="s">
        <v>1653</v>
      </c>
      <c r="O1546" s="61" t="s">
        <v>52</v>
      </c>
      <c r="P1546" s="200"/>
      <c r="Q1546" s="200"/>
      <c r="R1546" s="200"/>
      <c r="S1546" s="200"/>
      <c r="T1546" s="66"/>
      <c r="U1546" s="66"/>
      <c r="V1546" s="66"/>
    </row>
    <row r="1547" spans="1:22" s="64" customFormat="1" x14ac:dyDescent="0.25">
      <c r="A1547" s="65" t="s">
        <v>1522</v>
      </c>
      <c r="B1547" s="511" t="s">
        <v>1538</v>
      </c>
      <c r="C1547" s="511"/>
      <c r="D1547" s="511"/>
      <c r="E1547" s="61" t="s">
        <v>1570</v>
      </c>
      <c r="F1547" s="61" t="s">
        <v>54</v>
      </c>
      <c r="G1547" s="61" t="s">
        <v>55</v>
      </c>
      <c r="H1547" s="61"/>
      <c r="I1547" s="61" t="s">
        <v>1366</v>
      </c>
      <c r="J1547" s="62">
        <v>1170</v>
      </c>
      <c r="K1547" s="62">
        <v>1300</v>
      </c>
      <c r="L1547" s="62">
        <v>1300</v>
      </c>
      <c r="M1547" s="232">
        <v>1650</v>
      </c>
      <c r="N1547" s="55" t="s">
        <v>1653</v>
      </c>
      <c r="O1547" s="61" t="s">
        <v>52</v>
      </c>
      <c r="P1547" s="200"/>
      <c r="Q1547" s="200"/>
      <c r="R1547" s="200"/>
      <c r="S1547" s="200"/>
      <c r="T1547" s="66"/>
      <c r="U1547" s="66"/>
      <c r="V1547" s="66"/>
    </row>
    <row r="1548" spans="1:22" s="64" customFormat="1" x14ac:dyDescent="0.25">
      <c r="A1548" s="65" t="s">
        <v>1522</v>
      </c>
      <c r="B1548" s="511" t="s">
        <v>1539</v>
      </c>
      <c r="C1548" s="511"/>
      <c r="D1548" s="511"/>
      <c r="E1548" s="61" t="s">
        <v>1570</v>
      </c>
      <c r="F1548" s="61" t="s">
        <v>54</v>
      </c>
      <c r="G1548" s="61" t="s">
        <v>55</v>
      </c>
      <c r="H1548" s="61"/>
      <c r="I1548" s="61" t="s">
        <v>1366</v>
      </c>
      <c r="J1548" s="62">
        <v>270</v>
      </c>
      <c r="K1548" s="62">
        <v>300</v>
      </c>
      <c r="L1548" s="62">
        <v>300</v>
      </c>
      <c r="M1548" s="232">
        <v>380</v>
      </c>
      <c r="N1548" s="55" t="s">
        <v>1653</v>
      </c>
      <c r="O1548" s="61" t="s">
        <v>52</v>
      </c>
      <c r="P1548" s="200"/>
      <c r="Q1548" s="200"/>
      <c r="R1548" s="200"/>
      <c r="S1548" s="200"/>
      <c r="T1548" s="66"/>
      <c r="U1548" s="66"/>
      <c r="V1548" s="66"/>
    </row>
    <row r="1549" spans="1:22" s="64" customFormat="1" x14ac:dyDescent="0.25">
      <c r="A1549" s="65" t="s">
        <v>1522</v>
      </c>
      <c r="B1549" s="511" t="s">
        <v>1540</v>
      </c>
      <c r="C1549" s="511"/>
      <c r="D1549" s="511"/>
      <c r="E1549" s="61" t="s">
        <v>1570</v>
      </c>
      <c r="F1549" s="61" t="s">
        <v>54</v>
      </c>
      <c r="G1549" s="61" t="s">
        <v>55</v>
      </c>
      <c r="H1549" s="61"/>
      <c r="I1549" s="61" t="s">
        <v>1366</v>
      </c>
      <c r="J1549" s="62">
        <v>0</v>
      </c>
      <c r="K1549" s="62">
        <v>0</v>
      </c>
      <c r="L1549" s="62">
        <v>0</v>
      </c>
      <c r="M1549" s="232">
        <v>0</v>
      </c>
      <c r="N1549" s="55" t="s">
        <v>1653</v>
      </c>
      <c r="O1549" s="61" t="s">
        <v>52</v>
      </c>
      <c r="P1549" s="200"/>
      <c r="Q1549" s="200"/>
      <c r="R1549" s="200"/>
      <c r="S1549" s="200"/>
      <c r="T1549" s="66"/>
      <c r="U1549" s="66"/>
      <c r="V1549" s="66"/>
    </row>
    <row r="1550" spans="1:22" s="64" customFormat="1" x14ac:dyDescent="0.25">
      <c r="A1550" s="65" t="s">
        <v>1522</v>
      </c>
      <c r="B1550" s="511" t="s">
        <v>1541</v>
      </c>
      <c r="C1550" s="511"/>
      <c r="D1550" s="511"/>
      <c r="E1550" s="61" t="s">
        <v>1570</v>
      </c>
      <c r="F1550" s="61" t="s">
        <v>54</v>
      </c>
      <c r="G1550" s="61" t="s">
        <v>55</v>
      </c>
      <c r="H1550" s="61"/>
      <c r="I1550" s="61" t="s">
        <v>1366</v>
      </c>
      <c r="J1550" s="62">
        <v>1620</v>
      </c>
      <c r="K1550" s="62">
        <v>1800</v>
      </c>
      <c r="L1550" s="62">
        <v>1800</v>
      </c>
      <c r="M1550" s="232">
        <v>2280</v>
      </c>
      <c r="N1550" s="55" t="s">
        <v>1653</v>
      </c>
      <c r="O1550" s="61" t="s">
        <v>52</v>
      </c>
      <c r="P1550" s="200"/>
      <c r="Q1550" s="200"/>
      <c r="R1550" s="200"/>
      <c r="S1550" s="200"/>
      <c r="T1550" s="66"/>
      <c r="U1550" s="66"/>
      <c r="V1550" s="66"/>
    </row>
    <row r="1551" spans="1:22" s="64" customFormat="1" x14ac:dyDescent="0.25">
      <c r="A1551" s="65" t="s">
        <v>1552</v>
      </c>
      <c r="B1551" s="511" t="s">
        <v>1553</v>
      </c>
      <c r="C1551" s="511"/>
      <c r="D1551" s="511"/>
      <c r="E1551" s="61" t="s">
        <v>1570</v>
      </c>
      <c r="F1551" s="61" t="s">
        <v>54</v>
      </c>
      <c r="G1551" s="61" t="s">
        <v>55</v>
      </c>
      <c r="H1551" s="61"/>
      <c r="I1551" s="61" t="s">
        <v>1366</v>
      </c>
      <c r="J1551" s="62">
        <v>450</v>
      </c>
      <c r="K1551" s="62">
        <v>500</v>
      </c>
      <c r="L1551" s="62">
        <v>500</v>
      </c>
      <c r="M1551" s="232">
        <v>635</v>
      </c>
      <c r="N1551" s="55" t="s">
        <v>1653</v>
      </c>
      <c r="O1551" s="61" t="s">
        <v>52</v>
      </c>
      <c r="P1551" s="200"/>
      <c r="Q1551" s="200"/>
      <c r="R1551" s="200"/>
      <c r="S1551" s="200"/>
      <c r="T1551" s="66"/>
      <c r="U1551" s="66"/>
      <c r="V1551" s="66"/>
    </row>
    <row r="1552" spans="1:22" s="64" customFormat="1" x14ac:dyDescent="0.25">
      <c r="A1552" s="65" t="s">
        <v>1552</v>
      </c>
      <c r="B1552" s="511" t="s">
        <v>1555</v>
      </c>
      <c r="C1552" s="511"/>
      <c r="D1552" s="511"/>
      <c r="E1552" s="61" t="s">
        <v>1570</v>
      </c>
      <c r="F1552" s="61" t="s">
        <v>54</v>
      </c>
      <c r="G1552" s="61" t="s">
        <v>55</v>
      </c>
      <c r="H1552" s="61"/>
      <c r="I1552" s="61" t="s">
        <v>1366</v>
      </c>
      <c r="J1552" s="62">
        <v>360</v>
      </c>
      <c r="K1552" s="62">
        <v>400</v>
      </c>
      <c r="L1552" s="62">
        <v>400</v>
      </c>
      <c r="M1552" s="232">
        <v>510</v>
      </c>
      <c r="N1552" s="55" t="s">
        <v>1653</v>
      </c>
      <c r="O1552" s="61" t="s">
        <v>52</v>
      </c>
      <c r="P1552" s="200"/>
      <c r="Q1552" s="200"/>
      <c r="R1552" s="200"/>
      <c r="S1552" s="200"/>
      <c r="T1552" s="66"/>
      <c r="U1552" s="66"/>
      <c r="V1552" s="66"/>
    </row>
    <row r="1553" spans="1:22" s="64" customFormat="1" x14ac:dyDescent="0.25">
      <c r="A1553" s="65" t="s">
        <v>1552</v>
      </c>
      <c r="B1553" s="511" t="s">
        <v>1556</v>
      </c>
      <c r="C1553" s="511"/>
      <c r="D1553" s="511"/>
      <c r="E1553" s="61" t="s">
        <v>1570</v>
      </c>
      <c r="F1553" s="61" t="s">
        <v>54</v>
      </c>
      <c r="G1553" s="61" t="s">
        <v>55</v>
      </c>
      <c r="H1553" s="61"/>
      <c r="I1553" s="61" t="s">
        <v>1366</v>
      </c>
      <c r="J1553" s="62">
        <v>270</v>
      </c>
      <c r="K1553" s="62">
        <v>300</v>
      </c>
      <c r="L1553" s="62">
        <v>300</v>
      </c>
      <c r="M1553" s="232">
        <v>380</v>
      </c>
      <c r="N1553" s="55" t="s">
        <v>1653</v>
      </c>
      <c r="O1553" s="61" t="s">
        <v>52</v>
      </c>
      <c r="P1553" s="200"/>
      <c r="Q1553" s="200"/>
      <c r="R1553" s="200"/>
      <c r="S1553" s="200"/>
      <c r="T1553" s="66"/>
      <c r="U1553" s="66"/>
      <c r="V1553" s="66"/>
    </row>
    <row r="1554" spans="1:22" s="64" customFormat="1" x14ac:dyDescent="0.25">
      <c r="A1554" s="65" t="s">
        <v>1552</v>
      </c>
      <c r="B1554" s="511" t="s">
        <v>1554</v>
      </c>
      <c r="C1554" s="511"/>
      <c r="D1554" s="511"/>
      <c r="E1554" s="61" t="s">
        <v>1570</v>
      </c>
      <c r="F1554" s="61" t="s">
        <v>54</v>
      </c>
      <c r="G1554" s="61" t="s">
        <v>55</v>
      </c>
      <c r="H1554" s="61"/>
      <c r="I1554" s="61" t="s">
        <v>1366</v>
      </c>
      <c r="J1554" s="62">
        <v>180</v>
      </c>
      <c r="K1554" s="62">
        <v>200</v>
      </c>
      <c r="L1554" s="62">
        <v>200</v>
      </c>
      <c r="M1554" s="232">
        <v>255</v>
      </c>
      <c r="N1554" s="55" t="s">
        <v>1653</v>
      </c>
      <c r="O1554" s="61" t="s">
        <v>52</v>
      </c>
      <c r="P1554" s="200"/>
      <c r="Q1554" s="200"/>
      <c r="R1554" s="200"/>
      <c r="S1554" s="200"/>
      <c r="T1554" s="66"/>
      <c r="U1554" s="66"/>
      <c r="V1554" s="66"/>
    </row>
    <row r="1555" spans="1:22" s="64" customFormat="1" x14ac:dyDescent="0.25">
      <c r="A1555" s="65" t="s">
        <v>1552</v>
      </c>
      <c r="B1555" s="511" t="s">
        <v>1557</v>
      </c>
      <c r="C1555" s="511"/>
      <c r="D1555" s="511"/>
      <c r="E1555" s="61" t="s">
        <v>1570</v>
      </c>
      <c r="F1555" s="61" t="s">
        <v>54</v>
      </c>
      <c r="G1555" s="61" t="s">
        <v>55</v>
      </c>
      <c r="H1555" s="61"/>
      <c r="I1555" s="61" t="s">
        <v>1366</v>
      </c>
      <c r="J1555" s="62">
        <v>450</v>
      </c>
      <c r="K1555" s="62">
        <v>500</v>
      </c>
      <c r="L1555" s="62">
        <v>500</v>
      </c>
      <c r="M1555" s="232">
        <v>635</v>
      </c>
      <c r="N1555" s="55" t="s">
        <v>1653</v>
      </c>
      <c r="O1555" s="61" t="s">
        <v>52</v>
      </c>
      <c r="P1555" s="200"/>
      <c r="Q1555" s="200"/>
      <c r="R1555" s="200"/>
      <c r="S1555" s="200"/>
      <c r="T1555" s="66"/>
      <c r="U1555" s="66"/>
      <c r="V1555" s="66"/>
    </row>
    <row r="1556" spans="1:22" s="64" customFormat="1" x14ac:dyDescent="0.25">
      <c r="A1556" s="65" t="s">
        <v>1558</v>
      </c>
      <c r="B1556" s="511" t="s">
        <v>1559</v>
      </c>
      <c r="C1556" s="511"/>
      <c r="D1556" s="511"/>
      <c r="E1556" s="61" t="s">
        <v>1570</v>
      </c>
      <c r="F1556" s="61" t="s">
        <v>54</v>
      </c>
      <c r="G1556" s="61" t="s">
        <v>55</v>
      </c>
      <c r="H1556" s="61"/>
      <c r="I1556" s="61" t="s">
        <v>1366</v>
      </c>
      <c r="J1556" s="62">
        <v>495</v>
      </c>
      <c r="K1556" s="62">
        <v>550</v>
      </c>
      <c r="L1556" s="62">
        <v>550</v>
      </c>
      <c r="M1556" s="232">
        <v>700</v>
      </c>
      <c r="N1556" s="55" t="s">
        <v>1653</v>
      </c>
      <c r="O1556" s="61" t="s">
        <v>52</v>
      </c>
      <c r="P1556" s="200"/>
      <c r="Q1556" s="200"/>
      <c r="R1556" s="200"/>
      <c r="S1556" s="200"/>
      <c r="T1556" s="66"/>
      <c r="U1556" s="66"/>
      <c r="V1556" s="66"/>
    </row>
    <row r="1557" spans="1:22" s="64" customFormat="1" x14ac:dyDescent="0.25">
      <c r="A1557" s="65" t="s">
        <v>1560</v>
      </c>
      <c r="B1557" s="511" t="s">
        <v>1564</v>
      </c>
      <c r="C1557" s="511"/>
      <c r="D1557" s="511"/>
      <c r="E1557" s="61" t="s">
        <v>1570</v>
      </c>
      <c r="F1557" s="61" t="s">
        <v>54</v>
      </c>
      <c r="G1557" s="61" t="s">
        <v>55</v>
      </c>
      <c r="H1557" s="61"/>
      <c r="I1557" s="61" t="s">
        <v>1366</v>
      </c>
      <c r="J1557" s="62">
        <v>810</v>
      </c>
      <c r="K1557" s="62">
        <v>900</v>
      </c>
      <c r="L1557" s="62">
        <v>900</v>
      </c>
      <c r="M1557" s="232">
        <v>1145</v>
      </c>
      <c r="N1557" s="55" t="s">
        <v>1653</v>
      </c>
      <c r="O1557" s="61" t="s">
        <v>52</v>
      </c>
      <c r="P1557" s="200"/>
      <c r="Q1557" s="200"/>
      <c r="R1557" s="200"/>
      <c r="S1557" s="200"/>
      <c r="T1557" s="66"/>
      <c r="U1557" s="66"/>
      <c r="V1557" s="66"/>
    </row>
    <row r="1558" spans="1:22" s="64" customFormat="1" x14ac:dyDescent="0.25">
      <c r="A1558" s="65" t="s">
        <v>1560</v>
      </c>
      <c r="B1558" s="511" t="s">
        <v>1566</v>
      </c>
      <c r="C1558" s="511"/>
      <c r="D1558" s="511"/>
      <c r="E1558" s="61" t="s">
        <v>1570</v>
      </c>
      <c r="F1558" s="61" t="s">
        <v>54</v>
      </c>
      <c r="G1558" s="61" t="s">
        <v>55</v>
      </c>
      <c r="H1558" s="61"/>
      <c r="I1558" s="61" t="s">
        <v>1366</v>
      </c>
      <c r="J1558" s="62">
        <v>270</v>
      </c>
      <c r="K1558" s="62">
        <v>300</v>
      </c>
      <c r="L1558" s="62">
        <v>300</v>
      </c>
      <c r="M1558" s="232">
        <v>380</v>
      </c>
      <c r="N1558" s="55" t="s">
        <v>1653</v>
      </c>
      <c r="O1558" s="61" t="s">
        <v>52</v>
      </c>
      <c r="P1558" s="200"/>
      <c r="Q1558" s="200"/>
      <c r="R1558" s="200"/>
      <c r="S1558" s="200"/>
      <c r="T1558" s="66"/>
      <c r="U1558" s="66"/>
      <c r="V1558" s="66"/>
    </row>
    <row r="1559" spans="1:22" s="64" customFormat="1" x14ac:dyDescent="0.25">
      <c r="A1559" s="65" t="s">
        <v>1399</v>
      </c>
      <c r="B1559" s="511" t="s">
        <v>1430</v>
      </c>
      <c r="C1559" s="511"/>
      <c r="D1559" s="511"/>
      <c r="E1559" s="61" t="s">
        <v>1570</v>
      </c>
      <c r="F1559" s="61" t="s">
        <v>54</v>
      </c>
      <c r="G1559" s="61" t="s">
        <v>55</v>
      </c>
      <c r="H1559" s="61"/>
      <c r="I1559" s="61" t="s">
        <v>1366</v>
      </c>
      <c r="J1559" s="62">
        <v>90</v>
      </c>
      <c r="K1559" s="62">
        <v>100</v>
      </c>
      <c r="L1559" s="62">
        <v>100</v>
      </c>
      <c r="M1559" s="232">
        <v>130</v>
      </c>
      <c r="N1559" s="55" t="s">
        <v>1653</v>
      </c>
      <c r="O1559" s="61" t="s">
        <v>52</v>
      </c>
      <c r="P1559" s="200"/>
      <c r="Q1559" s="200"/>
      <c r="R1559" s="200"/>
      <c r="S1559" s="200"/>
      <c r="T1559" s="66"/>
      <c r="U1559" s="66"/>
      <c r="V1559" s="66"/>
    </row>
    <row r="1560" spans="1:22" s="64" customFormat="1" x14ac:dyDescent="0.25">
      <c r="A1560" s="65" t="s">
        <v>1568</v>
      </c>
      <c r="B1560" s="511" t="s">
        <v>1569</v>
      </c>
      <c r="C1560" s="511"/>
      <c r="D1560" s="511"/>
      <c r="E1560" s="61" t="s">
        <v>1570</v>
      </c>
      <c r="F1560" s="61" t="s">
        <v>54</v>
      </c>
      <c r="G1560" s="61" t="s">
        <v>55</v>
      </c>
      <c r="H1560" s="61"/>
      <c r="I1560" s="61" t="s">
        <v>1366</v>
      </c>
      <c r="J1560" s="62">
        <v>180</v>
      </c>
      <c r="K1560" s="62">
        <v>200</v>
      </c>
      <c r="L1560" s="62">
        <v>200</v>
      </c>
      <c r="M1560" s="232">
        <v>255</v>
      </c>
      <c r="N1560" s="55" t="s">
        <v>1653</v>
      </c>
      <c r="O1560" s="61" t="s">
        <v>52</v>
      </c>
      <c r="P1560" s="200"/>
      <c r="Q1560" s="200"/>
      <c r="R1560" s="200"/>
      <c r="S1560" s="200"/>
      <c r="T1560" s="66"/>
      <c r="U1560" s="66"/>
      <c r="V1560" s="66"/>
    </row>
    <row r="1561" spans="1:22" s="64" customFormat="1" x14ac:dyDescent="0.25">
      <c r="A1561" s="65" t="s">
        <v>1568</v>
      </c>
      <c r="B1561" s="511" t="s">
        <v>1571</v>
      </c>
      <c r="C1561" s="511"/>
      <c r="D1561" s="511"/>
      <c r="E1561" s="61" t="s">
        <v>1570</v>
      </c>
      <c r="F1561" s="61" t="s">
        <v>54</v>
      </c>
      <c r="G1561" s="61" t="s">
        <v>55</v>
      </c>
      <c r="H1561" s="61"/>
      <c r="I1561" s="61" t="s">
        <v>1366</v>
      </c>
      <c r="J1561" s="62">
        <v>270</v>
      </c>
      <c r="K1561" s="62">
        <v>300</v>
      </c>
      <c r="L1561" s="62">
        <v>300</v>
      </c>
      <c r="M1561" s="232">
        <v>385</v>
      </c>
      <c r="N1561" s="55" t="s">
        <v>1653</v>
      </c>
      <c r="O1561" s="61" t="s">
        <v>52</v>
      </c>
      <c r="P1561" s="200"/>
      <c r="Q1561" s="200"/>
      <c r="R1561" s="200"/>
      <c r="S1561" s="200"/>
      <c r="T1561" s="66"/>
      <c r="U1561" s="66"/>
      <c r="V1561" s="66"/>
    </row>
    <row r="1562" spans="1:22" s="64" customFormat="1" x14ac:dyDescent="0.25">
      <c r="A1562" s="65" t="s">
        <v>1578</v>
      </c>
      <c r="B1562" s="511" t="s">
        <v>1579</v>
      </c>
      <c r="C1562" s="511"/>
      <c r="D1562" s="511"/>
      <c r="E1562" s="61" t="s">
        <v>1570</v>
      </c>
      <c r="F1562" s="61" t="s">
        <v>54</v>
      </c>
      <c r="G1562" s="61" t="s">
        <v>55</v>
      </c>
      <c r="H1562" s="61"/>
      <c r="I1562" s="61" t="s">
        <v>1366</v>
      </c>
      <c r="J1562" s="62">
        <v>450</v>
      </c>
      <c r="K1562" s="62">
        <v>500</v>
      </c>
      <c r="L1562" s="62">
        <v>500</v>
      </c>
      <c r="M1562" s="232">
        <v>635</v>
      </c>
      <c r="N1562" s="55" t="s">
        <v>1653</v>
      </c>
      <c r="O1562" s="61" t="s">
        <v>52</v>
      </c>
      <c r="P1562" s="200"/>
      <c r="Q1562" s="200"/>
      <c r="R1562" s="200"/>
      <c r="S1562" s="200"/>
      <c r="T1562" s="66"/>
      <c r="U1562" s="66"/>
      <c r="V1562" s="66"/>
    </row>
    <row r="1563" spans="1:22" s="64" customFormat="1" x14ac:dyDescent="0.25">
      <c r="A1563" s="65" t="s">
        <v>1578</v>
      </c>
      <c r="B1563" s="511" t="s">
        <v>1580</v>
      </c>
      <c r="C1563" s="511"/>
      <c r="D1563" s="511"/>
      <c r="E1563" s="61" t="s">
        <v>1570</v>
      </c>
      <c r="F1563" s="61" t="s">
        <v>54</v>
      </c>
      <c r="G1563" s="61" t="s">
        <v>55</v>
      </c>
      <c r="H1563" s="61"/>
      <c r="I1563" s="61" t="s">
        <v>1366</v>
      </c>
      <c r="J1563" s="62">
        <v>360</v>
      </c>
      <c r="K1563" s="62">
        <v>400</v>
      </c>
      <c r="L1563" s="62">
        <v>400</v>
      </c>
      <c r="M1563" s="232">
        <v>510</v>
      </c>
      <c r="N1563" s="55" t="s">
        <v>1653</v>
      </c>
      <c r="O1563" s="61" t="s">
        <v>52</v>
      </c>
      <c r="P1563" s="200"/>
      <c r="Q1563" s="200"/>
      <c r="R1563" s="200"/>
      <c r="S1563" s="200"/>
      <c r="T1563" s="66"/>
      <c r="U1563" s="66"/>
      <c r="V1563" s="66"/>
    </row>
    <row r="1564" spans="1:22" s="64" customFormat="1" x14ac:dyDescent="0.25">
      <c r="A1564" s="65" t="s">
        <v>1578</v>
      </c>
      <c r="B1564" s="511" t="s">
        <v>1581</v>
      </c>
      <c r="C1564" s="511"/>
      <c r="D1564" s="511"/>
      <c r="E1564" s="61" t="s">
        <v>1570</v>
      </c>
      <c r="F1564" s="61" t="s">
        <v>54</v>
      </c>
      <c r="G1564" s="61" t="s">
        <v>55</v>
      </c>
      <c r="H1564" s="61"/>
      <c r="I1564" s="61" t="s">
        <v>1366</v>
      </c>
      <c r="J1564" s="62">
        <v>630</v>
      </c>
      <c r="K1564" s="62">
        <v>700</v>
      </c>
      <c r="L1564" s="62">
        <v>700</v>
      </c>
      <c r="M1564" s="232">
        <v>890</v>
      </c>
      <c r="N1564" s="55" t="s">
        <v>1653</v>
      </c>
      <c r="O1564" s="61" t="s">
        <v>52</v>
      </c>
      <c r="P1564" s="200"/>
      <c r="Q1564" s="200"/>
      <c r="R1564" s="200"/>
      <c r="S1564" s="200"/>
      <c r="T1564" s="66"/>
      <c r="U1564" s="66"/>
      <c r="V1564" s="66"/>
    </row>
    <row r="1565" spans="1:22" s="64" customFormat="1" x14ac:dyDescent="0.25">
      <c r="A1565" s="65" t="s">
        <v>1582</v>
      </c>
      <c r="B1565" s="511" t="s">
        <v>1583</v>
      </c>
      <c r="C1565" s="511"/>
      <c r="D1565" s="511"/>
      <c r="E1565" s="61" t="s">
        <v>1570</v>
      </c>
      <c r="F1565" s="61" t="s">
        <v>54</v>
      </c>
      <c r="G1565" s="61" t="s">
        <v>55</v>
      </c>
      <c r="H1565" s="61"/>
      <c r="I1565" s="61" t="s">
        <v>1366</v>
      </c>
      <c r="J1565" s="62">
        <v>630</v>
      </c>
      <c r="K1565" s="62">
        <v>700</v>
      </c>
      <c r="L1565" s="62">
        <v>700</v>
      </c>
      <c r="M1565" s="232">
        <v>890</v>
      </c>
      <c r="N1565" s="55" t="s">
        <v>1653</v>
      </c>
      <c r="O1565" s="61" t="s">
        <v>52</v>
      </c>
      <c r="P1565" s="200"/>
      <c r="Q1565" s="200"/>
      <c r="R1565" s="200"/>
      <c r="S1565" s="200"/>
      <c r="T1565" s="66"/>
      <c r="U1565" s="66"/>
      <c r="V1565" s="66"/>
    </row>
    <row r="1566" spans="1:22" s="64" customFormat="1" x14ac:dyDescent="0.25">
      <c r="A1566" s="65" t="s">
        <v>1582</v>
      </c>
      <c r="B1566" s="511" t="s">
        <v>1584</v>
      </c>
      <c r="C1566" s="511"/>
      <c r="D1566" s="511"/>
      <c r="E1566" s="61" t="s">
        <v>1570</v>
      </c>
      <c r="F1566" s="61" t="s">
        <v>54</v>
      </c>
      <c r="G1566" s="61" t="s">
        <v>55</v>
      </c>
      <c r="H1566" s="61"/>
      <c r="I1566" s="61" t="s">
        <v>1366</v>
      </c>
      <c r="J1566" s="62">
        <v>90</v>
      </c>
      <c r="K1566" s="62">
        <v>100</v>
      </c>
      <c r="L1566" s="62">
        <v>100</v>
      </c>
      <c r="M1566" s="232">
        <v>130</v>
      </c>
      <c r="N1566" s="55" t="s">
        <v>1653</v>
      </c>
      <c r="O1566" s="61" t="s">
        <v>52</v>
      </c>
      <c r="P1566" s="200"/>
      <c r="Q1566" s="200"/>
      <c r="R1566" s="200"/>
      <c r="S1566" s="200"/>
      <c r="T1566" s="66"/>
      <c r="U1566" s="66"/>
      <c r="V1566" s="66"/>
    </row>
    <row r="1567" spans="1:22" s="64" customFormat="1" x14ac:dyDescent="0.25">
      <c r="A1567" s="65" t="s">
        <v>1582</v>
      </c>
      <c r="B1567" s="511" t="s">
        <v>1585</v>
      </c>
      <c r="C1567" s="511"/>
      <c r="D1567" s="511"/>
      <c r="E1567" s="61" t="s">
        <v>1570</v>
      </c>
      <c r="F1567" s="61" t="s">
        <v>54</v>
      </c>
      <c r="G1567" s="61" t="s">
        <v>55</v>
      </c>
      <c r="H1567" s="61"/>
      <c r="I1567" s="61" t="s">
        <v>1366</v>
      </c>
      <c r="J1567" s="62">
        <v>135</v>
      </c>
      <c r="K1567" s="62">
        <v>150</v>
      </c>
      <c r="L1567" s="62">
        <v>150</v>
      </c>
      <c r="M1567" s="232">
        <v>190</v>
      </c>
      <c r="N1567" s="55" t="s">
        <v>1653</v>
      </c>
      <c r="O1567" s="61" t="s">
        <v>52</v>
      </c>
      <c r="P1567" s="200"/>
      <c r="Q1567" s="200"/>
      <c r="R1567" s="200"/>
      <c r="S1567" s="200"/>
      <c r="T1567" s="66"/>
      <c r="U1567" s="66"/>
      <c r="V1567" s="66"/>
    </row>
    <row r="1568" spans="1:22" s="64" customFormat="1" x14ac:dyDescent="0.25">
      <c r="A1568" s="65" t="s">
        <v>1582</v>
      </c>
      <c r="B1568" s="511" t="s">
        <v>1586</v>
      </c>
      <c r="C1568" s="511"/>
      <c r="D1568" s="511"/>
      <c r="E1568" s="61" t="s">
        <v>1570</v>
      </c>
      <c r="F1568" s="61" t="s">
        <v>54</v>
      </c>
      <c r="G1568" s="61" t="s">
        <v>55</v>
      </c>
      <c r="H1568" s="61"/>
      <c r="I1568" s="61" t="s">
        <v>1366</v>
      </c>
      <c r="J1568" s="62">
        <v>720</v>
      </c>
      <c r="K1568" s="62">
        <v>800</v>
      </c>
      <c r="L1568" s="62">
        <v>800</v>
      </c>
      <c r="M1568" s="232">
        <v>1020</v>
      </c>
      <c r="N1568" s="55" t="s">
        <v>1653</v>
      </c>
      <c r="O1568" s="61" t="s">
        <v>52</v>
      </c>
      <c r="P1568" s="200"/>
      <c r="Q1568" s="200"/>
      <c r="R1568" s="200"/>
      <c r="S1568" s="200"/>
      <c r="T1568" s="66"/>
      <c r="U1568" s="66"/>
      <c r="V1568" s="66"/>
    </row>
    <row r="1569" spans="1:24" s="64" customFormat="1" x14ac:dyDescent="0.25">
      <c r="A1569" s="65" t="s">
        <v>1582</v>
      </c>
      <c r="B1569" s="511" t="s">
        <v>1431</v>
      </c>
      <c r="C1569" s="511"/>
      <c r="D1569" s="511"/>
      <c r="E1569" s="61" t="s">
        <v>1570</v>
      </c>
      <c r="F1569" s="61" t="s">
        <v>54</v>
      </c>
      <c r="G1569" s="61" t="s">
        <v>55</v>
      </c>
      <c r="H1569" s="61"/>
      <c r="I1569" s="61" t="s">
        <v>1366</v>
      </c>
      <c r="J1569" s="62">
        <v>90</v>
      </c>
      <c r="K1569" s="62">
        <v>100</v>
      </c>
      <c r="L1569" s="62">
        <v>100</v>
      </c>
      <c r="M1569" s="232">
        <v>130</v>
      </c>
      <c r="N1569" s="55" t="s">
        <v>1653</v>
      </c>
      <c r="O1569" s="61" t="s">
        <v>52</v>
      </c>
      <c r="P1569" s="200"/>
      <c r="Q1569" s="200"/>
      <c r="R1569" s="200"/>
      <c r="S1569" s="200"/>
      <c r="T1569" s="66"/>
      <c r="U1569" s="66"/>
      <c r="V1569" s="66"/>
    </row>
    <row r="1570" spans="1:24" s="64" customFormat="1" x14ac:dyDescent="0.25">
      <c r="A1570" s="65"/>
      <c r="B1570" s="511"/>
      <c r="C1570" s="511"/>
      <c r="D1570" s="511"/>
      <c r="E1570" s="61"/>
      <c r="F1570" s="61"/>
      <c r="G1570" s="61"/>
      <c r="H1570" s="61"/>
      <c r="I1570" s="61"/>
      <c r="J1570" s="62"/>
      <c r="K1570" s="62"/>
      <c r="L1570" s="62"/>
      <c r="M1570" s="232"/>
      <c r="N1570" s="55"/>
      <c r="O1570" s="61"/>
      <c r="P1570" s="200"/>
      <c r="Q1570" s="200"/>
      <c r="R1570" s="200"/>
      <c r="S1570" s="200"/>
      <c r="T1570" s="200"/>
      <c r="U1570" s="66"/>
      <c r="V1570" s="66"/>
      <c r="W1570" s="66"/>
    </row>
    <row r="1571" spans="1:24" s="64" customFormat="1" ht="13.8" thickBot="1" x14ac:dyDescent="0.3">
      <c r="A1571" s="127"/>
      <c r="B1571" s="595"/>
      <c r="C1571" s="595"/>
      <c r="D1571" s="595"/>
      <c r="E1571" s="195"/>
      <c r="F1571" s="195"/>
      <c r="G1571" s="195"/>
      <c r="H1571" s="195"/>
      <c r="I1571" s="195"/>
      <c r="J1571" s="233"/>
      <c r="K1571" s="342"/>
      <c r="L1571" s="342"/>
      <c r="M1571" s="234"/>
      <c r="N1571" s="148"/>
      <c r="O1571" s="195"/>
      <c r="P1571" s="200"/>
      <c r="Q1571" s="200"/>
      <c r="R1571" s="200"/>
      <c r="S1571" s="200"/>
      <c r="T1571" s="200"/>
      <c r="U1571" s="66"/>
      <c r="V1571" s="66"/>
      <c r="W1571" s="66"/>
    </row>
    <row r="1572" spans="1:24" x14ac:dyDescent="0.25">
      <c r="A1572" s="199"/>
      <c r="B1572" s="199"/>
      <c r="E1572" s="199"/>
      <c r="J1572" s="199"/>
      <c r="K1572" s="199"/>
      <c r="L1572" s="199"/>
      <c r="M1572" s="199"/>
      <c r="O1572" s="199"/>
      <c r="P1572" s="177"/>
      <c r="Q1572" s="177"/>
      <c r="R1572" s="177"/>
      <c r="S1572" s="177"/>
      <c r="T1572" s="177"/>
      <c r="U1572" s="177"/>
      <c r="V1572" s="199"/>
      <c r="W1572" s="199"/>
      <c r="X1572" s="199"/>
    </row>
    <row r="1573" spans="1:24" ht="13.8" thickBot="1" x14ac:dyDescent="0.3">
      <c r="A1573" s="142"/>
      <c r="B1573" s="142"/>
      <c r="C1573" s="142"/>
      <c r="D1573" s="142"/>
      <c r="E1573" s="142"/>
      <c r="F1573" s="142"/>
      <c r="G1573" s="142"/>
      <c r="H1573" s="142"/>
      <c r="J1573" s="199"/>
      <c r="K1573" s="199"/>
      <c r="L1573" s="199"/>
      <c r="M1573" s="199"/>
      <c r="N1573" s="199"/>
      <c r="O1573" s="199"/>
      <c r="P1573" s="199"/>
      <c r="Q1573" s="199"/>
      <c r="R1573" s="199"/>
      <c r="S1573" s="199"/>
      <c r="T1573" s="199"/>
      <c r="U1573" s="199"/>
      <c r="V1573" s="199"/>
      <c r="W1573" s="177"/>
    </row>
    <row r="1574" spans="1:24" ht="13.8" thickBot="1" x14ac:dyDescent="0.3">
      <c r="A1574" s="501" t="s">
        <v>34</v>
      </c>
      <c r="B1574" s="570"/>
      <c r="C1574" s="571"/>
      <c r="D1574" s="235"/>
      <c r="E1574" s="198"/>
      <c r="F1574" s="198"/>
      <c r="G1574" s="198"/>
      <c r="H1574" s="198"/>
      <c r="I1574" s="177"/>
      <c r="J1574" s="177"/>
      <c r="K1574" s="177"/>
      <c r="L1574" s="177"/>
      <c r="M1574" s="177"/>
      <c r="N1574" s="199"/>
      <c r="O1574" s="199"/>
      <c r="P1574" s="199"/>
      <c r="Q1574" s="199"/>
      <c r="R1574" s="199"/>
      <c r="S1574" s="199"/>
      <c r="T1574" s="199"/>
      <c r="U1574" s="199"/>
      <c r="V1574" s="199"/>
      <c r="W1574" s="177"/>
    </row>
    <row r="1575" spans="1:24" ht="13.8" thickBot="1" x14ac:dyDescent="0.3">
      <c r="A1575" s="582" t="s">
        <v>556</v>
      </c>
      <c r="B1575" s="583"/>
      <c r="C1575" s="584"/>
      <c r="D1575" s="139"/>
      <c r="E1575" s="139"/>
      <c r="F1575" s="139"/>
      <c r="G1575" s="139"/>
      <c r="H1575" s="140"/>
      <c r="I1575" s="140"/>
      <c r="J1575" s="139"/>
      <c r="K1575" s="140"/>
      <c r="L1575" s="139"/>
      <c r="M1575" s="177"/>
      <c r="N1575" s="199"/>
      <c r="O1575" s="199"/>
      <c r="P1575" s="199"/>
      <c r="Q1575" s="199"/>
      <c r="R1575" s="199"/>
      <c r="S1575" s="199"/>
      <c r="T1575" s="199"/>
      <c r="U1575" s="199"/>
      <c r="V1575" s="199"/>
      <c r="W1575" s="177"/>
    </row>
    <row r="1576" spans="1:24" x14ac:dyDescent="0.25">
      <c r="A1576" s="211" t="s">
        <v>30</v>
      </c>
      <c r="B1576" s="156"/>
      <c r="C1576" s="213" t="s">
        <v>149</v>
      </c>
      <c r="D1576" s="213"/>
      <c r="E1576" s="214"/>
      <c r="F1576" s="214"/>
      <c r="G1576" s="214"/>
      <c r="H1576" s="215"/>
      <c r="I1576" s="215"/>
      <c r="J1576" s="214"/>
      <c r="K1576" s="215"/>
      <c r="L1576" s="236"/>
      <c r="M1576" s="177"/>
      <c r="N1576" s="199"/>
      <c r="O1576" s="199"/>
      <c r="P1576" s="199"/>
      <c r="Q1576" s="199"/>
      <c r="R1576" s="199"/>
      <c r="S1576" s="199"/>
      <c r="T1576" s="199"/>
      <c r="U1576" s="199"/>
      <c r="V1576" s="199"/>
      <c r="W1576" s="177"/>
    </row>
    <row r="1577" spans="1:24" x14ac:dyDescent="0.25">
      <c r="A1577" s="163" t="s">
        <v>35</v>
      </c>
      <c r="B1577" s="219"/>
      <c r="C1577" s="219"/>
      <c r="D1577" s="219"/>
      <c r="E1577" s="219"/>
      <c r="F1577" s="219"/>
      <c r="G1577" s="219"/>
      <c r="H1577" s="220"/>
      <c r="I1577" s="220"/>
      <c r="J1577" s="219"/>
      <c r="K1577" s="220"/>
      <c r="L1577" s="237"/>
      <c r="M1577" s="177"/>
      <c r="N1577" s="199"/>
      <c r="O1577" s="199"/>
      <c r="P1577" s="199"/>
      <c r="Q1577" s="199"/>
      <c r="R1577" s="199"/>
      <c r="S1577" s="199"/>
      <c r="T1577" s="199"/>
      <c r="U1577" s="199"/>
      <c r="V1577" s="199"/>
      <c r="W1577" s="177"/>
    </row>
    <row r="1578" spans="1:24" x14ac:dyDescent="0.25">
      <c r="A1578" s="163" t="s">
        <v>166</v>
      </c>
      <c r="B1578" s="219"/>
      <c r="C1578" s="219"/>
      <c r="D1578" s="219"/>
      <c r="E1578" s="219"/>
      <c r="F1578" s="219"/>
      <c r="G1578" s="219"/>
      <c r="H1578" s="220"/>
      <c r="I1578" s="220"/>
      <c r="J1578" s="219"/>
      <c r="K1578" s="220"/>
      <c r="L1578" s="237"/>
      <c r="M1578" s="177"/>
      <c r="N1578" s="199"/>
      <c r="O1578" s="199"/>
      <c r="P1578" s="199"/>
      <c r="Q1578" s="199"/>
      <c r="R1578" s="199"/>
      <c r="S1578" s="199"/>
      <c r="T1578" s="199"/>
      <c r="U1578" s="199"/>
      <c r="V1578" s="199"/>
      <c r="W1578" s="177"/>
    </row>
    <row r="1579" spans="1:24" x14ac:dyDescent="0.25">
      <c r="A1579" s="163" t="s">
        <v>861</v>
      </c>
      <c r="B1579" s="219"/>
      <c r="C1579" s="219"/>
      <c r="D1579" s="219"/>
      <c r="E1579" s="219"/>
      <c r="F1579" s="219"/>
      <c r="G1579" s="219"/>
      <c r="H1579" s="220"/>
      <c r="I1579" s="220"/>
      <c r="J1579" s="219"/>
      <c r="K1579" s="220"/>
      <c r="L1579" s="237"/>
      <c r="M1579" s="177"/>
      <c r="N1579" s="199"/>
      <c r="O1579" s="199"/>
      <c r="P1579" s="199"/>
      <c r="Q1579" s="199"/>
      <c r="R1579" s="199"/>
      <c r="S1579" s="199"/>
      <c r="T1579" s="199"/>
      <c r="U1579" s="199"/>
      <c r="V1579" s="199"/>
      <c r="W1579" s="177"/>
    </row>
    <row r="1580" spans="1:24" ht="13.8" thickBot="1" x14ac:dyDescent="0.3">
      <c r="A1580" s="137" t="s">
        <v>862</v>
      </c>
      <c r="B1580" s="224"/>
      <c r="C1580" s="224"/>
      <c r="D1580" s="224"/>
      <c r="E1580" s="224"/>
      <c r="F1580" s="224"/>
      <c r="G1580" s="224"/>
      <c r="H1580" s="225"/>
      <c r="I1580" s="225"/>
      <c r="J1580" s="224"/>
      <c r="K1580" s="225"/>
      <c r="L1580" s="238"/>
      <c r="M1580" s="177"/>
      <c r="N1580" s="199"/>
      <c r="O1580" s="199"/>
      <c r="P1580" s="199"/>
      <c r="Q1580" s="199"/>
      <c r="R1580" s="199"/>
      <c r="S1580" s="199"/>
      <c r="T1580" s="199"/>
      <c r="U1580" s="199"/>
      <c r="V1580" s="199"/>
      <c r="W1580" s="177"/>
    </row>
    <row r="1581" spans="1:24" ht="13.8" thickBot="1" x14ac:dyDescent="0.3">
      <c r="A1581" s="239"/>
      <c r="E1581" s="139"/>
      <c r="F1581" s="139"/>
      <c r="G1581" s="139"/>
      <c r="H1581" s="140"/>
      <c r="I1581" s="142"/>
      <c r="J1581" s="139"/>
      <c r="K1581" s="140"/>
      <c r="L1581" s="139"/>
      <c r="M1581" s="177"/>
      <c r="N1581" s="199"/>
      <c r="O1581" s="199"/>
      <c r="P1581" s="199"/>
      <c r="Q1581" s="199"/>
      <c r="R1581" s="177"/>
      <c r="V1581" s="240"/>
      <c r="W1581" s="240"/>
    </row>
    <row r="1582" spans="1:24" s="181" customFormat="1" ht="27" thickBot="1" x14ac:dyDescent="0.3">
      <c r="A1582" s="229" t="s">
        <v>31</v>
      </c>
      <c r="B1582" s="505" t="s">
        <v>13</v>
      </c>
      <c r="C1582" s="505"/>
      <c r="D1582" s="506"/>
      <c r="E1582" s="54" t="s">
        <v>12</v>
      </c>
      <c r="F1582" s="54" t="s">
        <v>14</v>
      </c>
      <c r="G1582" s="54" t="s">
        <v>262</v>
      </c>
      <c r="H1582" s="54" t="s">
        <v>32</v>
      </c>
      <c r="I1582" s="54" t="s">
        <v>16</v>
      </c>
      <c r="J1582" s="54" t="s">
        <v>17</v>
      </c>
      <c r="K1582" s="54" t="s">
        <v>18</v>
      </c>
      <c r="L1582" s="54" t="s">
        <v>19</v>
      </c>
      <c r="M1582" s="54" t="s">
        <v>20</v>
      </c>
      <c r="N1582" s="230" t="s">
        <v>117</v>
      </c>
      <c r="O1582" s="54" t="s">
        <v>90</v>
      </c>
      <c r="P1582" s="231" t="s">
        <v>722</v>
      </c>
      <c r="W1582" s="241"/>
    </row>
    <row r="1583" spans="1:24" s="64" customFormat="1" x14ac:dyDescent="0.25">
      <c r="A1583" s="336"/>
      <c r="B1583" s="543"/>
      <c r="C1583" s="543"/>
      <c r="D1583" s="543"/>
      <c r="E1583" s="337"/>
      <c r="F1583" s="337"/>
      <c r="G1583" s="337"/>
      <c r="H1583" s="337"/>
      <c r="I1583" s="337"/>
      <c r="J1583" s="346"/>
      <c r="K1583" s="346"/>
      <c r="L1583" s="346"/>
      <c r="M1583" s="346"/>
      <c r="N1583" s="347"/>
      <c r="O1583" s="337"/>
      <c r="P1583" s="366"/>
      <c r="Q1583" s="66"/>
      <c r="R1583" s="66"/>
      <c r="S1583" s="66"/>
      <c r="T1583" s="66"/>
      <c r="U1583" s="66"/>
      <c r="V1583" s="66"/>
      <c r="W1583" s="200"/>
    </row>
    <row r="1584" spans="1:24" s="64" customFormat="1" x14ac:dyDescent="0.25">
      <c r="A1584" s="65"/>
      <c r="B1584" s="511"/>
      <c r="C1584" s="511"/>
      <c r="D1584" s="511"/>
      <c r="E1584" s="61"/>
      <c r="F1584" s="61"/>
      <c r="G1584" s="61"/>
      <c r="H1584" s="61"/>
      <c r="I1584" s="61"/>
      <c r="J1584" s="188"/>
      <c r="K1584" s="188"/>
      <c r="L1584" s="188"/>
      <c r="M1584" s="188"/>
      <c r="N1584" s="55"/>
      <c r="O1584" s="61"/>
      <c r="P1584" s="63"/>
      <c r="Q1584" s="66"/>
      <c r="R1584" s="66"/>
      <c r="S1584" s="66"/>
      <c r="T1584" s="66"/>
      <c r="U1584" s="66"/>
      <c r="V1584" s="66"/>
      <c r="W1584" s="200"/>
    </row>
    <row r="1585" spans="1:23" s="64" customFormat="1" x14ac:dyDescent="0.25">
      <c r="A1585" s="65"/>
      <c r="B1585" s="511"/>
      <c r="C1585" s="511"/>
      <c r="D1585" s="511"/>
      <c r="E1585" s="61"/>
      <c r="F1585" s="61"/>
      <c r="G1585" s="61"/>
      <c r="H1585" s="61"/>
      <c r="I1585" s="61"/>
      <c r="J1585" s="188"/>
      <c r="K1585" s="188"/>
      <c r="L1585" s="188"/>
      <c r="M1585" s="188"/>
      <c r="N1585" s="55"/>
      <c r="O1585" s="61"/>
      <c r="P1585" s="63"/>
      <c r="Q1585" s="66"/>
      <c r="R1585" s="66"/>
      <c r="S1585" s="66"/>
      <c r="T1585" s="66"/>
      <c r="U1585" s="66"/>
      <c r="V1585" s="66"/>
      <c r="W1585" s="200"/>
    </row>
    <row r="1586" spans="1:23" s="64" customFormat="1" ht="13.8" thickBot="1" x14ac:dyDescent="0.3">
      <c r="A1586" s="127"/>
      <c r="B1586" s="595"/>
      <c r="C1586" s="595"/>
      <c r="D1586" s="595"/>
      <c r="E1586" s="195"/>
      <c r="F1586" s="195"/>
      <c r="G1586" s="195"/>
      <c r="H1586" s="195"/>
      <c r="I1586" s="195"/>
      <c r="J1586" s="194"/>
      <c r="K1586" s="194"/>
      <c r="L1586" s="194"/>
      <c r="M1586" s="194"/>
      <c r="N1586" s="148"/>
      <c r="O1586" s="193"/>
      <c r="P1586" s="197"/>
      <c r="Q1586" s="66"/>
      <c r="R1586" s="66"/>
      <c r="S1586" s="66"/>
      <c r="T1586" s="66"/>
      <c r="U1586" s="66"/>
      <c r="V1586" s="66"/>
      <c r="W1586" s="200"/>
    </row>
    <row r="1587" spans="1:23" ht="13.8" thickBot="1" x14ac:dyDescent="0.3">
      <c r="A1587" s="198"/>
      <c r="B1587" s="198"/>
      <c r="C1587" s="198"/>
      <c r="D1587" s="198"/>
      <c r="E1587" s="198"/>
      <c r="F1587" s="198"/>
      <c r="G1587" s="198"/>
      <c r="H1587" s="177"/>
      <c r="I1587" s="177"/>
      <c r="J1587" s="177"/>
      <c r="K1587" s="177"/>
      <c r="L1587" s="177"/>
      <c r="M1587" s="199"/>
      <c r="N1587" s="199"/>
      <c r="O1587" s="199"/>
      <c r="P1587" s="199"/>
      <c r="Q1587" s="199"/>
      <c r="R1587" s="199"/>
      <c r="S1587" s="199"/>
      <c r="T1587" s="199"/>
      <c r="U1587" s="199"/>
      <c r="V1587" s="177"/>
    </row>
    <row r="1588" spans="1:23" ht="13.8" thickBot="1" x14ac:dyDescent="0.3">
      <c r="A1588" s="501" t="s">
        <v>36</v>
      </c>
      <c r="B1588" s="502"/>
      <c r="C1588" s="502"/>
      <c r="D1588" s="502"/>
      <c r="E1588" s="502"/>
      <c r="F1588" s="502"/>
      <c r="G1588" s="502"/>
      <c r="H1588" s="502"/>
      <c r="I1588" s="503"/>
      <c r="K1588" s="177"/>
      <c r="L1588" s="199"/>
      <c r="M1588" s="199"/>
      <c r="N1588" s="199"/>
      <c r="O1588" s="199"/>
      <c r="P1588" s="199"/>
      <c r="Q1588" s="199"/>
      <c r="R1588" s="199"/>
      <c r="S1588" s="177"/>
      <c r="T1588" s="177"/>
      <c r="U1588" s="177"/>
    </row>
    <row r="1589" spans="1:23" ht="13.8" thickBot="1" x14ac:dyDescent="0.3">
      <c r="A1589" s="596" t="s">
        <v>37</v>
      </c>
      <c r="B1589" s="597"/>
      <c r="C1589" s="597"/>
      <c r="D1589" s="597"/>
      <c r="E1589" s="597"/>
      <c r="F1589" s="597"/>
      <c r="G1589" s="597"/>
      <c r="H1589" s="597"/>
      <c r="I1589" s="598"/>
      <c r="J1589" s="140"/>
      <c r="K1589" s="177"/>
      <c r="L1589" s="199"/>
      <c r="M1589" s="199"/>
      <c r="N1589" s="199"/>
      <c r="O1589" s="199"/>
      <c r="P1589" s="199"/>
      <c r="Q1589" s="199"/>
      <c r="R1589" s="199"/>
      <c r="S1589" s="177"/>
      <c r="T1589" s="177"/>
      <c r="U1589" s="177"/>
    </row>
    <row r="1590" spans="1:23" s="335" customFormat="1" ht="15.75" customHeight="1" thickBot="1" x14ac:dyDescent="0.3">
      <c r="A1590" s="384" t="s">
        <v>280</v>
      </c>
      <c r="B1590" s="544" t="s">
        <v>971</v>
      </c>
      <c r="C1590" s="545"/>
      <c r="D1590" s="545"/>
      <c r="E1590" s="545"/>
      <c r="F1590" s="545"/>
      <c r="G1590" s="545"/>
      <c r="H1590" s="545"/>
      <c r="I1590" s="546"/>
      <c r="J1590" s="370"/>
      <c r="K1590" s="371"/>
      <c r="L1590" s="338"/>
      <c r="M1590" s="338"/>
      <c r="N1590" s="338"/>
      <c r="O1590" s="338"/>
      <c r="P1590" s="338"/>
      <c r="Q1590" s="338"/>
      <c r="R1590" s="338"/>
      <c r="S1590" s="371"/>
      <c r="T1590" s="371"/>
      <c r="U1590" s="371"/>
    </row>
    <row r="1591" spans="1:23" s="335" customFormat="1" ht="15.75" customHeight="1" thickBot="1" x14ac:dyDescent="0.3">
      <c r="A1591" s="384" t="s">
        <v>1231</v>
      </c>
      <c r="B1591" s="544" t="s">
        <v>1232</v>
      </c>
      <c r="C1591" s="545"/>
      <c r="D1591" s="545"/>
      <c r="E1591" s="545"/>
      <c r="F1591" s="545"/>
      <c r="G1591" s="545"/>
      <c r="H1591" s="545"/>
      <c r="I1591" s="546"/>
      <c r="J1591" s="370"/>
      <c r="K1591" s="371"/>
      <c r="L1591" s="338"/>
      <c r="M1591" s="338"/>
      <c r="N1591" s="338"/>
      <c r="O1591" s="338"/>
      <c r="P1591" s="338"/>
      <c r="Q1591" s="338"/>
      <c r="R1591" s="338"/>
      <c r="S1591" s="371"/>
      <c r="T1591" s="371"/>
      <c r="U1591" s="371"/>
    </row>
    <row r="1592" spans="1:23" s="335" customFormat="1" ht="36" customHeight="1" thickBot="1" x14ac:dyDescent="0.3">
      <c r="A1592" s="384" t="s">
        <v>1264</v>
      </c>
      <c r="B1592" s="544" t="s">
        <v>1265</v>
      </c>
      <c r="C1592" s="545"/>
      <c r="D1592" s="545"/>
      <c r="E1592" s="545"/>
      <c r="F1592" s="545"/>
      <c r="G1592" s="545"/>
      <c r="H1592" s="545"/>
      <c r="I1592" s="546"/>
      <c r="J1592" s="370"/>
      <c r="K1592" s="371"/>
      <c r="L1592" s="338"/>
      <c r="M1592" s="338"/>
      <c r="N1592" s="338"/>
      <c r="O1592" s="338"/>
      <c r="P1592" s="338"/>
      <c r="Q1592" s="338"/>
      <c r="R1592" s="338"/>
      <c r="S1592" s="371"/>
      <c r="T1592" s="371"/>
      <c r="U1592" s="371"/>
    </row>
    <row r="1593" spans="1:23" ht="13.8" thickBot="1" x14ac:dyDescent="0.3">
      <c r="A1593" s="239"/>
      <c r="J1593" s="199"/>
      <c r="K1593" s="177"/>
      <c r="L1593" s="199"/>
      <c r="M1593" s="199"/>
      <c r="N1593" s="199"/>
      <c r="O1593" s="199"/>
      <c r="P1593" s="199"/>
      <c r="Q1593" s="177"/>
    </row>
    <row r="1594" spans="1:23" ht="16.5" customHeight="1" thickBot="1" x14ac:dyDescent="0.3">
      <c r="A1594" s="593" t="s">
        <v>203</v>
      </c>
      <c r="B1594" s="594"/>
      <c r="C1594" s="594"/>
      <c r="D1594" s="594"/>
      <c r="E1594" s="594"/>
      <c r="F1594" s="594"/>
      <c r="G1594" s="594"/>
      <c r="H1594" s="578" t="s">
        <v>215</v>
      </c>
      <c r="I1594" s="576" t="s">
        <v>558</v>
      </c>
      <c r="J1594" s="576" t="s">
        <v>204</v>
      </c>
      <c r="K1594" s="576" t="s">
        <v>23</v>
      </c>
      <c r="L1594" s="576" t="s">
        <v>286</v>
      </c>
      <c r="M1594" s="580" t="s">
        <v>81</v>
      </c>
      <c r="N1594" s="199"/>
      <c r="O1594" s="177"/>
      <c r="Q1594" s="240"/>
      <c r="R1594" s="240"/>
    </row>
    <row r="1595" spans="1:23" s="141" customFormat="1" ht="13.8" thickBot="1" x14ac:dyDescent="0.3">
      <c r="A1595" s="585" t="s">
        <v>1648</v>
      </c>
      <c r="B1595" s="586"/>
      <c r="C1595" s="586"/>
      <c r="D1595" s="586"/>
      <c r="E1595" s="586"/>
      <c r="F1595" s="586"/>
      <c r="G1595" s="587"/>
      <c r="H1595" s="579"/>
      <c r="I1595" s="577"/>
      <c r="J1595" s="577"/>
      <c r="K1595" s="577"/>
      <c r="L1595" s="577"/>
      <c r="M1595" s="581"/>
      <c r="N1595" s="242"/>
      <c r="O1595" s="242"/>
      <c r="P1595" s="242"/>
      <c r="Q1595" s="242"/>
      <c r="R1595" s="242"/>
    </row>
    <row r="1596" spans="1:23" s="141" customFormat="1" ht="15.75" customHeight="1" x14ac:dyDescent="0.25">
      <c r="A1596" s="588" t="s">
        <v>1329</v>
      </c>
      <c r="B1596" s="589"/>
      <c r="C1596" s="589"/>
      <c r="D1596" s="589"/>
      <c r="E1596" s="589"/>
      <c r="F1596" s="589"/>
      <c r="G1596" s="590"/>
      <c r="H1596" s="579"/>
      <c r="I1596" s="577"/>
      <c r="J1596" s="577"/>
      <c r="K1596" s="577"/>
      <c r="L1596" s="577"/>
      <c r="M1596" s="581"/>
      <c r="N1596" s="242"/>
      <c r="O1596" s="242"/>
      <c r="P1596" s="242"/>
      <c r="Q1596" s="242"/>
      <c r="R1596" s="242"/>
    </row>
    <row r="1597" spans="1:23" s="64" customFormat="1" ht="15.75" customHeight="1" x14ac:dyDescent="0.25">
      <c r="A1597" s="377" t="s">
        <v>221</v>
      </c>
      <c r="B1597" s="511" t="str">
        <f>IF($A1597="","",VLOOKUP($A1597,Listes!$A$3:$C$230,2,FALSE))</f>
        <v>Bunker Adjustment Factor</v>
      </c>
      <c r="C1597" s="511"/>
      <c r="D1597" s="511"/>
      <c r="E1597" s="541" t="s">
        <v>52</v>
      </c>
      <c r="F1597" s="541"/>
      <c r="G1597" s="541"/>
      <c r="H1597" s="378"/>
      <c r="I1597" s="345"/>
      <c r="J1597" s="345"/>
      <c r="K1597" s="345"/>
      <c r="L1597" s="345"/>
      <c r="M1597" s="379"/>
      <c r="N1597" s="66"/>
      <c r="O1597" s="66"/>
      <c r="P1597" s="66"/>
      <c r="Q1597" s="66"/>
      <c r="R1597" s="200"/>
    </row>
    <row r="1598" spans="1:23" s="64" customFormat="1" ht="15.75" customHeight="1" x14ac:dyDescent="0.25">
      <c r="A1598" s="377" t="s">
        <v>499</v>
      </c>
      <c r="B1598" s="511" t="str">
        <f>IF($A1598="","",VLOOKUP($A1598,Listes!$A$3:$C$230,2,FALSE))</f>
        <v>Cargo Facility Charge</v>
      </c>
      <c r="C1598" s="511"/>
      <c r="D1598" s="511"/>
      <c r="E1598" s="541" t="s">
        <v>50</v>
      </c>
      <c r="F1598" s="541"/>
      <c r="G1598" s="541"/>
      <c r="H1598" s="378"/>
      <c r="I1598" s="345"/>
      <c r="J1598" s="345"/>
      <c r="K1598" s="345"/>
      <c r="L1598" s="345"/>
      <c r="M1598" s="379"/>
      <c r="N1598" s="66"/>
      <c r="O1598" s="66"/>
      <c r="P1598" s="66"/>
      <c r="Q1598" s="66"/>
      <c r="R1598" s="200"/>
    </row>
    <row r="1599" spans="1:23" s="64" customFormat="1" ht="15.75" customHeight="1" x14ac:dyDescent="0.25">
      <c r="A1599" s="377" t="s">
        <v>951</v>
      </c>
      <c r="B1599" s="511" t="str">
        <f>IF($A1599="","",VLOOKUP($A1599,Listes!$A$3:$C$230,2,FALSE))</f>
        <v>Chassis Administration Fee On-Carriage</v>
      </c>
      <c r="C1599" s="511"/>
      <c r="D1599" s="511"/>
      <c r="E1599" s="541" t="s">
        <v>50</v>
      </c>
      <c r="F1599" s="541"/>
      <c r="G1599" s="541"/>
      <c r="H1599" s="378"/>
      <c r="I1599" s="345"/>
      <c r="J1599" s="345"/>
      <c r="K1599" s="345"/>
      <c r="L1599" s="345"/>
      <c r="M1599" s="379"/>
      <c r="N1599" s="66"/>
      <c r="O1599" s="66"/>
      <c r="P1599" s="66"/>
      <c r="Q1599" s="66"/>
      <c r="R1599" s="200"/>
    </row>
    <row r="1600" spans="1:23" s="64" customFormat="1" ht="15.75" customHeight="1" x14ac:dyDescent="0.25">
      <c r="A1600" s="377" t="s">
        <v>493</v>
      </c>
      <c r="B1600" s="511" t="str">
        <f>IF($A1600="","",VLOOKUP($A1600,Listes!$A$3:$C$230,2,FALSE))</f>
        <v>Chassis Provision Charge</v>
      </c>
      <c r="C1600" s="511"/>
      <c r="D1600" s="511"/>
      <c r="E1600" s="541" t="s">
        <v>50</v>
      </c>
      <c r="F1600" s="541"/>
      <c r="G1600" s="541"/>
      <c r="H1600" s="378"/>
      <c r="I1600" s="345"/>
      <c r="J1600" s="345"/>
      <c r="K1600" s="345"/>
      <c r="L1600" s="345"/>
      <c r="M1600" s="379"/>
      <c r="N1600" s="66"/>
      <c r="O1600" s="66"/>
      <c r="P1600" s="66"/>
      <c r="Q1600" s="66"/>
      <c r="R1600" s="200"/>
    </row>
    <row r="1601" spans="1:18" s="64" customFormat="1" ht="15.75" customHeight="1" x14ac:dyDescent="0.25">
      <c r="A1601" s="377" t="s">
        <v>249</v>
      </c>
      <c r="B1601" s="511" t="str">
        <f>IF($A1601="","",VLOOKUP($A1601,Listes!$A$3:$C$230,2,FALSE))</f>
        <v>Carrier Security Charge</v>
      </c>
      <c r="C1601" s="511"/>
      <c r="D1601" s="511"/>
      <c r="E1601" s="541" t="s">
        <v>50</v>
      </c>
      <c r="F1601" s="541"/>
      <c r="G1601" s="541"/>
      <c r="H1601" s="378"/>
      <c r="I1601" s="345"/>
      <c r="J1601" s="345"/>
      <c r="K1601" s="345"/>
      <c r="L1601" s="345"/>
      <c r="M1601" s="379"/>
      <c r="N1601" s="66"/>
      <c r="O1601" s="66"/>
      <c r="P1601" s="66"/>
      <c r="Q1601" s="66"/>
      <c r="R1601" s="200"/>
    </row>
    <row r="1602" spans="1:18" s="64" customFormat="1" ht="15.75" customHeight="1" x14ac:dyDescent="0.25">
      <c r="A1602" s="377" t="s">
        <v>1049</v>
      </c>
      <c r="B1602" s="511" t="str">
        <f>IF($A1602="","",VLOOKUP($A1602,Listes!$A$3:$C$230,2,FALSE))</f>
        <v>Container Maintenance Charge Destination</v>
      </c>
      <c r="C1602" s="511"/>
      <c r="D1602" s="511"/>
      <c r="E1602" s="541" t="s">
        <v>50</v>
      </c>
      <c r="F1602" s="541"/>
      <c r="G1602" s="541"/>
      <c r="H1602" s="378"/>
      <c r="I1602" s="345"/>
      <c r="J1602" s="345"/>
      <c r="K1602" s="345"/>
      <c r="L1602" s="345"/>
      <c r="M1602" s="379"/>
      <c r="N1602" s="66"/>
      <c r="O1602" s="66"/>
      <c r="P1602" s="66"/>
      <c r="Q1602" s="66"/>
      <c r="R1602" s="200"/>
    </row>
    <row r="1603" spans="1:18" s="64" customFormat="1" ht="15.75" customHeight="1" x14ac:dyDescent="0.25">
      <c r="A1603" s="377" t="s">
        <v>219</v>
      </c>
      <c r="B1603" s="511" t="str">
        <f>IF($A1603="","",VLOOKUP($A1603,Listes!$A$3:$C$230,2,FALSE))</f>
        <v>Destination THC / Destination Receiving Charge</v>
      </c>
      <c r="C1603" s="511"/>
      <c r="D1603" s="511"/>
      <c r="E1603" s="541" t="s">
        <v>52</v>
      </c>
      <c r="F1603" s="541"/>
      <c r="G1603" s="541"/>
      <c r="H1603" s="378"/>
      <c r="I1603" s="345"/>
      <c r="J1603" s="345"/>
      <c r="K1603" s="345"/>
      <c r="L1603" s="345"/>
      <c r="M1603" s="379"/>
      <c r="N1603" s="66"/>
      <c r="O1603" s="66"/>
      <c r="P1603" s="66"/>
      <c r="Q1603" s="66"/>
      <c r="R1603" s="200"/>
    </row>
    <row r="1604" spans="1:18" s="64" customFormat="1" ht="15.75" customHeight="1" x14ac:dyDescent="0.25">
      <c r="A1604" s="377" t="s">
        <v>780</v>
      </c>
      <c r="B1604" s="511" t="str">
        <f>IF($A1604="","",VLOOKUP($A1604,Listes!$A$3:$C$230,2,FALSE))</f>
        <v>Export Documentation Fees - Carrier</v>
      </c>
      <c r="C1604" s="511"/>
      <c r="D1604" s="511"/>
      <c r="E1604" s="541" t="s">
        <v>50</v>
      </c>
      <c r="F1604" s="541"/>
      <c r="G1604" s="541"/>
      <c r="H1604" s="378"/>
      <c r="I1604" s="345"/>
      <c r="J1604" s="345"/>
      <c r="K1604" s="345"/>
      <c r="L1604" s="345"/>
      <c r="M1604" s="379"/>
      <c r="N1604" s="66"/>
      <c r="O1604" s="66"/>
      <c r="P1604" s="66"/>
      <c r="Q1604" s="66"/>
      <c r="R1604" s="200"/>
    </row>
    <row r="1605" spans="1:18" s="64" customFormat="1" ht="15.75" customHeight="1" x14ac:dyDescent="0.25">
      <c r="A1605" s="377" t="s">
        <v>763</v>
      </c>
      <c r="B1605" s="511" t="str">
        <f>IF($A1605="","",VLOOKUP($A1605,Listes!$A$3:$C$230,2,FALSE))</f>
        <v>Export Declaration Surcharge</v>
      </c>
      <c r="C1605" s="511"/>
      <c r="D1605" s="511"/>
      <c r="E1605" s="541" t="s">
        <v>50</v>
      </c>
      <c r="F1605" s="541"/>
      <c r="G1605" s="541"/>
      <c r="H1605" s="378"/>
      <c r="I1605" s="345"/>
      <c r="J1605" s="345"/>
      <c r="K1605" s="345"/>
      <c r="L1605" s="345"/>
      <c r="M1605" s="379"/>
      <c r="N1605" s="66"/>
      <c r="O1605" s="66"/>
      <c r="P1605" s="66"/>
      <c r="Q1605" s="66"/>
      <c r="R1605" s="200"/>
    </row>
    <row r="1606" spans="1:18" s="64" customFormat="1" ht="15.75" customHeight="1" x14ac:dyDescent="0.25">
      <c r="A1606" s="377" t="s">
        <v>1093</v>
      </c>
      <c r="B1606" s="511" t="str">
        <f>IF($A1606="","",VLOOKUP($A1606,Listes!$A$3:$C$230,2,FALSE))</f>
        <v>Export Seal Fee</v>
      </c>
      <c r="C1606" s="511"/>
      <c r="D1606" s="511"/>
      <c r="E1606" s="541" t="s">
        <v>50</v>
      </c>
      <c r="F1606" s="541"/>
      <c r="G1606" s="541"/>
      <c r="H1606" s="378"/>
      <c r="I1606" s="345"/>
      <c r="J1606" s="345"/>
      <c r="K1606" s="345"/>
      <c r="L1606" s="345"/>
      <c r="M1606" s="379"/>
      <c r="N1606" s="66"/>
      <c r="O1606" s="66"/>
      <c r="P1606" s="66"/>
      <c r="Q1606" s="66"/>
      <c r="R1606" s="200"/>
    </row>
    <row r="1607" spans="1:18" s="64" customFormat="1" ht="15.75" customHeight="1" x14ac:dyDescent="0.25">
      <c r="A1607" s="377" t="s">
        <v>80</v>
      </c>
      <c r="B1607" s="511" t="str">
        <f>IF($A1607="","",VLOOKUP($A1607,Listes!$A$3:$C$230,2,FALSE))</f>
        <v>General Rate Increase</v>
      </c>
      <c r="C1607" s="511"/>
      <c r="D1607" s="511"/>
      <c r="E1607" s="541" t="s">
        <v>50</v>
      </c>
      <c r="F1607" s="541"/>
      <c r="G1607" s="541"/>
      <c r="H1607" s="378"/>
      <c r="I1607" s="345"/>
      <c r="J1607" s="345"/>
      <c r="K1607" s="345"/>
      <c r="L1607" s="345"/>
      <c r="M1607" s="379"/>
      <c r="N1607" s="66"/>
      <c r="O1607" s="66"/>
      <c r="P1607" s="66"/>
      <c r="Q1607" s="66"/>
      <c r="R1607" s="200"/>
    </row>
    <row r="1608" spans="1:18" s="64" customFormat="1" ht="15.75" customHeight="1" x14ac:dyDescent="0.25">
      <c r="A1608" s="377" t="s">
        <v>246</v>
      </c>
      <c r="B1608" s="511" t="str">
        <f>IF($A1608="","",VLOOKUP($A1608,Listes!$A$3:$C$230,2,FALSE))</f>
        <v>Hazardous Fees (Ocean)</v>
      </c>
      <c r="C1608" s="511"/>
      <c r="D1608" s="511"/>
      <c r="E1608" s="541" t="s">
        <v>50</v>
      </c>
      <c r="F1608" s="541"/>
      <c r="G1608" s="541"/>
      <c r="H1608" s="378"/>
      <c r="I1608" s="345"/>
      <c r="J1608" s="345"/>
      <c r="K1608" s="345"/>
      <c r="L1608" s="345"/>
      <c r="M1608" s="379"/>
      <c r="N1608" s="66"/>
      <c r="O1608" s="66"/>
      <c r="P1608" s="66"/>
      <c r="Q1608" s="66"/>
      <c r="R1608" s="200"/>
    </row>
    <row r="1609" spans="1:18" s="64" customFormat="1" ht="15.75" customHeight="1" x14ac:dyDescent="0.25">
      <c r="A1609" s="377" t="s">
        <v>793</v>
      </c>
      <c r="B1609" s="511" t="str">
        <f>IF($A1609="","",VLOOKUP($A1609,Listes!$A$3:$C$230,2,FALSE))</f>
        <v>Oncarriage Additional Intermodal Door Delivery Surcharge</v>
      </c>
      <c r="C1609" s="511"/>
      <c r="D1609" s="511"/>
      <c r="E1609" s="541" t="s">
        <v>52</v>
      </c>
      <c r="F1609" s="541"/>
      <c r="G1609" s="541"/>
      <c r="H1609" s="378"/>
      <c r="I1609" s="345"/>
      <c r="J1609" s="345"/>
      <c r="K1609" s="345"/>
      <c r="L1609" s="345"/>
      <c r="M1609" s="379"/>
      <c r="N1609" s="66"/>
      <c r="O1609" s="66"/>
      <c r="P1609" s="66"/>
      <c r="Q1609" s="66"/>
      <c r="R1609" s="200"/>
    </row>
    <row r="1610" spans="1:18" s="64" customFormat="1" ht="15.75" customHeight="1" x14ac:dyDescent="0.25">
      <c r="A1610" s="377" t="s">
        <v>90</v>
      </c>
      <c r="B1610" s="511" t="str">
        <f>IF($A1610="","",VLOOKUP($A1610,Listes!$A$3:$C$230,2,FALSE))</f>
        <v>Oncarriage Inland Fuel Charge</v>
      </c>
      <c r="C1610" s="511"/>
      <c r="D1610" s="511"/>
      <c r="E1610" s="541" t="s">
        <v>52</v>
      </c>
      <c r="F1610" s="541"/>
      <c r="G1610" s="541"/>
      <c r="H1610" s="378"/>
      <c r="I1610" s="345"/>
      <c r="J1610" s="345"/>
      <c r="K1610" s="345"/>
      <c r="L1610" s="345"/>
      <c r="M1610" s="379"/>
      <c r="N1610" s="66"/>
      <c r="O1610" s="66"/>
      <c r="P1610" s="66"/>
      <c r="Q1610" s="66"/>
      <c r="R1610" s="200"/>
    </row>
    <row r="1611" spans="1:18" s="64" customFormat="1" x14ac:dyDescent="0.25">
      <c r="A1611" s="377" t="s">
        <v>1072</v>
      </c>
      <c r="B1611" s="511" t="str">
        <f>IF($A1611="","",VLOOKUP($A1611,Listes!$A$3:$C$230,2,FALSE))</f>
        <v>Local Port Charge Destination Sanitary Fee</v>
      </c>
      <c r="C1611" s="511"/>
      <c r="D1611" s="511"/>
      <c r="E1611" s="541" t="s">
        <v>50</v>
      </c>
      <c r="F1611" s="541"/>
      <c r="G1611" s="541"/>
      <c r="H1611" s="378"/>
      <c r="I1611" s="345"/>
      <c r="J1611" s="345"/>
      <c r="K1611" s="345"/>
      <c r="L1611" s="345"/>
      <c r="M1611" s="379"/>
      <c r="N1611" s="66"/>
      <c r="O1611" s="66"/>
      <c r="P1611" s="66"/>
      <c r="Q1611" s="66"/>
      <c r="R1611" s="200"/>
    </row>
    <row r="1612" spans="1:18" s="64" customFormat="1" x14ac:dyDescent="0.25">
      <c r="A1612" s="377" t="s">
        <v>1074</v>
      </c>
      <c r="B1612" s="511" t="str">
        <f>IF($A1612="","",VLOOKUP($A1612,Listes!$A$3:$C$230,2,FALSE))</f>
        <v>Local Port Charge Origin Sanitary Fee</v>
      </c>
      <c r="C1612" s="511"/>
      <c r="D1612" s="511"/>
      <c r="E1612" s="541" t="s">
        <v>50</v>
      </c>
      <c r="F1612" s="541"/>
      <c r="G1612" s="541"/>
      <c r="H1612" s="378"/>
      <c r="I1612" s="345"/>
      <c r="J1612" s="345"/>
      <c r="K1612" s="345"/>
      <c r="L1612" s="345"/>
      <c r="M1612" s="379"/>
      <c r="N1612" s="66"/>
      <c r="O1612" s="66"/>
      <c r="P1612" s="66"/>
      <c r="Q1612" s="66"/>
      <c r="R1612" s="200"/>
    </row>
    <row r="1613" spans="1:18" s="64" customFormat="1" x14ac:dyDescent="0.25">
      <c r="A1613" s="377" t="s">
        <v>910</v>
      </c>
      <c r="B1613" s="511" t="str">
        <f>IF($A1613="","",VLOOKUP($A1613,Listes!$A$3:$C$230,2,FALSE))</f>
        <v>On-Carriage Emergency Inland Fuel Surcharge</v>
      </c>
      <c r="C1613" s="511"/>
      <c r="D1613" s="511"/>
      <c r="E1613" s="541" t="s">
        <v>52</v>
      </c>
      <c r="F1613" s="541"/>
      <c r="G1613" s="541"/>
      <c r="H1613" s="378"/>
      <c r="I1613" s="345"/>
      <c r="J1613" s="345"/>
      <c r="K1613" s="345"/>
      <c r="L1613" s="345"/>
      <c r="M1613" s="379"/>
      <c r="N1613" s="66"/>
      <c r="O1613" s="66"/>
      <c r="P1613" s="66"/>
      <c r="Q1613" s="66"/>
      <c r="R1613" s="200"/>
    </row>
    <row r="1614" spans="1:18" s="64" customFormat="1" x14ac:dyDescent="0.25">
      <c r="A1614" s="377" t="s">
        <v>936</v>
      </c>
      <c r="B1614" s="511" t="str">
        <f>IF($A1614="","",VLOOKUP($A1614,Listes!$A$3:$C$230,2,FALSE))</f>
        <v>On-Carriage Emergency Intermodal Surcharge</v>
      </c>
      <c r="C1614" s="511"/>
      <c r="D1614" s="511"/>
      <c r="E1614" s="541" t="s">
        <v>52</v>
      </c>
      <c r="F1614" s="541"/>
      <c r="G1614" s="541"/>
      <c r="H1614" s="378"/>
      <c r="I1614" s="345"/>
      <c r="J1614" s="345"/>
      <c r="K1614" s="345"/>
      <c r="L1614" s="345"/>
      <c r="M1614" s="379"/>
      <c r="N1614" s="66"/>
      <c r="O1614" s="66"/>
      <c r="P1614" s="66"/>
      <c r="Q1614" s="66"/>
      <c r="R1614" s="200"/>
    </row>
    <row r="1615" spans="1:18" s="64" customFormat="1" ht="15.75" customHeight="1" x14ac:dyDescent="0.25">
      <c r="A1615" s="377" t="s">
        <v>448</v>
      </c>
      <c r="B1615" s="511" t="str">
        <f>IF($A1615="","",VLOOKUP($A1615,Listes!$A$3:$C$230,2,FALSE))</f>
        <v>Inland Hazardous Charge Oncarriage</v>
      </c>
      <c r="C1615" s="511"/>
      <c r="D1615" s="511"/>
      <c r="E1615" s="541" t="s">
        <v>50</v>
      </c>
      <c r="F1615" s="541"/>
      <c r="G1615" s="541"/>
      <c r="H1615" s="378"/>
      <c r="I1615" s="345"/>
      <c r="J1615" s="345"/>
      <c r="K1615" s="345"/>
      <c r="L1615" s="345"/>
      <c r="M1615" s="379"/>
      <c r="N1615" s="66"/>
      <c r="O1615" s="66"/>
      <c r="P1615" s="66"/>
      <c r="Q1615" s="66"/>
      <c r="R1615" s="200"/>
    </row>
    <row r="1616" spans="1:18" s="64" customFormat="1" x14ac:dyDescent="0.25">
      <c r="A1616" s="377" t="s">
        <v>87</v>
      </c>
      <c r="B1616" s="511" t="str">
        <f>IF($A1616="","",VLOOKUP($A1616,Listes!$A$3:$C$230,2,FALSE))</f>
        <v>Origin THC / Origin Receiving Charge</v>
      </c>
      <c r="C1616" s="511"/>
      <c r="D1616" s="511"/>
      <c r="E1616" s="541" t="s">
        <v>50</v>
      </c>
      <c r="F1616" s="541"/>
      <c r="G1616" s="541"/>
      <c r="H1616" s="378"/>
      <c r="I1616" s="345"/>
      <c r="J1616" s="345"/>
      <c r="K1616" s="345"/>
      <c r="L1616" s="345"/>
      <c r="M1616" s="379"/>
      <c r="N1616" s="66"/>
      <c r="O1616" s="66"/>
      <c r="P1616" s="66"/>
      <c r="Q1616" s="66"/>
      <c r="R1616" s="200"/>
    </row>
    <row r="1617" spans="1:21" s="64" customFormat="1" x14ac:dyDescent="0.25">
      <c r="A1617" s="377" t="s">
        <v>1044</v>
      </c>
      <c r="B1617" s="511" t="str">
        <f>IF($A1617="","",VLOOKUP($A1617,Listes!$A$3:$C$230,2,FALSE))</f>
        <v>Panama Canal Adj Factor</v>
      </c>
      <c r="C1617" s="511"/>
      <c r="D1617" s="511"/>
      <c r="E1617" s="541" t="s">
        <v>52</v>
      </c>
      <c r="F1617" s="541"/>
      <c r="G1617" s="541"/>
      <c r="H1617" s="378"/>
      <c r="I1617" s="345"/>
      <c r="J1617" s="345"/>
      <c r="K1617" s="345"/>
      <c r="L1617" s="345"/>
      <c r="M1617" s="379"/>
      <c r="N1617" s="66"/>
      <c r="O1617" s="66"/>
      <c r="P1617" s="66"/>
      <c r="Q1617" s="66"/>
      <c r="R1617" s="200"/>
    </row>
    <row r="1618" spans="1:21" s="64" customFormat="1" ht="13.35" customHeight="1" x14ac:dyDescent="0.25">
      <c r="A1618" s="377" t="s">
        <v>1330</v>
      </c>
      <c r="B1618" s="511" t="str">
        <f>IF($A1618="","",VLOOKUP($A1618,Listes!$A$3:$C$230,2,FALSE))</f>
        <v>Panama Canal Transit Surcharge</v>
      </c>
      <c r="C1618" s="511"/>
      <c r="D1618" s="511"/>
      <c r="E1618" s="541" t="s">
        <v>52</v>
      </c>
      <c r="F1618" s="541"/>
      <c r="G1618" s="541"/>
      <c r="H1618" s="378"/>
      <c r="I1618" s="345"/>
      <c r="J1618" s="345">
        <v>45901</v>
      </c>
      <c r="K1618" s="345">
        <v>45991</v>
      </c>
      <c r="L1618" s="345"/>
      <c r="M1618" s="379"/>
      <c r="N1618" s="66"/>
      <c r="O1618" s="66"/>
      <c r="P1618" s="66"/>
      <c r="Q1618" s="66"/>
      <c r="R1618" s="66"/>
    </row>
    <row r="1619" spans="1:21" s="64" customFormat="1" ht="13.35" customHeight="1" x14ac:dyDescent="0.25">
      <c r="A1619" s="377" t="s">
        <v>1330</v>
      </c>
      <c r="B1619" s="511" t="str">
        <f>IF($A1619="","",VLOOKUP($A1619,Listes!$A$3:$C$230,2,FALSE))</f>
        <v>Panama Canal Transit Surcharge</v>
      </c>
      <c r="C1619" s="511"/>
      <c r="D1619" s="511"/>
      <c r="E1619" s="541" t="s">
        <v>50</v>
      </c>
      <c r="F1619" s="541"/>
      <c r="G1619" s="541"/>
      <c r="H1619" s="378"/>
      <c r="I1619" s="345"/>
      <c r="J1619" s="345">
        <v>45992</v>
      </c>
      <c r="K1619" s="345"/>
      <c r="L1619" s="345"/>
      <c r="M1619" s="379"/>
      <c r="N1619" s="66"/>
      <c r="O1619" s="66"/>
      <c r="P1619" s="66"/>
      <c r="Q1619" s="66"/>
      <c r="R1619" s="66"/>
    </row>
    <row r="1620" spans="1:21" s="64" customFormat="1" ht="15.75" customHeight="1" x14ac:dyDescent="0.25">
      <c r="A1620" s="377" t="s">
        <v>451</v>
      </c>
      <c r="B1620" s="511" t="str">
        <f>IF($A1620="","",VLOOKUP($A1620,Listes!$A$3:$C$230,2,FALSE))</f>
        <v>Inland Hazardous Charge Precarriage</v>
      </c>
      <c r="C1620" s="511"/>
      <c r="D1620" s="511"/>
      <c r="E1620" s="541" t="s">
        <v>50</v>
      </c>
      <c r="F1620" s="541"/>
      <c r="G1620" s="541"/>
      <c r="H1620" s="378"/>
      <c r="I1620" s="345"/>
      <c r="J1620" s="345"/>
      <c r="K1620" s="345"/>
      <c r="L1620" s="345"/>
      <c r="M1620" s="379"/>
      <c r="N1620" s="66"/>
      <c r="O1620" s="66"/>
      <c r="P1620" s="66"/>
      <c r="Q1620" s="66"/>
      <c r="R1620" s="200"/>
    </row>
    <row r="1621" spans="1:21" s="64" customFormat="1" ht="15.75" customHeight="1" x14ac:dyDescent="0.25">
      <c r="A1621" s="377" t="s">
        <v>85</v>
      </c>
      <c r="B1621" s="511" t="str">
        <f>IF($A1621="","",VLOOKUP($A1621,Listes!$A$3:$C$230,2,FALSE))</f>
        <v>Peak Season</v>
      </c>
      <c r="C1621" s="511"/>
      <c r="D1621" s="511"/>
      <c r="E1621" s="541" t="s">
        <v>52</v>
      </c>
      <c r="F1621" s="541"/>
      <c r="G1621" s="541"/>
      <c r="H1621" s="378"/>
      <c r="I1621" s="345"/>
      <c r="J1621" s="345"/>
      <c r="K1621" s="345"/>
      <c r="L1621" s="345"/>
      <c r="M1621" s="379"/>
      <c r="N1621" s="66"/>
      <c r="O1621" s="66"/>
      <c r="P1621" s="66"/>
      <c r="Q1621" s="66"/>
      <c r="R1621" s="200"/>
    </row>
    <row r="1622" spans="1:21" s="64" customFormat="1" ht="15.75" customHeight="1" x14ac:dyDescent="0.25">
      <c r="A1622" s="377" t="s">
        <v>765</v>
      </c>
      <c r="B1622" s="511" t="str">
        <f>IF($A1622="","",VLOOKUP($A1622,Listes!$A$3:$C$230,2,FALSE))</f>
        <v>Peak Season Surcharge 2</v>
      </c>
      <c r="C1622" s="511"/>
      <c r="D1622" s="511"/>
      <c r="E1622" s="541" t="s">
        <v>52</v>
      </c>
      <c r="F1622" s="541"/>
      <c r="G1622" s="541"/>
      <c r="H1622" s="378"/>
      <c r="I1622" s="345"/>
      <c r="J1622" s="345"/>
      <c r="K1622" s="345"/>
      <c r="L1622" s="345"/>
      <c r="M1622" s="379"/>
      <c r="N1622" s="66"/>
      <c r="O1622" s="66"/>
      <c r="P1622" s="66"/>
      <c r="Q1622" s="66"/>
      <c r="R1622" s="200"/>
    </row>
    <row r="1623" spans="1:21" s="64" customFormat="1" ht="15.75" customHeight="1" x14ac:dyDescent="0.25">
      <c r="A1623" s="377" t="s">
        <v>890</v>
      </c>
      <c r="B1623" s="511" t="str">
        <f>IF($A1623="","",VLOOKUP($A1623,Listes!$A$3:$C$230,2,FALSE))</f>
        <v>Peak Season Surcharge 3</v>
      </c>
      <c r="C1623" s="511"/>
      <c r="D1623" s="511"/>
      <c r="E1623" s="541" t="s">
        <v>52</v>
      </c>
      <c r="F1623" s="541"/>
      <c r="G1623" s="541"/>
      <c r="H1623" s="378"/>
      <c r="I1623" s="345"/>
      <c r="J1623" s="345"/>
      <c r="K1623" s="345"/>
      <c r="L1623" s="345"/>
      <c r="M1623" s="379"/>
      <c r="N1623" s="66"/>
      <c r="O1623" s="66"/>
      <c r="P1623" s="66"/>
      <c r="Q1623" s="66"/>
      <c r="R1623" s="200"/>
    </row>
    <row r="1624" spans="1:21" s="64" customFormat="1" ht="15.75" customHeight="1" x14ac:dyDescent="0.25">
      <c r="A1624" s="377" t="s">
        <v>264</v>
      </c>
      <c r="B1624" s="511" t="str">
        <f>IF($A1624="","",VLOOKUP($A1624,Listes!$A$3:$C$230,2,FALSE))</f>
        <v>Destination Terminal Security Charge</v>
      </c>
      <c r="C1624" s="511"/>
      <c r="D1624" s="511"/>
      <c r="E1624" s="541" t="s">
        <v>50</v>
      </c>
      <c r="F1624" s="541"/>
      <c r="G1624" s="541"/>
      <c r="H1624" s="378"/>
      <c r="I1624" s="345"/>
      <c r="J1624" s="345"/>
      <c r="K1624" s="345"/>
      <c r="L1624" s="345"/>
      <c r="M1624" s="379"/>
      <c r="N1624" s="66"/>
      <c r="O1624" s="66"/>
      <c r="P1624" s="66"/>
      <c r="Q1624" s="66"/>
      <c r="R1624" s="200"/>
    </row>
    <row r="1625" spans="1:21" s="64" customFormat="1" ht="15.75" customHeight="1" x14ac:dyDescent="0.25">
      <c r="A1625" s="377" t="s">
        <v>338</v>
      </c>
      <c r="B1625" s="511" t="str">
        <f>IF($A1625="","",VLOOKUP($A1625,Listes!$A$3:$C$230,2,FALSE))</f>
        <v>Suez Canal Surcharge</v>
      </c>
      <c r="C1625" s="511"/>
      <c r="D1625" s="511"/>
      <c r="E1625" s="541" t="s">
        <v>52</v>
      </c>
      <c r="F1625" s="541"/>
      <c r="G1625" s="541"/>
      <c r="H1625" s="378"/>
      <c r="I1625" s="345"/>
      <c r="J1625" s="345"/>
      <c r="K1625" s="345"/>
      <c r="L1625" s="345"/>
      <c r="M1625" s="379"/>
      <c r="N1625" s="66"/>
      <c r="O1625" s="66"/>
      <c r="P1625" s="66"/>
      <c r="Q1625" s="66"/>
      <c r="R1625" s="200"/>
    </row>
    <row r="1626" spans="1:21" s="64" customFormat="1" ht="15.75" customHeight="1" x14ac:dyDescent="0.25">
      <c r="A1626" s="377" t="s">
        <v>344</v>
      </c>
      <c r="B1626" s="511" t="str">
        <f>IF($A1626="","",VLOOKUP($A1626,Listes!$A$3:$C$230,2,FALSE))</f>
        <v>Tri-Axle / Super Chassis Oncarriage Surcharge</v>
      </c>
      <c r="C1626" s="511"/>
      <c r="D1626" s="511"/>
      <c r="E1626" s="541" t="s">
        <v>50</v>
      </c>
      <c r="F1626" s="541"/>
      <c r="G1626" s="541"/>
      <c r="H1626" s="378"/>
      <c r="I1626" s="345"/>
      <c r="J1626" s="345"/>
      <c r="K1626" s="345"/>
      <c r="L1626" s="345"/>
      <c r="M1626" s="379"/>
      <c r="N1626" s="66"/>
      <c r="O1626" s="66"/>
      <c r="P1626" s="66"/>
      <c r="Q1626" s="66"/>
      <c r="R1626" s="200"/>
    </row>
    <row r="1627" spans="1:21" s="64" customFormat="1" x14ac:dyDescent="0.25">
      <c r="A1627" s="377" t="s">
        <v>661</v>
      </c>
      <c r="B1627" s="511" t="str">
        <f>IF($A1627="","",VLOOKUP($A1627,Listes!$A$3:$C$230,2,FALSE))</f>
        <v>Wharfage (Destination)</v>
      </c>
      <c r="C1627" s="511"/>
      <c r="D1627" s="511"/>
      <c r="E1627" s="541" t="s">
        <v>50</v>
      </c>
      <c r="F1627" s="541"/>
      <c r="G1627" s="541"/>
      <c r="H1627" s="378"/>
      <c r="I1627" s="345"/>
      <c r="J1627" s="345"/>
      <c r="K1627" s="345"/>
      <c r="L1627" s="345"/>
      <c r="M1627" s="379"/>
      <c r="N1627" s="66"/>
      <c r="O1627" s="66"/>
      <c r="P1627" s="66"/>
      <c r="Q1627" s="66"/>
      <c r="R1627" s="200"/>
    </row>
    <row r="1628" spans="1:21" s="64" customFormat="1" ht="13.8" thickBot="1" x14ac:dyDescent="0.3">
      <c r="A1628" s="390" t="s">
        <v>661</v>
      </c>
      <c r="B1628" s="595" t="str">
        <f>IF($A1628="","",VLOOKUP($A1628,Listes!$A$3:$C$230,2,FALSE))</f>
        <v>Wharfage (Destination)</v>
      </c>
      <c r="C1628" s="595"/>
      <c r="D1628" s="595"/>
      <c r="E1628" s="537" t="s">
        <v>52</v>
      </c>
      <c r="F1628" s="537"/>
      <c r="G1628" s="537"/>
      <c r="H1628" s="365"/>
      <c r="I1628" s="352"/>
      <c r="J1628" s="352"/>
      <c r="K1628" s="352"/>
      <c r="L1628" s="352" t="s">
        <v>1617</v>
      </c>
      <c r="M1628" s="391"/>
      <c r="N1628" s="66"/>
      <c r="O1628" s="66"/>
      <c r="P1628" s="66"/>
      <c r="Q1628" s="66"/>
      <c r="R1628" s="200"/>
    </row>
    <row r="1629" spans="1:21" ht="13.8" thickBot="1" x14ac:dyDescent="0.3">
      <c r="A1629" s="643" t="s">
        <v>205</v>
      </c>
      <c r="B1629" s="644"/>
      <c r="C1629" s="644"/>
      <c r="D1629" s="644"/>
      <c r="E1629" s="644"/>
      <c r="F1629" s="644"/>
      <c r="G1629" s="644"/>
      <c r="H1629" s="644"/>
      <c r="I1629" s="645"/>
      <c r="K1629" s="177"/>
      <c r="L1629" s="199"/>
      <c r="M1629" s="199"/>
      <c r="N1629" s="199"/>
      <c r="O1629" s="199"/>
      <c r="P1629" s="199"/>
      <c r="Q1629" s="177"/>
    </row>
    <row r="1630" spans="1:21" ht="13.8" thickBot="1" x14ac:dyDescent="0.3">
      <c r="A1630" s="572" t="s">
        <v>532</v>
      </c>
      <c r="B1630" s="573"/>
      <c r="C1630" s="573"/>
      <c r="D1630" s="573"/>
      <c r="E1630" s="573"/>
      <c r="F1630" s="573"/>
      <c r="G1630" s="573"/>
      <c r="H1630" s="573"/>
      <c r="I1630" s="574"/>
      <c r="K1630" s="199"/>
      <c r="L1630" s="199"/>
      <c r="M1630" s="199"/>
      <c r="N1630" s="199"/>
      <c r="O1630" s="177"/>
    </row>
    <row r="1631" spans="1:21" ht="13.8" thickBot="1" x14ac:dyDescent="0.3">
      <c r="A1631" s="142"/>
      <c r="B1631" s="142"/>
      <c r="C1631" s="243"/>
      <c r="D1631" s="139"/>
      <c r="E1631" s="140"/>
      <c r="F1631" s="140"/>
      <c r="G1631" s="140"/>
      <c r="H1631" s="140"/>
      <c r="I1631" s="140"/>
      <c r="J1631" s="139"/>
      <c r="L1631" s="177"/>
      <c r="M1631" s="199"/>
      <c r="N1631" s="199"/>
      <c r="O1631" s="199"/>
      <c r="P1631" s="199"/>
      <c r="Q1631" s="199"/>
      <c r="R1631" s="177"/>
    </row>
    <row r="1632" spans="1:21" ht="15.6" customHeight="1" x14ac:dyDescent="0.25">
      <c r="A1632" s="618" t="s">
        <v>467</v>
      </c>
      <c r="B1632" s="619"/>
      <c r="C1632" s="619"/>
      <c r="D1632" s="619"/>
      <c r="E1632" s="499" t="s">
        <v>274</v>
      </c>
      <c r="F1632" s="499">
        <v>20</v>
      </c>
      <c r="G1632" s="499">
        <v>40</v>
      </c>
      <c r="H1632" s="499" t="s">
        <v>19</v>
      </c>
      <c r="I1632" s="499" t="s">
        <v>20</v>
      </c>
      <c r="J1632" s="642" t="s">
        <v>281</v>
      </c>
      <c r="K1632" s="642" t="s">
        <v>33</v>
      </c>
      <c r="L1632" s="640" t="s">
        <v>206</v>
      </c>
      <c r="M1632" s="139"/>
      <c r="N1632" s="199"/>
      <c r="O1632" s="199"/>
      <c r="P1632" s="199"/>
      <c r="Q1632" s="199"/>
      <c r="R1632" s="199"/>
      <c r="S1632" s="199"/>
      <c r="T1632" s="199"/>
      <c r="U1632" s="199"/>
    </row>
    <row r="1633" spans="1:23" x14ac:dyDescent="0.25">
      <c r="A1633" s="21" t="s">
        <v>207</v>
      </c>
      <c r="B1633" s="22" t="s">
        <v>11</v>
      </c>
      <c r="C1633" s="22" t="s">
        <v>12</v>
      </c>
      <c r="D1633" s="22" t="s">
        <v>208</v>
      </c>
      <c r="E1633" s="620"/>
      <c r="F1633" s="620"/>
      <c r="G1633" s="620"/>
      <c r="H1633" s="620"/>
      <c r="I1633" s="620"/>
      <c r="J1633" s="620"/>
      <c r="K1633" s="620"/>
      <c r="L1633" s="641"/>
      <c r="M1633" s="139"/>
      <c r="N1633" s="199"/>
      <c r="O1633" s="199"/>
      <c r="P1633" s="199"/>
      <c r="Q1633" s="199"/>
      <c r="R1633" s="199"/>
      <c r="S1633" s="199"/>
      <c r="T1633" s="199"/>
      <c r="U1633" s="199"/>
    </row>
    <row r="1634" spans="1:23" s="64" customFormat="1" x14ac:dyDescent="0.25">
      <c r="A1634" s="339"/>
      <c r="B1634" s="23"/>
      <c r="C1634" s="23"/>
      <c r="D1634" s="23"/>
      <c r="E1634" s="23"/>
      <c r="F1634" s="62"/>
      <c r="G1634" s="62"/>
      <c r="H1634" s="62"/>
      <c r="I1634" s="62"/>
      <c r="J1634" s="23"/>
      <c r="K1634" s="55"/>
      <c r="L1634" s="340"/>
      <c r="M1634" s="372"/>
      <c r="N1634" s="66"/>
      <c r="O1634" s="66"/>
      <c r="P1634" s="66"/>
      <c r="Q1634" s="66"/>
      <c r="R1634" s="66"/>
      <c r="S1634" s="66"/>
      <c r="T1634" s="66"/>
      <c r="U1634" s="66"/>
    </row>
    <row r="1635" spans="1:23" s="64" customFormat="1" x14ac:dyDescent="0.25">
      <c r="A1635" s="339"/>
      <c r="B1635" s="23"/>
      <c r="C1635" s="23"/>
      <c r="D1635" s="23"/>
      <c r="E1635" s="23"/>
      <c r="F1635" s="62"/>
      <c r="G1635" s="62"/>
      <c r="H1635" s="62"/>
      <c r="I1635" s="62"/>
      <c r="J1635" s="23"/>
      <c r="K1635" s="55"/>
      <c r="L1635" s="340"/>
      <c r="M1635" s="66"/>
      <c r="N1635" s="66"/>
      <c r="O1635" s="66"/>
      <c r="P1635" s="66"/>
      <c r="Q1635" s="66"/>
      <c r="R1635" s="66"/>
      <c r="S1635" s="66"/>
      <c r="T1635" s="66"/>
      <c r="U1635" s="66"/>
    </row>
    <row r="1636" spans="1:23" s="64" customFormat="1" x14ac:dyDescent="0.25">
      <c r="A1636" s="339"/>
      <c r="B1636" s="23"/>
      <c r="C1636" s="23"/>
      <c r="D1636" s="23"/>
      <c r="E1636" s="23"/>
      <c r="F1636" s="62"/>
      <c r="G1636" s="62"/>
      <c r="H1636" s="62"/>
      <c r="I1636" s="62"/>
      <c r="J1636" s="23"/>
      <c r="K1636" s="55"/>
      <c r="L1636" s="340"/>
      <c r="M1636" s="66"/>
      <c r="N1636" s="66"/>
      <c r="O1636" s="66"/>
      <c r="P1636" s="66"/>
      <c r="Q1636" s="66"/>
      <c r="R1636" s="66"/>
      <c r="S1636" s="66"/>
      <c r="T1636" s="66"/>
      <c r="U1636" s="66"/>
    </row>
    <row r="1637" spans="1:23" s="64" customFormat="1" ht="13.8" thickBot="1" x14ac:dyDescent="0.3">
      <c r="A1637" s="341"/>
      <c r="B1637" s="24"/>
      <c r="C1637" s="24"/>
      <c r="D1637" s="24"/>
      <c r="E1637" s="24"/>
      <c r="F1637" s="342"/>
      <c r="G1637" s="342"/>
      <c r="H1637" s="342"/>
      <c r="I1637" s="342"/>
      <c r="J1637" s="24"/>
      <c r="K1637" s="148"/>
      <c r="L1637" s="343"/>
      <c r="M1637" s="66"/>
      <c r="N1637" s="66"/>
      <c r="O1637" s="66"/>
      <c r="P1637" s="66"/>
      <c r="Q1637" s="66"/>
      <c r="R1637" s="66"/>
      <c r="S1637" s="66"/>
      <c r="T1637" s="66"/>
      <c r="U1637" s="66"/>
    </row>
    <row r="1638" spans="1:23" s="64" customFormat="1" x14ac:dyDescent="0.25">
      <c r="A1638" s="338"/>
      <c r="B1638" s="338"/>
      <c r="C1638" s="338"/>
      <c r="D1638" s="338"/>
      <c r="E1638" s="338"/>
      <c r="F1638" s="338"/>
      <c r="G1638" s="338"/>
      <c r="H1638" s="338"/>
      <c r="I1638" s="338"/>
      <c r="J1638" s="338"/>
      <c r="K1638" s="338"/>
      <c r="L1638" s="344"/>
      <c r="M1638" s="66"/>
      <c r="N1638" s="66"/>
      <c r="O1638" s="66"/>
      <c r="P1638" s="66"/>
      <c r="Q1638" s="66"/>
      <c r="R1638" s="66"/>
      <c r="S1638" s="66"/>
      <c r="T1638" s="66"/>
      <c r="U1638" s="66"/>
    </row>
    <row r="1639" spans="1:23" ht="15.6" customHeight="1" x14ac:dyDescent="0.25">
      <c r="A1639" s="575" t="s">
        <v>531</v>
      </c>
      <c r="B1639" s="575"/>
      <c r="C1639" s="575"/>
      <c r="D1639" s="575"/>
      <c r="E1639" s="575" t="s">
        <v>274</v>
      </c>
      <c r="F1639" s="575">
        <v>20</v>
      </c>
      <c r="G1639" s="575">
        <v>40</v>
      </c>
      <c r="H1639" s="575" t="s">
        <v>19</v>
      </c>
      <c r="I1639" s="575" t="s">
        <v>20</v>
      </c>
      <c r="J1639" s="610" t="s">
        <v>281</v>
      </c>
      <c r="K1639" s="610" t="s">
        <v>33</v>
      </c>
      <c r="L1639" s="575" t="s">
        <v>206</v>
      </c>
      <c r="M1639" s="575" t="s">
        <v>23</v>
      </c>
      <c r="O1639" s="177"/>
      <c r="P1639" s="199"/>
      <c r="Q1639" s="199"/>
      <c r="R1639" s="199"/>
      <c r="S1639" s="199"/>
      <c r="T1639" s="199"/>
      <c r="U1639" s="199"/>
      <c r="V1639" s="199"/>
      <c r="W1639" s="199"/>
    </row>
    <row r="1640" spans="1:23" x14ac:dyDescent="0.25">
      <c r="A1640" s="25" t="s">
        <v>207</v>
      </c>
      <c r="B1640" s="25" t="s">
        <v>11</v>
      </c>
      <c r="C1640" s="25" t="s">
        <v>12</v>
      </c>
      <c r="D1640" s="25" t="s">
        <v>208</v>
      </c>
      <c r="E1640" s="575"/>
      <c r="F1640" s="575"/>
      <c r="G1640" s="575"/>
      <c r="H1640" s="575"/>
      <c r="I1640" s="575"/>
      <c r="J1640" s="575"/>
      <c r="K1640" s="575"/>
      <c r="L1640" s="575"/>
      <c r="M1640" s="575"/>
      <c r="O1640" s="177"/>
      <c r="P1640" s="199"/>
      <c r="Q1640" s="199"/>
      <c r="R1640" s="199"/>
      <c r="S1640" s="199"/>
      <c r="T1640" s="199"/>
      <c r="U1640" s="199"/>
      <c r="V1640" s="199"/>
      <c r="W1640" s="199"/>
    </row>
    <row r="1641" spans="1:23" s="64" customFormat="1" x14ac:dyDescent="0.25">
      <c r="A1641" s="26"/>
      <c r="B1641" s="26"/>
      <c r="C1641" s="26"/>
      <c r="D1641" s="26"/>
      <c r="E1641" s="26"/>
      <c r="F1641" s="244"/>
      <c r="G1641" s="244"/>
      <c r="H1641" s="244"/>
      <c r="I1641" s="244"/>
      <c r="J1641" s="26"/>
      <c r="K1641" s="245"/>
      <c r="L1641" s="27"/>
      <c r="M1641" s="27"/>
      <c r="O1641" s="200"/>
      <c r="P1641" s="66"/>
      <c r="Q1641" s="66"/>
      <c r="R1641" s="66"/>
      <c r="S1641" s="66"/>
      <c r="T1641" s="66"/>
      <c r="U1641" s="66"/>
      <c r="V1641" s="66"/>
      <c r="W1641" s="66"/>
    </row>
    <row r="1642" spans="1:23" s="64" customFormat="1" x14ac:dyDescent="0.25">
      <c r="A1642" s="26"/>
      <c r="B1642" s="26"/>
      <c r="C1642" s="26"/>
      <c r="D1642" s="26"/>
      <c r="E1642" s="26"/>
      <c r="F1642" s="244"/>
      <c r="G1642" s="244"/>
      <c r="H1642" s="244"/>
      <c r="I1642" s="244"/>
      <c r="J1642" s="26"/>
      <c r="K1642" s="245"/>
      <c r="L1642" s="27"/>
      <c r="M1642" s="27"/>
      <c r="O1642" s="200"/>
      <c r="P1642" s="66"/>
      <c r="Q1642" s="66"/>
      <c r="R1642" s="66"/>
      <c r="S1642" s="66"/>
      <c r="T1642" s="66"/>
      <c r="U1642" s="66"/>
      <c r="V1642" s="66"/>
      <c r="W1642" s="66"/>
    </row>
    <row r="1643" spans="1:23" s="64" customFormat="1" x14ac:dyDescent="0.25">
      <c r="A1643" s="26"/>
      <c r="B1643" s="26"/>
      <c r="C1643" s="26"/>
      <c r="D1643" s="26"/>
      <c r="E1643" s="26"/>
      <c r="F1643" s="244"/>
      <c r="G1643" s="244"/>
      <c r="H1643" s="244"/>
      <c r="I1643" s="244"/>
      <c r="J1643" s="26"/>
      <c r="K1643" s="245"/>
      <c r="L1643" s="27"/>
      <c r="M1643" s="27"/>
      <c r="O1643" s="200"/>
      <c r="P1643" s="66"/>
      <c r="Q1643" s="66"/>
      <c r="R1643" s="66"/>
      <c r="S1643" s="66"/>
      <c r="T1643" s="66"/>
      <c r="U1643" s="66"/>
      <c r="V1643" s="66"/>
      <c r="W1643" s="66"/>
    </row>
    <row r="1644" spans="1:23" s="64" customFormat="1" x14ac:dyDescent="0.25">
      <c r="A1644" s="26"/>
      <c r="B1644" s="26"/>
      <c r="C1644" s="26"/>
      <c r="D1644" s="26"/>
      <c r="E1644" s="26"/>
      <c r="F1644" s="244"/>
      <c r="G1644" s="244"/>
      <c r="H1644" s="244"/>
      <c r="I1644" s="244"/>
      <c r="J1644" s="26"/>
      <c r="K1644" s="245"/>
      <c r="L1644" s="27"/>
      <c r="M1644" s="27"/>
      <c r="N1644" s="66"/>
      <c r="O1644" s="200"/>
      <c r="P1644" s="66"/>
      <c r="Q1644" s="66"/>
      <c r="R1644" s="66"/>
      <c r="S1644" s="66"/>
      <c r="T1644" s="66"/>
      <c r="U1644" s="66"/>
      <c r="V1644" s="66"/>
      <c r="W1644" s="66"/>
    </row>
    <row r="1645" spans="1:23" x14ac:dyDescent="0.25">
      <c r="F1645" s="140"/>
      <c r="G1645" s="20"/>
      <c r="H1645" s="181"/>
      <c r="I1645" s="181"/>
      <c r="J1645" s="199"/>
      <c r="K1645" s="177"/>
      <c r="L1645" s="199"/>
      <c r="M1645" s="199"/>
      <c r="N1645" s="199"/>
      <c r="O1645" s="199"/>
      <c r="P1645" s="199"/>
      <c r="Q1645" s="199"/>
    </row>
    <row r="1646" spans="1:23" ht="13.8" thickBot="1" x14ac:dyDescent="0.3">
      <c r="A1646" s="239"/>
      <c r="B1646" s="246"/>
      <c r="C1646" s="247"/>
      <c r="D1646" s="247"/>
      <c r="J1646" s="140"/>
      <c r="K1646" s="177"/>
      <c r="L1646" s="199"/>
      <c r="M1646" s="199"/>
      <c r="N1646" s="199"/>
      <c r="O1646" s="199"/>
      <c r="P1646" s="199"/>
      <c r="Q1646" s="199"/>
      <c r="R1646" s="199"/>
      <c r="S1646" s="177"/>
      <c r="T1646" s="177"/>
      <c r="U1646" s="177"/>
    </row>
    <row r="1647" spans="1:23" ht="13.8" thickBot="1" x14ac:dyDescent="0.3">
      <c r="A1647" s="501" t="s">
        <v>209</v>
      </c>
      <c r="B1647" s="502"/>
      <c r="C1647" s="502"/>
      <c r="D1647" s="502"/>
      <c r="E1647" s="503"/>
      <c r="J1647" s="140"/>
      <c r="K1647" s="177"/>
      <c r="L1647" s="199"/>
      <c r="M1647" s="199"/>
      <c r="N1647" s="199"/>
      <c r="O1647" s="199"/>
      <c r="P1647" s="199"/>
      <c r="Q1647" s="199"/>
      <c r="R1647" s="199"/>
      <c r="S1647" s="177"/>
      <c r="T1647" s="177"/>
      <c r="U1647" s="177"/>
    </row>
    <row r="1648" spans="1:23" ht="13.8" thickBot="1" x14ac:dyDescent="0.3">
      <c r="A1648" s="243"/>
      <c r="F1648" s="140"/>
      <c r="G1648" s="20"/>
      <c r="H1648" s="139"/>
      <c r="I1648" s="140"/>
      <c r="J1648" s="140"/>
      <c r="K1648" s="177"/>
      <c r="L1648" s="199"/>
      <c r="M1648" s="199"/>
      <c r="N1648" s="199"/>
      <c r="O1648" s="199"/>
      <c r="P1648" s="199"/>
      <c r="Q1648" s="199"/>
      <c r="R1648" s="199"/>
      <c r="S1648" s="177"/>
      <c r="T1648" s="177"/>
      <c r="U1648" s="177"/>
    </row>
    <row r="1649" spans="1:21" ht="13.8" thickBot="1" x14ac:dyDescent="0.3">
      <c r="A1649" s="636" t="s">
        <v>210</v>
      </c>
      <c r="B1649" s="638"/>
      <c r="C1649" s="638"/>
      <c r="D1649" s="638"/>
      <c r="E1649" s="638"/>
      <c r="F1649" s="639"/>
      <c r="G1649" s="20"/>
      <c r="H1649" s="139"/>
      <c r="I1649" s="140"/>
      <c r="J1649" s="140"/>
      <c r="K1649" s="177"/>
      <c r="L1649" s="199"/>
      <c r="M1649" s="199"/>
      <c r="N1649" s="199"/>
      <c r="O1649" s="199"/>
      <c r="P1649" s="199"/>
      <c r="Q1649" s="199"/>
      <c r="R1649" s="199"/>
      <c r="S1649" s="177"/>
      <c r="T1649" s="177"/>
      <c r="U1649" s="177"/>
    </row>
    <row r="1650" spans="1:21" ht="16.5" customHeight="1" x14ac:dyDescent="0.25">
      <c r="A1650" s="547" t="s">
        <v>211</v>
      </c>
      <c r="B1650" s="612"/>
      <c r="C1650" s="612"/>
      <c r="D1650" s="612"/>
      <c r="E1650" s="612"/>
      <c r="F1650" s="548"/>
      <c r="G1650" s="20"/>
      <c r="H1650" s="248"/>
      <c r="I1650" s="140"/>
      <c r="J1650" s="140"/>
      <c r="K1650" s="177"/>
      <c r="L1650" s="199"/>
      <c r="M1650" s="199"/>
      <c r="N1650" s="199"/>
      <c r="O1650" s="199"/>
      <c r="P1650" s="199"/>
      <c r="Q1650" s="199"/>
      <c r="R1650" s="199"/>
      <c r="S1650" s="177"/>
      <c r="T1650" s="177"/>
      <c r="U1650" s="177"/>
    </row>
    <row r="1651" spans="1:21" ht="13.8" thickBot="1" x14ac:dyDescent="0.3">
      <c r="A1651" s="621" t="s">
        <v>212</v>
      </c>
      <c r="B1651" s="573"/>
      <c r="C1651" s="573"/>
      <c r="D1651" s="573"/>
      <c r="E1651" s="573"/>
      <c r="F1651" s="574"/>
    </row>
    <row r="1652" spans="1:21" x14ac:dyDescent="0.25">
      <c r="A1652" s="250" t="s">
        <v>213</v>
      </c>
      <c r="B1652" s="146" t="s">
        <v>214</v>
      </c>
      <c r="C1652" s="147" t="s">
        <v>215</v>
      </c>
      <c r="D1652" s="251" t="s">
        <v>216</v>
      </c>
      <c r="E1652" s="199"/>
      <c r="H1652" s="20"/>
      <c r="I1652" s="20"/>
    </row>
    <row r="1653" spans="1:21" s="64" customFormat="1" x14ac:dyDescent="0.25">
      <c r="A1653" s="324"/>
      <c r="B1653" s="325" t="s">
        <v>324</v>
      </c>
      <c r="C1653" s="326" t="s">
        <v>61</v>
      </c>
      <c r="D1653" s="293">
        <v>0.9</v>
      </c>
      <c r="E1653" s="66"/>
      <c r="F1653" s="66"/>
      <c r="G1653" s="66"/>
    </row>
    <row r="1654" spans="1:21" s="64" customFormat="1" x14ac:dyDescent="0.25">
      <c r="A1654" s="324"/>
      <c r="B1654" s="325" t="s">
        <v>324</v>
      </c>
      <c r="C1654" s="326" t="s">
        <v>394</v>
      </c>
      <c r="D1654" s="293">
        <v>1</v>
      </c>
      <c r="E1654" s="66"/>
      <c r="F1654" s="66"/>
      <c r="G1654" s="66"/>
    </row>
    <row r="1655" spans="1:21" s="64" customFormat="1" ht="13.8" thickBot="1" x14ac:dyDescent="0.3">
      <c r="A1655" s="327"/>
      <c r="B1655" s="328" t="s">
        <v>324</v>
      </c>
      <c r="C1655" s="329" t="s">
        <v>395</v>
      </c>
      <c r="D1655" s="294">
        <v>1.266</v>
      </c>
      <c r="E1655" s="66"/>
      <c r="F1655" s="66"/>
      <c r="G1655" s="66"/>
    </row>
    <row r="1656" spans="1:21" ht="13.8" thickBot="1" x14ac:dyDescent="0.3"/>
    <row r="1657" spans="1:21" ht="13.8" thickBot="1" x14ac:dyDescent="0.3">
      <c r="A1657" s="501" t="s">
        <v>217</v>
      </c>
      <c r="B1657" s="502"/>
      <c r="C1657" s="502"/>
      <c r="D1657" s="502"/>
      <c r="E1657" s="502"/>
      <c r="F1657" s="502"/>
      <c r="G1657" s="502"/>
      <c r="H1657" s="502"/>
      <c r="I1657" s="503"/>
      <c r="K1657" s="177"/>
      <c r="L1657" s="199"/>
      <c r="M1657" s="199"/>
      <c r="N1657" s="199"/>
      <c r="O1657" s="199"/>
      <c r="P1657" s="199"/>
      <c r="Q1657" s="199"/>
      <c r="R1657" s="199"/>
      <c r="S1657" s="177"/>
      <c r="T1657" s="177"/>
      <c r="U1657" s="177"/>
    </row>
    <row r="1658" spans="1:21" ht="13.8" thickBot="1" x14ac:dyDescent="0.3">
      <c r="A1658" s="252" t="s">
        <v>218</v>
      </c>
      <c r="B1658" s="253"/>
      <c r="C1658" s="133"/>
      <c r="D1658" s="133"/>
      <c r="E1658" s="133"/>
      <c r="F1658" s="133"/>
      <c r="G1658" s="220"/>
      <c r="H1658" s="133"/>
      <c r="I1658" s="254"/>
      <c r="J1658" s="140"/>
      <c r="K1658" s="177"/>
      <c r="L1658" s="199"/>
      <c r="M1658" s="199"/>
      <c r="N1658" s="199"/>
      <c r="O1658" s="199"/>
      <c r="P1658" s="199"/>
      <c r="Q1658" s="199"/>
      <c r="R1658" s="199"/>
      <c r="S1658" s="177"/>
      <c r="T1658" s="177"/>
      <c r="U1658" s="177"/>
    </row>
    <row r="1659" spans="1:21" s="335" customFormat="1" x14ac:dyDescent="0.25">
      <c r="A1659" s="369"/>
      <c r="B1659" s="622"/>
      <c r="C1659" s="623"/>
      <c r="D1659" s="623"/>
      <c r="E1659" s="623"/>
      <c r="F1659" s="623"/>
      <c r="G1659" s="623"/>
      <c r="H1659" s="623"/>
      <c r="I1659" s="624"/>
      <c r="J1659" s="370"/>
      <c r="K1659" s="371"/>
      <c r="L1659" s="338"/>
      <c r="M1659" s="338"/>
      <c r="N1659" s="338"/>
      <c r="O1659" s="338"/>
      <c r="P1659" s="338"/>
      <c r="Q1659" s="338"/>
      <c r="R1659" s="338"/>
      <c r="S1659" s="371"/>
      <c r="T1659" s="371"/>
      <c r="U1659" s="371"/>
    </row>
    <row r="1660" spans="1:21" s="64" customFormat="1" x14ac:dyDescent="0.25">
      <c r="A1660" s="255"/>
      <c r="B1660" s="611"/>
      <c r="C1660" s="562"/>
      <c r="D1660" s="562"/>
      <c r="E1660" s="562"/>
      <c r="F1660" s="562"/>
      <c r="G1660" s="562"/>
      <c r="H1660" s="562"/>
      <c r="I1660" s="563"/>
    </row>
    <row r="1661" spans="1:21" s="64" customFormat="1" x14ac:dyDescent="0.25">
      <c r="A1661" s="255"/>
      <c r="B1661" s="611"/>
      <c r="C1661" s="562"/>
      <c r="D1661" s="562"/>
      <c r="E1661" s="562"/>
      <c r="F1661" s="562"/>
      <c r="G1661" s="562"/>
      <c r="H1661" s="562"/>
      <c r="I1661" s="563"/>
    </row>
    <row r="1662" spans="1:21" s="64" customFormat="1" x14ac:dyDescent="0.25">
      <c r="A1662" s="255"/>
      <c r="B1662" s="611"/>
      <c r="C1662" s="562"/>
      <c r="D1662" s="562"/>
      <c r="E1662" s="562"/>
      <c r="F1662" s="562"/>
      <c r="G1662" s="562"/>
      <c r="H1662" s="562"/>
      <c r="I1662" s="563"/>
    </row>
    <row r="1663" spans="1:21" s="64" customFormat="1" x14ac:dyDescent="0.25">
      <c r="A1663" s="255"/>
      <c r="B1663" s="611"/>
      <c r="C1663" s="562"/>
      <c r="D1663" s="562"/>
      <c r="E1663" s="562"/>
      <c r="F1663" s="562"/>
      <c r="G1663" s="562"/>
      <c r="H1663" s="562"/>
      <c r="I1663" s="563"/>
    </row>
    <row r="1664" spans="1:21" s="64" customFormat="1" x14ac:dyDescent="0.25">
      <c r="A1664" s="255"/>
      <c r="B1664" s="611"/>
      <c r="C1664" s="562"/>
      <c r="D1664" s="562"/>
      <c r="E1664" s="562"/>
      <c r="F1664" s="562"/>
      <c r="G1664" s="562"/>
      <c r="H1664" s="562"/>
      <c r="I1664" s="563"/>
    </row>
    <row r="1665" spans="1:9" s="64" customFormat="1" x14ac:dyDescent="0.25">
      <c r="A1665" s="255"/>
      <c r="B1665" s="611"/>
      <c r="C1665" s="562"/>
      <c r="D1665" s="562"/>
      <c r="E1665" s="562"/>
      <c r="F1665" s="562"/>
      <c r="G1665" s="562"/>
      <c r="H1665" s="562"/>
      <c r="I1665" s="563"/>
    </row>
    <row r="1666" spans="1:9" s="64" customFormat="1" x14ac:dyDescent="0.25">
      <c r="A1666" s="255"/>
      <c r="B1666" s="611"/>
      <c r="C1666" s="562"/>
      <c r="D1666" s="562"/>
      <c r="E1666" s="562"/>
      <c r="F1666" s="562"/>
      <c r="G1666" s="562"/>
      <c r="H1666" s="562"/>
      <c r="I1666" s="563"/>
    </row>
    <row r="1667" spans="1:9" s="64" customFormat="1" x14ac:dyDescent="0.25">
      <c r="A1667" s="255"/>
      <c r="B1667" s="611"/>
      <c r="C1667" s="562"/>
      <c r="D1667" s="562"/>
      <c r="E1667" s="562"/>
      <c r="F1667" s="562"/>
      <c r="G1667" s="562"/>
      <c r="H1667" s="562"/>
      <c r="I1667" s="563"/>
    </row>
    <row r="1668" spans="1:9" s="64" customFormat="1" x14ac:dyDescent="0.25">
      <c r="A1668" s="255"/>
      <c r="B1668" s="611"/>
      <c r="C1668" s="562"/>
      <c r="D1668" s="562"/>
      <c r="E1668" s="562"/>
      <c r="F1668" s="562"/>
      <c r="G1668" s="562"/>
      <c r="H1668" s="562"/>
      <c r="I1668" s="563"/>
    </row>
    <row r="1669" spans="1:9" s="64" customFormat="1" x14ac:dyDescent="0.25">
      <c r="A1669" s="255"/>
      <c r="B1669" s="611"/>
      <c r="C1669" s="562"/>
      <c r="D1669" s="562"/>
      <c r="E1669" s="562"/>
      <c r="F1669" s="562"/>
      <c r="G1669" s="562"/>
      <c r="H1669" s="562"/>
      <c r="I1669" s="563"/>
    </row>
    <row r="1670" spans="1:9" s="64" customFormat="1" x14ac:dyDescent="0.25">
      <c r="A1670" s="255"/>
      <c r="B1670" s="611"/>
      <c r="C1670" s="562"/>
      <c r="D1670" s="562"/>
      <c r="E1670" s="562"/>
      <c r="F1670" s="562"/>
      <c r="G1670" s="562"/>
      <c r="H1670" s="562"/>
      <c r="I1670" s="563"/>
    </row>
    <row r="1671" spans="1:9" s="64" customFormat="1" x14ac:dyDescent="0.25">
      <c r="A1671" s="255"/>
      <c r="B1671" s="611"/>
      <c r="C1671" s="562"/>
      <c r="D1671" s="562"/>
      <c r="E1671" s="562"/>
      <c r="F1671" s="562"/>
      <c r="G1671" s="562"/>
      <c r="H1671" s="562"/>
      <c r="I1671" s="563"/>
    </row>
    <row r="1672" spans="1:9" s="64" customFormat="1" x14ac:dyDescent="0.25">
      <c r="A1672" s="255"/>
      <c r="B1672" s="611"/>
      <c r="C1672" s="562"/>
      <c r="D1672" s="562"/>
      <c r="E1672" s="562"/>
      <c r="F1672" s="562"/>
      <c r="G1672" s="562"/>
      <c r="H1672" s="562"/>
      <c r="I1672" s="563"/>
    </row>
    <row r="1673" spans="1:9" s="64" customFormat="1" ht="13.8" thickBot="1" x14ac:dyDescent="0.3">
      <c r="A1673" s="256"/>
      <c r="B1673" s="615"/>
      <c r="C1673" s="616"/>
      <c r="D1673" s="616"/>
      <c r="E1673" s="616"/>
      <c r="F1673" s="616"/>
      <c r="G1673" s="616"/>
      <c r="H1673" s="616"/>
      <c r="I1673" s="617"/>
    </row>
    <row r="1675" spans="1:9" s="64" customFormat="1" x14ac:dyDescent="0.25">
      <c r="F1675" s="66"/>
      <c r="G1675" s="66"/>
      <c r="H1675" s="66"/>
      <c r="I1675" s="66"/>
    </row>
    <row r="1676" spans="1:9" s="64" customFormat="1" ht="13.8" thickBot="1" x14ac:dyDescent="0.3">
      <c r="F1676" s="66"/>
      <c r="G1676" s="66"/>
      <c r="H1676" s="66"/>
      <c r="I1676" s="66"/>
    </row>
    <row r="1677" spans="1:9" s="64" customFormat="1" ht="13.8" thickBot="1" x14ac:dyDescent="0.3">
      <c r="A1677" s="636" t="s">
        <v>3</v>
      </c>
      <c r="B1677" s="637"/>
      <c r="F1677" s="66"/>
      <c r="G1677" s="66"/>
      <c r="H1677" s="66"/>
      <c r="I1677" s="66"/>
    </row>
    <row r="1678" spans="1:9" s="258" customFormat="1" ht="13.8" thickBot="1" x14ac:dyDescent="0.3">
      <c r="A1678" s="257"/>
      <c r="B1678" s="257"/>
      <c r="F1678" s="259"/>
      <c r="G1678" s="259"/>
      <c r="H1678" s="259"/>
      <c r="I1678" s="259"/>
    </row>
    <row r="1679" spans="1:9" s="64" customFormat="1" ht="15.75" customHeight="1" thickBot="1" x14ac:dyDescent="0.3">
      <c r="A1679" s="582" t="s">
        <v>2</v>
      </c>
      <c r="B1679" s="583"/>
      <c r="C1679" s="583"/>
      <c r="D1679" s="583"/>
      <c r="E1679" s="583"/>
      <c r="F1679" s="583"/>
      <c r="G1679" s="584"/>
      <c r="H1679" s="66"/>
      <c r="I1679" s="66"/>
    </row>
    <row r="1680" spans="1:9" s="258" customFormat="1" ht="15.75" customHeight="1" thickBot="1" x14ac:dyDescent="0.3">
      <c r="A1680" s="257"/>
      <c r="B1680" s="257"/>
      <c r="C1680" s="257"/>
      <c r="D1680" s="257"/>
      <c r="E1680" s="257"/>
      <c r="F1680" s="257"/>
      <c r="G1680" s="257"/>
      <c r="H1680" s="259"/>
      <c r="I1680" s="259"/>
    </row>
    <row r="1681" spans="1:23" s="64" customFormat="1" ht="15.75" customHeight="1" thickBot="1" x14ac:dyDescent="0.3">
      <c r="A1681" s="627" t="s">
        <v>1</v>
      </c>
      <c r="B1681" s="628"/>
      <c r="C1681" s="628"/>
      <c r="D1681" s="628"/>
      <c r="E1681" s="629"/>
      <c r="F1681" s="260"/>
      <c r="G1681" s="260"/>
      <c r="H1681" s="66"/>
      <c r="I1681" s="66"/>
    </row>
    <row r="1682" spans="1:23" s="64" customFormat="1" x14ac:dyDescent="0.25">
      <c r="A1682" s="630" t="s">
        <v>558</v>
      </c>
      <c r="B1682" s="613" t="s">
        <v>1649</v>
      </c>
      <c r="C1682" s="576" t="s">
        <v>0</v>
      </c>
      <c r="D1682" s="576" t="s">
        <v>541</v>
      </c>
      <c r="E1682" s="613" t="s">
        <v>1650</v>
      </c>
      <c r="F1682" s="576" t="s">
        <v>410</v>
      </c>
      <c r="G1682" s="576" t="s">
        <v>397</v>
      </c>
      <c r="H1682" s="576" t="s">
        <v>559</v>
      </c>
      <c r="I1682" s="576" t="s">
        <v>11</v>
      </c>
      <c r="J1682" s="576" t="s">
        <v>12</v>
      </c>
      <c r="K1682" s="576" t="s">
        <v>13</v>
      </c>
      <c r="L1682" s="576" t="s">
        <v>423</v>
      </c>
      <c r="M1682" s="576" t="s">
        <v>542</v>
      </c>
      <c r="N1682" s="580"/>
    </row>
    <row r="1683" spans="1:23" s="64" customFormat="1" ht="32.25" customHeight="1" thickBot="1" x14ac:dyDescent="0.3">
      <c r="A1683" s="631"/>
      <c r="B1683" s="614"/>
      <c r="C1683" s="607"/>
      <c r="D1683" s="607"/>
      <c r="E1683" s="614"/>
      <c r="F1683" s="607"/>
      <c r="G1683" s="607"/>
      <c r="H1683" s="607"/>
      <c r="I1683" s="607"/>
      <c r="J1683" s="607"/>
      <c r="K1683" s="607"/>
      <c r="L1683" s="607"/>
      <c r="M1683" s="607"/>
      <c r="N1683" s="608"/>
    </row>
    <row r="1684" spans="1:23" s="64" customFormat="1" x14ac:dyDescent="0.25">
      <c r="A1684" s="336"/>
      <c r="B1684" s="337"/>
      <c r="C1684" s="364"/>
      <c r="D1684" s="337"/>
      <c r="E1684" s="337"/>
      <c r="F1684" s="337"/>
      <c r="G1684" s="337"/>
      <c r="H1684" s="337"/>
      <c r="I1684" s="337"/>
      <c r="J1684" s="337"/>
      <c r="K1684" s="337"/>
      <c r="L1684" s="368"/>
      <c r="M1684" s="632"/>
      <c r="N1684" s="633"/>
    </row>
    <row r="1685" spans="1:23" s="64" customFormat="1" x14ac:dyDescent="0.25">
      <c r="A1685" s="65"/>
      <c r="B1685" s="61"/>
      <c r="C1685" s="23"/>
      <c r="D1685" s="61"/>
      <c r="E1685" s="61"/>
      <c r="F1685" s="61"/>
      <c r="G1685" s="61"/>
      <c r="H1685" s="61"/>
      <c r="I1685" s="61"/>
      <c r="J1685" s="61"/>
      <c r="K1685" s="61"/>
      <c r="L1685" s="261"/>
      <c r="M1685" s="625"/>
      <c r="N1685" s="626"/>
    </row>
    <row r="1686" spans="1:23" s="64" customFormat="1" x14ac:dyDescent="0.25">
      <c r="A1686" s="65"/>
      <c r="B1686" s="61"/>
      <c r="C1686" s="23"/>
      <c r="D1686" s="61"/>
      <c r="E1686" s="61"/>
      <c r="F1686" s="61"/>
      <c r="G1686" s="61"/>
      <c r="H1686" s="61"/>
      <c r="I1686" s="61"/>
      <c r="J1686" s="61"/>
      <c r="K1686" s="61"/>
      <c r="L1686" s="261"/>
      <c r="M1686" s="625"/>
      <c r="N1686" s="626"/>
    </row>
    <row r="1687" spans="1:23" s="64" customFormat="1" x14ac:dyDescent="0.25">
      <c r="A1687" s="65"/>
      <c r="B1687" s="61"/>
      <c r="C1687" s="23"/>
      <c r="D1687" s="61"/>
      <c r="E1687" s="61"/>
      <c r="F1687" s="61"/>
      <c r="G1687" s="61"/>
      <c r="H1687" s="61"/>
      <c r="I1687" s="61"/>
      <c r="J1687" s="61"/>
      <c r="K1687" s="61"/>
      <c r="L1687" s="261"/>
      <c r="M1687" s="625"/>
      <c r="N1687" s="626"/>
    </row>
    <row r="1688" spans="1:23" s="64" customFormat="1" x14ac:dyDescent="0.25">
      <c r="A1688" s="65"/>
      <c r="B1688" s="61"/>
      <c r="C1688" s="23"/>
      <c r="D1688" s="61"/>
      <c r="E1688" s="61"/>
      <c r="F1688" s="61"/>
      <c r="G1688" s="61"/>
      <c r="H1688" s="61"/>
      <c r="I1688" s="61"/>
      <c r="J1688" s="61"/>
      <c r="K1688" s="61"/>
      <c r="L1688" s="261"/>
      <c r="M1688" s="625"/>
      <c r="N1688" s="626"/>
    </row>
    <row r="1689" spans="1:23" s="64" customFormat="1" ht="13.8" thickBot="1" x14ac:dyDescent="0.3">
      <c r="A1689" s="127"/>
      <c r="B1689" s="195"/>
      <c r="C1689" s="24"/>
      <c r="D1689" s="195"/>
      <c r="E1689" s="195"/>
      <c r="F1689" s="195"/>
      <c r="G1689" s="195"/>
      <c r="H1689" s="195"/>
      <c r="I1689" s="195"/>
      <c r="J1689" s="195"/>
      <c r="K1689" s="195"/>
      <c r="L1689" s="262"/>
      <c r="M1689" s="601"/>
      <c r="N1689" s="602"/>
    </row>
    <row r="1690" spans="1:23" s="64" customFormat="1" x14ac:dyDescent="0.25">
      <c r="F1690" s="66"/>
      <c r="G1690" s="66"/>
      <c r="H1690" s="66"/>
      <c r="I1690" s="66"/>
    </row>
    <row r="1691" spans="1:23" s="64" customFormat="1" ht="13.8" thickBot="1" x14ac:dyDescent="0.3">
      <c r="F1691" s="66"/>
      <c r="G1691" s="66"/>
      <c r="H1691" s="66"/>
      <c r="I1691" s="66"/>
    </row>
    <row r="1692" spans="1:23" s="64" customFormat="1" ht="13.8" thickBot="1" x14ac:dyDescent="0.3">
      <c r="A1692" s="582" t="s">
        <v>709</v>
      </c>
      <c r="B1692" s="583"/>
      <c r="C1692" s="583"/>
      <c r="D1692" s="583"/>
      <c r="E1692" s="583"/>
      <c r="F1692" s="583"/>
      <c r="G1692" s="584"/>
      <c r="H1692" s="66"/>
      <c r="I1692" s="66"/>
    </row>
    <row r="1693" spans="1:23" s="64" customFormat="1" ht="13.8" thickBot="1" x14ac:dyDescent="0.3">
      <c r="F1693" s="66"/>
      <c r="G1693" s="66"/>
      <c r="H1693" s="66"/>
      <c r="I1693" s="66"/>
    </row>
    <row r="1694" spans="1:23" s="64" customFormat="1" ht="13.8" thickBot="1" x14ac:dyDescent="0.3">
      <c r="A1694" s="627" t="s">
        <v>1</v>
      </c>
      <c r="B1694" s="628"/>
      <c r="C1694" s="628"/>
      <c r="D1694" s="628"/>
      <c r="E1694" s="628"/>
      <c r="F1694" s="628"/>
      <c r="G1694" s="628"/>
      <c r="H1694" s="629"/>
      <c r="I1694" s="66"/>
    </row>
    <row r="1695" spans="1:23" s="64" customFormat="1" ht="16.5" customHeight="1" thickBot="1" x14ac:dyDescent="0.3">
      <c r="A1695" s="630" t="s">
        <v>558</v>
      </c>
      <c r="B1695" s="613" t="s">
        <v>1649</v>
      </c>
      <c r="C1695" s="576" t="s">
        <v>0</v>
      </c>
      <c r="D1695" s="576" t="s">
        <v>541</v>
      </c>
      <c r="E1695" s="613" t="s">
        <v>1650</v>
      </c>
      <c r="F1695" s="576" t="s">
        <v>41</v>
      </c>
      <c r="G1695" s="609" t="s">
        <v>708</v>
      </c>
      <c r="H1695" s="609"/>
      <c r="I1695" s="609"/>
      <c r="J1695" s="609"/>
      <c r="K1695" s="609"/>
      <c r="L1695" s="609"/>
      <c r="M1695" s="609"/>
      <c r="N1695" s="609"/>
      <c r="O1695" s="576" t="s">
        <v>410</v>
      </c>
      <c r="P1695" s="576" t="s">
        <v>397</v>
      </c>
      <c r="Q1695" s="576" t="s">
        <v>559</v>
      </c>
      <c r="R1695" s="576" t="s">
        <v>11</v>
      </c>
      <c r="S1695" s="576" t="s">
        <v>12</v>
      </c>
      <c r="T1695" s="576" t="s">
        <v>13</v>
      </c>
      <c r="U1695" s="576" t="s">
        <v>423</v>
      </c>
      <c r="V1695" s="576" t="s">
        <v>542</v>
      </c>
      <c r="W1695" s="580"/>
    </row>
    <row r="1696" spans="1:23" s="64" customFormat="1" ht="13.8" thickBot="1" x14ac:dyDescent="0.3">
      <c r="A1696" s="631"/>
      <c r="B1696" s="614"/>
      <c r="C1696" s="607"/>
      <c r="D1696" s="607"/>
      <c r="E1696" s="614"/>
      <c r="F1696" s="607"/>
      <c r="G1696" s="54" t="s">
        <v>406</v>
      </c>
      <c r="H1696" s="54" t="s">
        <v>42</v>
      </c>
      <c r="I1696" s="54" t="s">
        <v>407</v>
      </c>
      <c r="J1696" s="54" t="s">
        <v>43</v>
      </c>
      <c r="K1696" s="54" t="s">
        <v>408</v>
      </c>
      <c r="L1696" s="54" t="s">
        <v>44</v>
      </c>
      <c r="M1696" s="54" t="s">
        <v>409</v>
      </c>
      <c r="N1696" s="54" t="s">
        <v>45</v>
      </c>
      <c r="O1696" s="607"/>
      <c r="P1696" s="607"/>
      <c r="Q1696" s="607"/>
      <c r="R1696" s="607"/>
      <c r="S1696" s="607"/>
      <c r="T1696" s="607"/>
      <c r="U1696" s="607"/>
      <c r="V1696" s="607"/>
      <c r="W1696" s="608"/>
    </row>
    <row r="1697" spans="1:23" s="64" customFormat="1" x14ac:dyDescent="0.25">
      <c r="A1697" s="336"/>
      <c r="B1697" s="337"/>
      <c r="C1697" s="364"/>
      <c r="D1697" s="337"/>
      <c r="E1697" s="337"/>
      <c r="F1697" s="367"/>
      <c r="G1697" s="337"/>
      <c r="H1697" s="337"/>
      <c r="I1697" s="337"/>
      <c r="J1697" s="337"/>
      <c r="K1697" s="337"/>
      <c r="L1697" s="337"/>
      <c r="M1697" s="337"/>
      <c r="N1697" s="337"/>
      <c r="O1697" s="337"/>
      <c r="P1697" s="337"/>
      <c r="Q1697" s="337"/>
      <c r="R1697" s="337"/>
      <c r="S1697" s="337"/>
      <c r="T1697" s="337"/>
      <c r="U1697" s="368"/>
      <c r="V1697" s="603"/>
      <c r="W1697" s="604"/>
    </row>
    <row r="1698" spans="1:23" s="64" customFormat="1" x14ac:dyDescent="0.25">
      <c r="A1698" s="65"/>
      <c r="B1698" s="61"/>
      <c r="C1698" s="23"/>
      <c r="D1698" s="61"/>
      <c r="E1698" s="61"/>
      <c r="F1698" s="60"/>
      <c r="G1698" s="61"/>
      <c r="H1698" s="61"/>
      <c r="I1698" s="61"/>
      <c r="J1698" s="61"/>
      <c r="K1698" s="61"/>
      <c r="L1698" s="61"/>
      <c r="M1698" s="61"/>
      <c r="N1698" s="61"/>
      <c r="O1698" s="61"/>
      <c r="P1698" s="61"/>
      <c r="Q1698" s="61"/>
      <c r="R1698" s="61"/>
      <c r="S1698" s="61"/>
      <c r="T1698" s="61"/>
      <c r="U1698" s="261"/>
      <c r="V1698" s="605"/>
      <c r="W1698" s="606"/>
    </row>
    <row r="1699" spans="1:23" s="64" customFormat="1" x14ac:dyDescent="0.25">
      <c r="A1699" s="65"/>
      <c r="B1699" s="61"/>
      <c r="C1699" s="23"/>
      <c r="D1699" s="61"/>
      <c r="E1699" s="61"/>
      <c r="F1699" s="60"/>
      <c r="G1699" s="61"/>
      <c r="H1699" s="61"/>
      <c r="I1699" s="61"/>
      <c r="J1699" s="61"/>
      <c r="K1699" s="61"/>
      <c r="L1699" s="61"/>
      <c r="M1699" s="61"/>
      <c r="N1699" s="61"/>
      <c r="O1699" s="61"/>
      <c r="P1699" s="61"/>
      <c r="Q1699" s="61"/>
      <c r="R1699" s="61"/>
      <c r="S1699" s="61"/>
      <c r="T1699" s="61"/>
      <c r="U1699" s="261"/>
      <c r="V1699" s="605"/>
      <c r="W1699" s="606"/>
    </row>
    <row r="1700" spans="1:23" s="64" customFormat="1" x14ac:dyDescent="0.25">
      <c r="A1700" s="65"/>
      <c r="B1700" s="61"/>
      <c r="C1700" s="23"/>
      <c r="D1700" s="61"/>
      <c r="E1700" s="61"/>
      <c r="F1700" s="60"/>
      <c r="G1700" s="61"/>
      <c r="H1700" s="61"/>
      <c r="I1700" s="61"/>
      <c r="J1700" s="61"/>
      <c r="K1700" s="61"/>
      <c r="L1700" s="61"/>
      <c r="M1700" s="61"/>
      <c r="N1700" s="61"/>
      <c r="O1700" s="61"/>
      <c r="P1700" s="61"/>
      <c r="Q1700" s="61"/>
      <c r="R1700" s="61"/>
      <c r="S1700" s="61"/>
      <c r="T1700" s="61"/>
      <c r="U1700" s="261"/>
      <c r="V1700" s="605"/>
      <c r="W1700" s="606"/>
    </row>
    <row r="1701" spans="1:23" s="64" customFormat="1" x14ac:dyDescent="0.25">
      <c r="A1701" s="65"/>
      <c r="B1701" s="61"/>
      <c r="C1701" s="23"/>
      <c r="D1701" s="61"/>
      <c r="E1701" s="61"/>
      <c r="F1701" s="60"/>
      <c r="G1701" s="61"/>
      <c r="H1701" s="61"/>
      <c r="I1701" s="61"/>
      <c r="J1701" s="61"/>
      <c r="K1701" s="61"/>
      <c r="L1701" s="61"/>
      <c r="M1701" s="61"/>
      <c r="N1701" s="61"/>
      <c r="O1701" s="61"/>
      <c r="P1701" s="61"/>
      <c r="Q1701" s="61"/>
      <c r="R1701" s="61"/>
      <c r="S1701" s="61"/>
      <c r="T1701" s="61"/>
      <c r="U1701" s="261"/>
      <c r="V1701" s="605"/>
      <c r="W1701" s="606"/>
    </row>
    <row r="1702" spans="1:23" s="64" customFormat="1" ht="13.8" thickBot="1" x14ac:dyDescent="0.3">
      <c r="A1702" s="127"/>
      <c r="B1702" s="195"/>
      <c r="C1702" s="24"/>
      <c r="D1702" s="195"/>
      <c r="E1702" s="195"/>
      <c r="F1702" s="263"/>
      <c r="G1702" s="195"/>
      <c r="H1702" s="195"/>
      <c r="I1702" s="195"/>
      <c r="J1702" s="195"/>
      <c r="K1702" s="195"/>
      <c r="L1702" s="195"/>
      <c r="M1702" s="195"/>
      <c r="N1702" s="195"/>
      <c r="O1702" s="195"/>
      <c r="P1702" s="195"/>
      <c r="Q1702" s="195"/>
      <c r="R1702" s="195"/>
      <c r="S1702" s="195"/>
      <c r="T1702" s="195"/>
      <c r="U1702" s="262"/>
      <c r="V1702" s="599"/>
      <c r="W1702" s="600"/>
    </row>
    <row r="1703" spans="1:23" s="64" customFormat="1" x14ac:dyDescent="0.25">
      <c r="F1703" s="66"/>
      <c r="G1703" s="66"/>
      <c r="H1703" s="66"/>
      <c r="I1703" s="66"/>
    </row>
    <row r="1704" spans="1:23" s="64" customFormat="1" x14ac:dyDescent="0.25">
      <c r="F1704" s="66"/>
      <c r="G1704" s="66"/>
      <c r="H1704" s="66"/>
      <c r="I1704" s="66"/>
    </row>
    <row r="1705" spans="1:23" s="64" customFormat="1" ht="13.8" thickBot="1" x14ac:dyDescent="0.3">
      <c r="F1705" s="66"/>
      <c r="G1705" s="66"/>
      <c r="H1705" s="66"/>
      <c r="I1705" s="66"/>
    </row>
    <row r="1706" spans="1:23" ht="13.8" thickBot="1" x14ac:dyDescent="0.3">
      <c r="A1706" s="143" t="s">
        <v>427</v>
      </c>
      <c r="B1706" s="264" t="s">
        <v>428</v>
      </c>
    </row>
    <row r="1707" spans="1:23" x14ac:dyDescent="0.25">
      <c r="A1707" s="146" t="s">
        <v>429</v>
      </c>
      <c r="B1707" s="366" t="s">
        <v>50</v>
      </c>
    </row>
    <row r="1708" spans="1:23" x14ac:dyDescent="0.25">
      <c r="A1708" s="265" t="s">
        <v>64</v>
      </c>
      <c r="B1708" s="63" t="s">
        <v>50</v>
      </c>
    </row>
    <row r="1709" spans="1:23" x14ac:dyDescent="0.25">
      <c r="A1709" s="265" t="s">
        <v>243</v>
      </c>
      <c r="B1709" s="63" t="s">
        <v>50</v>
      </c>
    </row>
    <row r="1710" spans="1:23" x14ac:dyDescent="0.25">
      <c r="A1710" s="265" t="s">
        <v>244</v>
      </c>
      <c r="B1710" s="63" t="s">
        <v>50</v>
      </c>
      <c r="F1710" s="20"/>
      <c r="G1710" s="20"/>
      <c r="H1710" s="20"/>
      <c r="I1710" s="20"/>
    </row>
    <row r="1711" spans="1:23" x14ac:dyDescent="0.25">
      <c r="A1711" s="265" t="s">
        <v>245</v>
      </c>
      <c r="B1711" s="63" t="s">
        <v>52</v>
      </c>
      <c r="F1711" s="20"/>
      <c r="G1711" s="20"/>
      <c r="H1711" s="20"/>
      <c r="I1711" s="20"/>
    </row>
    <row r="1712" spans="1:23" x14ac:dyDescent="0.25">
      <c r="A1712" s="265" t="s">
        <v>267</v>
      </c>
      <c r="B1712" s="63" t="s">
        <v>52</v>
      </c>
      <c r="F1712" s="20"/>
      <c r="G1712" s="20"/>
      <c r="H1712" s="20"/>
      <c r="I1712" s="20"/>
    </row>
    <row r="1713" spans="1:9" x14ac:dyDescent="0.25">
      <c r="A1713" s="266" t="s">
        <v>265</v>
      </c>
      <c r="B1713" s="63" t="s">
        <v>52</v>
      </c>
      <c r="F1713" s="20"/>
      <c r="G1713" s="20"/>
      <c r="H1713" s="20"/>
      <c r="I1713" s="20"/>
    </row>
    <row r="1714" spans="1:9" x14ac:dyDescent="0.25">
      <c r="A1714" s="266" t="s">
        <v>430</v>
      </c>
      <c r="B1714" s="63" t="s">
        <v>50</v>
      </c>
      <c r="F1714" s="20"/>
      <c r="G1714" s="20"/>
      <c r="H1714" s="20"/>
      <c r="I1714" s="20"/>
    </row>
    <row r="1715" spans="1:9" ht="13.8" thickBot="1" x14ac:dyDescent="0.3">
      <c r="A1715" s="267" t="s">
        <v>433</v>
      </c>
      <c r="B1715" s="129" t="s">
        <v>50</v>
      </c>
      <c r="F1715" s="20"/>
      <c r="G1715" s="20"/>
      <c r="H1715" s="20"/>
      <c r="I1715" s="20"/>
    </row>
  </sheetData>
  <sheetProtection formatCells="0" formatColumns="0" formatRows="0" insertColumns="0" insertRows="0" deleteColumns="0" deleteRows="0" sort="0" autoFilter="0"/>
  <dataConsolidate>
    <dataRefs count="2">
      <dataRef ref="B9" sheet="APPENDIX B-1  (FE - USWC)"/>
      <dataRef ref="A14:A18" sheet="APPENDIX B-1  (FE - USWC)"/>
    </dataRefs>
  </dataConsolidate>
  <mergeCells count="1244">
    <mergeCell ref="B1566:D1566"/>
    <mergeCell ref="B1567:D1567"/>
    <mergeCell ref="B1568:D1568"/>
    <mergeCell ref="B1569:D1569"/>
    <mergeCell ref="B1542:D1542"/>
    <mergeCell ref="B1543:D1543"/>
    <mergeCell ref="B1544:D1544"/>
    <mergeCell ref="B1545:D1545"/>
    <mergeCell ref="B1546:D1546"/>
    <mergeCell ref="B1547:D1547"/>
    <mergeCell ref="B1548:D1548"/>
    <mergeCell ref="B1549:D1549"/>
    <mergeCell ref="B1550:D1550"/>
    <mergeCell ref="B1551:D1551"/>
    <mergeCell ref="B1552:D1552"/>
    <mergeCell ref="B1553:D1553"/>
    <mergeCell ref="B1554:D1554"/>
    <mergeCell ref="B1555:D1555"/>
    <mergeCell ref="B1556:D1556"/>
    <mergeCell ref="B1557:D1557"/>
    <mergeCell ref="B1558:D1558"/>
    <mergeCell ref="B1532:D1532"/>
    <mergeCell ref="B1533:D1533"/>
    <mergeCell ref="B1534:D1534"/>
    <mergeCell ref="B1535:D1535"/>
    <mergeCell ref="B1536:D1536"/>
    <mergeCell ref="B1537:D1537"/>
    <mergeCell ref="B1538:D1538"/>
    <mergeCell ref="B1539:D1539"/>
    <mergeCell ref="B1540:D1540"/>
    <mergeCell ref="B1541:D1541"/>
    <mergeCell ref="B1559:D1559"/>
    <mergeCell ref="B1560:D1560"/>
    <mergeCell ref="B1561:D1561"/>
    <mergeCell ref="B1562:D1562"/>
    <mergeCell ref="B1563:D1563"/>
    <mergeCell ref="B1564:D1564"/>
    <mergeCell ref="B1565:D1565"/>
    <mergeCell ref="B1515:D1515"/>
    <mergeCell ref="B1516:D1516"/>
    <mergeCell ref="B1517:D1517"/>
    <mergeCell ref="B1518:D1518"/>
    <mergeCell ref="B1519:D1519"/>
    <mergeCell ref="B1520:D1520"/>
    <mergeCell ref="B1521:D1521"/>
    <mergeCell ref="B1522:D1522"/>
    <mergeCell ref="B1523:D1523"/>
    <mergeCell ref="B1524:D1524"/>
    <mergeCell ref="B1525:D1525"/>
    <mergeCell ref="B1526:D1526"/>
    <mergeCell ref="B1527:D1527"/>
    <mergeCell ref="B1528:D1528"/>
    <mergeCell ref="B1529:D1529"/>
    <mergeCell ref="B1530:D1530"/>
    <mergeCell ref="B1531:D1531"/>
    <mergeCell ref="B1498:D1498"/>
    <mergeCell ref="B1499:D1499"/>
    <mergeCell ref="B1500:D1500"/>
    <mergeCell ref="B1501:D1501"/>
    <mergeCell ref="B1502:D1502"/>
    <mergeCell ref="B1503:D1503"/>
    <mergeCell ref="B1504:D1504"/>
    <mergeCell ref="B1505:D1505"/>
    <mergeCell ref="B1506:D1506"/>
    <mergeCell ref="B1507:D1507"/>
    <mergeCell ref="B1508:D1508"/>
    <mergeCell ref="B1509:D1509"/>
    <mergeCell ref="B1510:D1510"/>
    <mergeCell ref="B1511:D1511"/>
    <mergeCell ref="B1512:D1512"/>
    <mergeCell ref="B1513:D1513"/>
    <mergeCell ref="B1514:D1514"/>
    <mergeCell ref="B1481:D1481"/>
    <mergeCell ref="B1482:D1482"/>
    <mergeCell ref="B1483:D1483"/>
    <mergeCell ref="B1484:D1484"/>
    <mergeCell ref="B1485:D1485"/>
    <mergeCell ref="B1486:D1486"/>
    <mergeCell ref="B1487:D1487"/>
    <mergeCell ref="B1488:D1488"/>
    <mergeCell ref="B1489:D1489"/>
    <mergeCell ref="B1490:D1490"/>
    <mergeCell ref="B1491:D1491"/>
    <mergeCell ref="B1492:D1492"/>
    <mergeCell ref="B1493:D1493"/>
    <mergeCell ref="B1494:D1494"/>
    <mergeCell ref="B1495:D1495"/>
    <mergeCell ref="B1496:D1496"/>
    <mergeCell ref="B1497:D1497"/>
    <mergeCell ref="B1464:D1464"/>
    <mergeCell ref="B1465:D1465"/>
    <mergeCell ref="B1466:D1466"/>
    <mergeCell ref="B1467:D1467"/>
    <mergeCell ref="B1468:D1468"/>
    <mergeCell ref="B1469:D1469"/>
    <mergeCell ref="B1470:D1470"/>
    <mergeCell ref="B1471:D1471"/>
    <mergeCell ref="B1472:D1472"/>
    <mergeCell ref="B1473:D1473"/>
    <mergeCell ref="B1474:D1474"/>
    <mergeCell ref="B1475:D1475"/>
    <mergeCell ref="B1476:D1476"/>
    <mergeCell ref="B1477:D1477"/>
    <mergeCell ref="B1478:D1478"/>
    <mergeCell ref="B1479:D1479"/>
    <mergeCell ref="B1480:D1480"/>
    <mergeCell ref="B1447:D1447"/>
    <mergeCell ref="B1448:D1448"/>
    <mergeCell ref="B1449:D1449"/>
    <mergeCell ref="B1450:D1450"/>
    <mergeCell ref="B1451:D1451"/>
    <mergeCell ref="B1452:D1452"/>
    <mergeCell ref="B1453:D1453"/>
    <mergeCell ref="B1454:D1454"/>
    <mergeCell ref="B1455:D1455"/>
    <mergeCell ref="B1456:D1456"/>
    <mergeCell ref="B1457:D1457"/>
    <mergeCell ref="B1458:D1458"/>
    <mergeCell ref="B1459:D1459"/>
    <mergeCell ref="B1460:D1460"/>
    <mergeCell ref="B1461:D1461"/>
    <mergeCell ref="B1462:D1462"/>
    <mergeCell ref="B1463:D1463"/>
    <mergeCell ref="B1430:D1430"/>
    <mergeCell ref="B1431:D1431"/>
    <mergeCell ref="B1432:D1432"/>
    <mergeCell ref="B1433:D1433"/>
    <mergeCell ref="B1434:D1434"/>
    <mergeCell ref="B1435:D1435"/>
    <mergeCell ref="B1436:D1436"/>
    <mergeCell ref="B1437:D1437"/>
    <mergeCell ref="B1438:D1438"/>
    <mergeCell ref="B1439:D1439"/>
    <mergeCell ref="B1440:D1440"/>
    <mergeCell ref="B1441:D1441"/>
    <mergeCell ref="B1442:D1442"/>
    <mergeCell ref="B1443:D1443"/>
    <mergeCell ref="B1444:D1444"/>
    <mergeCell ref="B1445:D1445"/>
    <mergeCell ref="B1446:D1446"/>
    <mergeCell ref="B1413:D1413"/>
    <mergeCell ref="B1414:D1414"/>
    <mergeCell ref="B1415:D1415"/>
    <mergeCell ref="B1416:D1416"/>
    <mergeCell ref="B1417:D1417"/>
    <mergeCell ref="B1418:D1418"/>
    <mergeCell ref="B1419:D1419"/>
    <mergeCell ref="B1420:D1420"/>
    <mergeCell ref="B1421:D1421"/>
    <mergeCell ref="B1422:D1422"/>
    <mergeCell ref="B1423:D1423"/>
    <mergeCell ref="B1424:D1424"/>
    <mergeCell ref="B1425:D1425"/>
    <mergeCell ref="B1426:D1426"/>
    <mergeCell ref="B1427:D1427"/>
    <mergeCell ref="B1428:D1428"/>
    <mergeCell ref="B1429:D1429"/>
    <mergeCell ref="B1396:D1396"/>
    <mergeCell ref="B1397:D1397"/>
    <mergeCell ref="B1398:D1398"/>
    <mergeCell ref="B1399:D1399"/>
    <mergeCell ref="B1400:D1400"/>
    <mergeCell ref="B1401:D1401"/>
    <mergeCell ref="B1402:D1402"/>
    <mergeCell ref="B1403:D1403"/>
    <mergeCell ref="B1404:D1404"/>
    <mergeCell ref="B1405:D1405"/>
    <mergeCell ref="B1406:D1406"/>
    <mergeCell ref="B1407:D1407"/>
    <mergeCell ref="B1408:D1408"/>
    <mergeCell ref="B1409:D1409"/>
    <mergeCell ref="B1410:D1410"/>
    <mergeCell ref="B1411:D1411"/>
    <mergeCell ref="B1412:D1412"/>
    <mergeCell ref="B1379:D1379"/>
    <mergeCell ref="B1380:D1380"/>
    <mergeCell ref="B1381:D1381"/>
    <mergeCell ref="B1382:D1382"/>
    <mergeCell ref="B1383:D1383"/>
    <mergeCell ref="B1384:D1384"/>
    <mergeCell ref="B1385:D1385"/>
    <mergeCell ref="B1386:D1386"/>
    <mergeCell ref="B1387:D1387"/>
    <mergeCell ref="B1388:D1388"/>
    <mergeCell ref="B1389:D1389"/>
    <mergeCell ref="B1390:D1390"/>
    <mergeCell ref="B1391:D1391"/>
    <mergeCell ref="B1392:D1392"/>
    <mergeCell ref="B1393:D1393"/>
    <mergeCell ref="B1394:D1394"/>
    <mergeCell ref="B1395:D1395"/>
    <mergeCell ref="B1362:D1362"/>
    <mergeCell ref="B1363:D1363"/>
    <mergeCell ref="B1364:D1364"/>
    <mergeCell ref="B1365:D1365"/>
    <mergeCell ref="B1366:D1366"/>
    <mergeCell ref="B1367:D1367"/>
    <mergeCell ref="B1368:D1368"/>
    <mergeCell ref="B1369:D1369"/>
    <mergeCell ref="B1370:D1370"/>
    <mergeCell ref="B1371:D1371"/>
    <mergeCell ref="B1372:D1372"/>
    <mergeCell ref="B1373:D1373"/>
    <mergeCell ref="B1374:D1374"/>
    <mergeCell ref="B1375:D1375"/>
    <mergeCell ref="B1376:D1376"/>
    <mergeCell ref="B1377:D1377"/>
    <mergeCell ref="B1378:D1378"/>
    <mergeCell ref="B1345:D1345"/>
    <mergeCell ref="B1346:D1346"/>
    <mergeCell ref="B1347:D1347"/>
    <mergeCell ref="B1348:D1348"/>
    <mergeCell ref="B1349:D1349"/>
    <mergeCell ref="B1350:D1350"/>
    <mergeCell ref="B1351:D1351"/>
    <mergeCell ref="B1352:D1352"/>
    <mergeCell ref="B1353:D1353"/>
    <mergeCell ref="B1354:D1354"/>
    <mergeCell ref="B1355:D1355"/>
    <mergeCell ref="B1356:D1356"/>
    <mergeCell ref="B1357:D1357"/>
    <mergeCell ref="B1358:D1358"/>
    <mergeCell ref="B1359:D1359"/>
    <mergeCell ref="B1360:D1360"/>
    <mergeCell ref="B1361:D1361"/>
    <mergeCell ref="B1328:D1328"/>
    <mergeCell ref="B1329:D1329"/>
    <mergeCell ref="B1330:D1330"/>
    <mergeCell ref="B1331:D1331"/>
    <mergeCell ref="B1332:D1332"/>
    <mergeCell ref="B1333:D1333"/>
    <mergeCell ref="B1334:D1334"/>
    <mergeCell ref="B1335:D1335"/>
    <mergeCell ref="B1336:D1336"/>
    <mergeCell ref="B1337:D1337"/>
    <mergeCell ref="B1338:D1338"/>
    <mergeCell ref="B1339:D1339"/>
    <mergeCell ref="B1340:D1340"/>
    <mergeCell ref="B1341:D1341"/>
    <mergeCell ref="B1342:D1342"/>
    <mergeCell ref="B1343:D1343"/>
    <mergeCell ref="B1344:D1344"/>
    <mergeCell ref="B1311:D1311"/>
    <mergeCell ref="B1312:D1312"/>
    <mergeCell ref="B1313:D1313"/>
    <mergeCell ref="B1314:D1314"/>
    <mergeCell ref="B1315:D1315"/>
    <mergeCell ref="B1316:D1316"/>
    <mergeCell ref="B1317:D1317"/>
    <mergeCell ref="B1318:D1318"/>
    <mergeCell ref="B1319:D1319"/>
    <mergeCell ref="B1320:D1320"/>
    <mergeCell ref="B1321:D1321"/>
    <mergeCell ref="B1322:D1322"/>
    <mergeCell ref="B1323:D1323"/>
    <mergeCell ref="B1324:D1324"/>
    <mergeCell ref="B1325:D1325"/>
    <mergeCell ref="B1326:D1326"/>
    <mergeCell ref="B1327:D1327"/>
    <mergeCell ref="B1294:D1294"/>
    <mergeCell ref="B1295:D1295"/>
    <mergeCell ref="B1296:D1296"/>
    <mergeCell ref="B1297:D1297"/>
    <mergeCell ref="B1298:D1298"/>
    <mergeCell ref="B1299:D1299"/>
    <mergeCell ref="B1300:D1300"/>
    <mergeCell ref="B1301:D1301"/>
    <mergeCell ref="B1302:D1302"/>
    <mergeCell ref="B1303:D1303"/>
    <mergeCell ref="B1304:D1304"/>
    <mergeCell ref="B1305:D1305"/>
    <mergeCell ref="B1306:D1306"/>
    <mergeCell ref="B1307:D1307"/>
    <mergeCell ref="B1308:D1308"/>
    <mergeCell ref="B1309:D1309"/>
    <mergeCell ref="B1310:D1310"/>
    <mergeCell ref="B1277:D1277"/>
    <mergeCell ref="B1278:D1278"/>
    <mergeCell ref="B1279:D1279"/>
    <mergeCell ref="B1280:D1280"/>
    <mergeCell ref="B1281:D1281"/>
    <mergeCell ref="B1282:D1282"/>
    <mergeCell ref="B1283:D1283"/>
    <mergeCell ref="B1284:D1284"/>
    <mergeCell ref="B1285:D1285"/>
    <mergeCell ref="B1286:D1286"/>
    <mergeCell ref="B1287:D1287"/>
    <mergeCell ref="B1288:D1288"/>
    <mergeCell ref="B1289:D1289"/>
    <mergeCell ref="B1290:D1290"/>
    <mergeCell ref="B1291:D1291"/>
    <mergeCell ref="B1292:D1292"/>
    <mergeCell ref="B1293:D1293"/>
    <mergeCell ref="B1260:D1260"/>
    <mergeCell ref="B1261:D1261"/>
    <mergeCell ref="B1262:D1262"/>
    <mergeCell ref="B1263:D1263"/>
    <mergeCell ref="B1264:D1264"/>
    <mergeCell ref="B1265:D1265"/>
    <mergeCell ref="B1266:D1266"/>
    <mergeCell ref="B1267:D1267"/>
    <mergeCell ref="B1268:D1268"/>
    <mergeCell ref="B1269:D1269"/>
    <mergeCell ref="B1270:D1270"/>
    <mergeCell ref="B1271:D1271"/>
    <mergeCell ref="B1272:D1272"/>
    <mergeCell ref="B1273:D1273"/>
    <mergeCell ref="B1274:D1274"/>
    <mergeCell ref="B1275:D1275"/>
    <mergeCell ref="B1276:D1276"/>
    <mergeCell ref="B1243:D1243"/>
    <mergeCell ref="B1244:D1244"/>
    <mergeCell ref="B1245:D1245"/>
    <mergeCell ref="B1246:D1246"/>
    <mergeCell ref="B1247:D1247"/>
    <mergeCell ref="B1248:D1248"/>
    <mergeCell ref="B1249:D1249"/>
    <mergeCell ref="B1250:D1250"/>
    <mergeCell ref="B1251:D1251"/>
    <mergeCell ref="B1252:D1252"/>
    <mergeCell ref="B1253:D1253"/>
    <mergeCell ref="B1254:D1254"/>
    <mergeCell ref="B1255:D1255"/>
    <mergeCell ref="B1256:D1256"/>
    <mergeCell ref="B1257:D1257"/>
    <mergeCell ref="B1258:D1258"/>
    <mergeCell ref="B1259:D1259"/>
    <mergeCell ref="B1226:D1226"/>
    <mergeCell ref="B1227:D1227"/>
    <mergeCell ref="B1228:D1228"/>
    <mergeCell ref="B1229:D1229"/>
    <mergeCell ref="B1230:D1230"/>
    <mergeCell ref="B1231:D1231"/>
    <mergeCell ref="B1232:D1232"/>
    <mergeCell ref="B1233:D1233"/>
    <mergeCell ref="B1234:D1234"/>
    <mergeCell ref="B1235:D1235"/>
    <mergeCell ref="B1236:D1236"/>
    <mergeCell ref="B1237:D1237"/>
    <mergeCell ref="B1238:D1238"/>
    <mergeCell ref="B1239:D1239"/>
    <mergeCell ref="B1240:D1240"/>
    <mergeCell ref="B1241:D1241"/>
    <mergeCell ref="B1242:D1242"/>
    <mergeCell ref="B1209:D1209"/>
    <mergeCell ref="B1210:D1210"/>
    <mergeCell ref="B1211:D1211"/>
    <mergeCell ref="B1212:D1212"/>
    <mergeCell ref="B1213:D1213"/>
    <mergeCell ref="B1214:D1214"/>
    <mergeCell ref="B1215:D1215"/>
    <mergeCell ref="B1216:D1216"/>
    <mergeCell ref="B1217:D1217"/>
    <mergeCell ref="B1218:D1218"/>
    <mergeCell ref="B1219:D1219"/>
    <mergeCell ref="B1220:D1220"/>
    <mergeCell ref="B1221:D1221"/>
    <mergeCell ref="B1222:D1222"/>
    <mergeCell ref="B1223:D1223"/>
    <mergeCell ref="B1224:D1224"/>
    <mergeCell ref="B1225:D1225"/>
    <mergeCell ref="B1192:D1192"/>
    <mergeCell ref="B1193:D1193"/>
    <mergeCell ref="B1194:D1194"/>
    <mergeCell ref="B1195:D1195"/>
    <mergeCell ref="B1196:D1196"/>
    <mergeCell ref="B1197:D1197"/>
    <mergeCell ref="B1198:D1198"/>
    <mergeCell ref="B1199:D1199"/>
    <mergeCell ref="B1200:D1200"/>
    <mergeCell ref="B1201:D1201"/>
    <mergeCell ref="B1202:D1202"/>
    <mergeCell ref="B1203:D1203"/>
    <mergeCell ref="B1204:D1204"/>
    <mergeCell ref="B1205:D1205"/>
    <mergeCell ref="B1206:D1206"/>
    <mergeCell ref="B1207:D1207"/>
    <mergeCell ref="B1208:D1208"/>
    <mergeCell ref="B1175:D1175"/>
    <mergeCell ref="B1176:D1176"/>
    <mergeCell ref="B1177:D1177"/>
    <mergeCell ref="B1178:D1178"/>
    <mergeCell ref="B1179:D1179"/>
    <mergeCell ref="B1180:D1180"/>
    <mergeCell ref="B1181:D1181"/>
    <mergeCell ref="B1182:D1182"/>
    <mergeCell ref="B1183:D1183"/>
    <mergeCell ref="B1184:D1184"/>
    <mergeCell ref="B1185:D1185"/>
    <mergeCell ref="B1186:D1186"/>
    <mergeCell ref="B1187:D1187"/>
    <mergeCell ref="B1188:D1188"/>
    <mergeCell ref="B1189:D1189"/>
    <mergeCell ref="B1190:D1190"/>
    <mergeCell ref="B1191:D1191"/>
    <mergeCell ref="B1158:D1158"/>
    <mergeCell ref="B1159:D1159"/>
    <mergeCell ref="B1160:D1160"/>
    <mergeCell ref="B1161:D1161"/>
    <mergeCell ref="B1162:D1162"/>
    <mergeCell ref="B1163:D1163"/>
    <mergeCell ref="B1164:D1164"/>
    <mergeCell ref="B1165:D1165"/>
    <mergeCell ref="B1166:D1166"/>
    <mergeCell ref="B1167:D1167"/>
    <mergeCell ref="B1168:D1168"/>
    <mergeCell ref="B1169:D1169"/>
    <mergeCell ref="B1170:D1170"/>
    <mergeCell ref="B1171:D1171"/>
    <mergeCell ref="B1172:D1172"/>
    <mergeCell ref="B1173:D1173"/>
    <mergeCell ref="B1174:D1174"/>
    <mergeCell ref="B1141:D1141"/>
    <mergeCell ref="B1142:D1142"/>
    <mergeCell ref="B1143:D1143"/>
    <mergeCell ref="B1144:D1144"/>
    <mergeCell ref="B1145:D1145"/>
    <mergeCell ref="B1146:D1146"/>
    <mergeCell ref="B1147:D1147"/>
    <mergeCell ref="B1148:D1148"/>
    <mergeCell ref="B1149:D1149"/>
    <mergeCell ref="B1150:D1150"/>
    <mergeCell ref="B1151:D1151"/>
    <mergeCell ref="B1152:D1152"/>
    <mergeCell ref="B1153:D1153"/>
    <mergeCell ref="B1154:D1154"/>
    <mergeCell ref="B1155:D1155"/>
    <mergeCell ref="B1156:D1156"/>
    <mergeCell ref="B1157:D1157"/>
    <mergeCell ref="B1124:D1124"/>
    <mergeCell ref="B1125:D1125"/>
    <mergeCell ref="B1126:D1126"/>
    <mergeCell ref="B1127:D1127"/>
    <mergeCell ref="B1128:D1128"/>
    <mergeCell ref="B1129:D1129"/>
    <mergeCell ref="B1130:D1130"/>
    <mergeCell ref="B1131:D1131"/>
    <mergeCell ref="B1132:D1132"/>
    <mergeCell ref="B1133:D1133"/>
    <mergeCell ref="B1134:D1134"/>
    <mergeCell ref="B1135:D1135"/>
    <mergeCell ref="B1136:D1136"/>
    <mergeCell ref="B1137:D1137"/>
    <mergeCell ref="B1138:D1138"/>
    <mergeCell ref="B1139:D1139"/>
    <mergeCell ref="B1140:D1140"/>
    <mergeCell ref="B1107:D1107"/>
    <mergeCell ref="B1108:D1108"/>
    <mergeCell ref="B1109:D1109"/>
    <mergeCell ref="B1110:D1110"/>
    <mergeCell ref="B1111:D1111"/>
    <mergeCell ref="B1112:D1112"/>
    <mergeCell ref="B1113:D1113"/>
    <mergeCell ref="B1114:D1114"/>
    <mergeCell ref="B1115:D1115"/>
    <mergeCell ref="B1116:D1116"/>
    <mergeCell ref="B1117:D1117"/>
    <mergeCell ref="B1118:D1118"/>
    <mergeCell ref="B1119:D1119"/>
    <mergeCell ref="B1120:D1120"/>
    <mergeCell ref="B1121:D1121"/>
    <mergeCell ref="B1122:D1122"/>
    <mergeCell ref="B1123:D1123"/>
    <mergeCell ref="B1090:D1090"/>
    <mergeCell ref="B1091:D1091"/>
    <mergeCell ref="B1092:D1092"/>
    <mergeCell ref="B1093:D1093"/>
    <mergeCell ref="B1094:D1094"/>
    <mergeCell ref="B1095:D1095"/>
    <mergeCell ref="B1096:D1096"/>
    <mergeCell ref="B1097:D1097"/>
    <mergeCell ref="B1098:D1098"/>
    <mergeCell ref="B1099:D1099"/>
    <mergeCell ref="B1100:D1100"/>
    <mergeCell ref="B1101:D1101"/>
    <mergeCell ref="B1102:D1102"/>
    <mergeCell ref="B1103:D1103"/>
    <mergeCell ref="B1104:D1104"/>
    <mergeCell ref="B1105:D1105"/>
    <mergeCell ref="B1106:D1106"/>
    <mergeCell ref="B1073:D1073"/>
    <mergeCell ref="B1074:D1074"/>
    <mergeCell ref="B1075:D1075"/>
    <mergeCell ref="B1076:D1076"/>
    <mergeCell ref="B1077:D1077"/>
    <mergeCell ref="B1078:D1078"/>
    <mergeCell ref="B1079:D1079"/>
    <mergeCell ref="B1080:D1080"/>
    <mergeCell ref="B1081:D1081"/>
    <mergeCell ref="B1082:D1082"/>
    <mergeCell ref="B1083:D1083"/>
    <mergeCell ref="B1084:D1084"/>
    <mergeCell ref="B1085:D1085"/>
    <mergeCell ref="B1086:D1086"/>
    <mergeCell ref="B1087:D1087"/>
    <mergeCell ref="B1088:D1088"/>
    <mergeCell ref="B1089:D1089"/>
    <mergeCell ref="B1056:D1056"/>
    <mergeCell ref="B1057:D1057"/>
    <mergeCell ref="B1058:D1058"/>
    <mergeCell ref="B1059:D1059"/>
    <mergeCell ref="B1060:D1060"/>
    <mergeCell ref="B1061:D1061"/>
    <mergeCell ref="B1062:D1062"/>
    <mergeCell ref="B1063:D1063"/>
    <mergeCell ref="B1064:D1064"/>
    <mergeCell ref="B1065:D1065"/>
    <mergeCell ref="B1066:D1066"/>
    <mergeCell ref="B1067:D1067"/>
    <mergeCell ref="B1068:D1068"/>
    <mergeCell ref="B1069:D1069"/>
    <mergeCell ref="B1070:D1070"/>
    <mergeCell ref="B1071:D1071"/>
    <mergeCell ref="B1072:D1072"/>
    <mergeCell ref="B1039:D1039"/>
    <mergeCell ref="B1040:D1040"/>
    <mergeCell ref="B1041:D1041"/>
    <mergeCell ref="B1042:D1042"/>
    <mergeCell ref="B1043:D1043"/>
    <mergeCell ref="B1044:D1044"/>
    <mergeCell ref="B1045:D1045"/>
    <mergeCell ref="B1046:D1046"/>
    <mergeCell ref="B1047:D1047"/>
    <mergeCell ref="B1048:D1048"/>
    <mergeCell ref="B1049:D1049"/>
    <mergeCell ref="B1050:D1050"/>
    <mergeCell ref="B1051:D1051"/>
    <mergeCell ref="B1052:D1052"/>
    <mergeCell ref="B1053:D1053"/>
    <mergeCell ref="B1054:D1054"/>
    <mergeCell ref="B1055:D1055"/>
    <mergeCell ref="B1022:D1022"/>
    <mergeCell ref="B1023:D1023"/>
    <mergeCell ref="B1024:D1024"/>
    <mergeCell ref="B1025:D1025"/>
    <mergeCell ref="B1026:D1026"/>
    <mergeCell ref="B1027:D1027"/>
    <mergeCell ref="B1028:D1028"/>
    <mergeCell ref="B1029:D1029"/>
    <mergeCell ref="B1030:D1030"/>
    <mergeCell ref="B1031:D1031"/>
    <mergeCell ref="B1032:D1032"/>
    <mergeCell ref="B1033:D1033"/>
    <mergeCell ref="B1034:D1034"/>
    <mergeCell ref="B1035:D1035"/>
    <mergeCell ref="B1036:D1036"/>
    <mergeCell ref="B1037:D1037"/>
    <mergeCell ref="B1038:D1038"/>
    <mergeCell ref="B1005:D1005"/>
    <mergeCell ref="B1006:D1006"/>
    <mergeCell ref="B1007:D1007"/>
    <mergeCell ref="B1008:D1008"/>
    <mergeCell ref="B1009:D1009"/>
    <mergeCell ref="B1010:D1010"/>
    <mergeCell ref="B1011:D1011"/>
    <mergeCell ref="B1012:D1012"/>
    <mergeCell ref="B1013:D1013"/>
    <mergeCell ref="B1014:D1014"/>
    <mergeCell ref="B1015:D1015"/>
    <mergeCell ref="B1016:D1016"/>
    <mergeCell ref="B1017:D1017"/>
    <mergeCell ref="B1018:D1018"/>
    <mergeCell ref="B1019:D1019"/>
    <mergeCell ref="B1020:D1020"/>
    <mergeCell ref="B1021:D1021"/>
    <mergeCell ref="B988:D988"/>
    <mergeCell ref="B989:D989"/>
    <mergeCell ref="B990:D990"/>
    <mergeCell ref="B991:D991"/>
    <mergeCell ref="B992:D992"/>
    <mergeCell ref="B993:D993"/>
    <mergeCell ref="B994:D994"/>
    <mergeCell ref="B995:D995"/>
    <mergeCell ref="B996:D996"/>
    <mergeCell ref="B997:D997"/>
    <mergeCell ref="B998:D998"/>
    <mergeCell ref="B999:D999"/>
    <mergeCell ref="B1000:D1000"/>
    <mergeCell ref="B1001:D1001"/>
    <mergeCell ref="B1002:D1002"/>
    <mergeCell ref="B1003:D1003"/>
    <mergeCell ref="B1004:D1004"/>
    <mergeCell ref="B971:D971"/>
    <mergeCell ref="B972:D972"/>
    <mergeCell ref="B973:D973"/>
    <mergeCell ref="B974:D974"/>
    <mergeCell ref="B975:D975"/>
    <mergeCell ref="B976:D976"/>
    <mergeCell ref="B977:D977"/>
    <mergeCell ref="B978:D978"/>
    <mergeCell ref="B979:D979"/>
    <mergeCell ref="B980:D980"/>
    <mergeCell ref="B981:D981"/>
    <mergeCell ref="B982:D982"/>
    <mergeCell ref="B983:D983"/>
    <mergeCell ref="B984:D984"/>
    <mergeCell ref="B985:D985"/>
    <mergeCell ref="B986:D986"/>
    <mergeCell ref="B987:D987"/>
    <mergeCell ref="B954:D954"/>
    <mergeCell ref="B955:D955"/>
    <mergeCell ref="B956:D956"/>
    <mergeCell ref="B957:D957"/>
    <mergeCell ref="B958:D958"/>
    <mergeCell ref="B959:D959"/>
    <mergeCell ref="B960:D960"/>
    <mergeCell ref="B961:D961"/>
    <mergeCell ref="B962:D962"/>
    <mergeCell ref="B963:D963"/>
    <mergeCell ref="B964:D964"/>
    <mergeCell ref="B965:D965"/>
    <mergeCell ref="B966:D966"/>
    <mergeCell ref="B967:D967"/>
    <mergeCell ref="B968:D968"/>
    <mergeCell ref="B969:D969"/>
    <mergeCell ref="B970:D970"/>
    <mergeCell ref="B937:D937"/>
    <mergeCell ref="B938:D938"/>
    <mergeCell ref="B939:D939"/>
    <mergeCell ref="B940:D940"/>
    <mergeCell ref="B941:D941"/>
    <mergeCell ref="B942:D942"/>
    <mergeCell ref="B943:D943"/>
    <mergeCell ref="B944:D944"/>
    <mergeCell ref="B945:D945"/>
    <mergeCell ref="B946:D946"/>
    <mergeCell ref="B947:D947"/>
    <mergeCell ref="B948:D948"/>
    <mergeCell ref="B949:D949"/>
    <mergeCell ref="B950:D950"/>
    <mergeCell ref="B951:D951"/>
    <mergeCell ref="B952:D952"/>
    <mergeCell ref="B953:D953"/>
    <mergeCell ref="B920:D920"/>
    <mergeCell ref="B921:D921"/>
    <mergeCell ref="B922:D922"/>
    <mergeCell ref="B923:D923"/>
    <mergeCell ref="B924:D924"/>
    <mergeCell ref="B925:D925"/>
    <mergeCell ref="B926:D926"/>
    <mergeCell ref="B927:D927"/>
    <mergeCell ref="B928:D928"/>
    <mergeCell ref="B929:D929"/>
    <mergeCell ref="B930:D930"/>
    <mergeCell ref="B931:D931"/>
    <mergeCell ref="B932:D932"/>
    <mergeCell ref="B933:D933"/>
    <mergeCell ref="B934:D934"/>
    <mergeCell ref="B935:D935"/>
    <mergeCell ref="B936:D936"/>
    <mergeCell ref="B903:D903"/>
    <mergeCell ref="B904:D904"/>
    <mergeCell ref="B905:D905"/>
    <mergeCell ref="B906:D906"/>
    <mergeCell ref="B907:D907"/>
    <mergeCell ref="B908:D908"/>
    <mergeCell ref="B909:D909"/>
    <mergeCell ref="B910:D910"/>
    <mergeCell ref="B911:D911"/>
    <mergeCell ref="B912:D912"/>
    <mergeCell ref="B913:D913"/>
    <mergeCell ref="B914:D914"/>
    <mergeCell ref="B915:D915"/>
    <mergeCell ref="B916:D916"/>
    <mergeCell ref="B917:D917"/>
    <mergeCell ref="B918:D918"/>
    <mergeCell ref="B919:D919"/>
    <mergeCell ref="B886:D886"/>
    <mergeCell ref="B887:D887"/>
    <mergeCell ref="B888:D888"/>
    <mergeCell ref="B889:D889"/>
    <mergeCell ref="B890:D890"/>
    <mergeCell ref="B891:D891"/>
    <mergeCell ref="B892:D892"/>
    <mergeCell ref="B893:D893"/>
    <mergeCell ref="B894:D894"/>
    <mergeCell ref="B895:D895"/>
    <mergeCell ref="B896:D896"/>
    <mergeCell ref="B897:D897"/>
    <mergeCell ref="B898:D898"/>
    <mergeCell ref="B899:D899"/>
    <mergeCell ref="B900:D900"/>
    <mergeCell ref="B901:D901"/>
    <mergeCell ref="B902:D902"/>
    <mergeCell ref="B869:D869"/>
    <mergeCell ref="B870:D870"/>
    <mergeCell ref="B871:D871"/>
    <mergeCell ref="B872:D872"/>
    <mergeCell ref="B873:D873"/>
    <mergeCell ref="B874:D874"/>
    <mergeCell ref="B875:D875"/>
    <mergeCell ref="B876:D876"/>
    <mergeCell ref="B877:D877"/>
    <mergeCell ref="B878:D878"/>
    <mergeCell ref="B879:D879"/>
    <mergeCell ref="B880:D880"/>
    <mergeCell ref="B881:D881"/>
    <mergeCell ref="B882:D882"/>
    <mergeCell ref="B883:D883"/>
    <mergeCell ref="B884:D884"/>
    <mergeCell ref="B885:D885"/>
    <mergeCell ref="B852:D852"/>
    <mergeCell ref="B853:D853"/>
    <mergeCell ref="B854:D854"/>
    <mergeCell ref="B855:D855"/>
    <mergeCell ref="B856:D856"/>
    <mergeCell ref="B857:D857"/>
    <mergeCell ref="B858:D858"/>
    <mergeCell ref="B859:D859"/>
    <mergeCell ref="B860:D860"/>
    <mergeCell ref="B861:D861"/>
    <mergeCell ref="B862:D862"/>
    <mergeCell ref="B863:D863"/>
    <mergeCell ref="B864:D864"/>
    <mergeCell ref="B865:D865"/>
    <mergeCell ref="B866:D866"/>
    <mergeCell ref="B867:D867"/>
    <mergeCell ref="B868:D868"/>
    <mergeCell ref="B835:D835"/>
    <mergeCell ref="B836:D836"/>
    <mergeCell ref="B837:D837"/>
    <mergeCell ref="B838:D838"/>
    <mergeCell ref="B839:D839"/>
    <mergeCell ref="B840:D840"/>
    <mergeCell ref="B841:D841"/>
    <mergeCell ref="B842:D842"/>
    <mergeCell ref="B843:D843"/>
    <mergeCell ref="B844:D844"/>
    <mergeCell ref="B845:D845"/>
    <mergeCell ref="B846:D846"/>
    <mergeCell ref="B847:D847"/>
    <mergeCell ref="B848:D848"/>
    <mergeCell ref="B849:D849"/>
    <mergeCell ref="B850:D850"/>
    <mergeCell ref="B851:D851"/>
    <mergeCell ref="B818:D818"/>
    <mergeCell ref="B819:D819"/>
    <mergeCell ref="B820:D820"/>
    <mergeCell ref="B821:D821"/>
    <mergeCell ref="B822:D822"/>
    <mergeCell ref="B823:D823"/>
    <mergeCell ref="B824:D824"/>
    <mergeCell ref="B825:D825"/>
    <mergeCell ref="B826:D826"/>
    <mergeCell ref="B827:D827"/>
    <mergeCell ref="B828:D828"/>
    <mergeCell ref="B829:D829"/>
    <mergeCell ref="B830:D830"/>
    <mergeCell ref="B831:D831"/>
    <mergeCell ref="B832:D832"/>
    <mergeCell ref="B833:D833"/>
    <mergeCell ref="B834:D834"/>
    <mergeCell ref="B801:D801"/>
    <mergeCell ref="B802:D802"/>
    <mergeCell ref="B803:D803"/>
    <mergeCell ref="B804:D804"/>
    <mergeCell ref="B805:D805"/>
    <mergeCell ref="B806:D806"/>
    <mergeCell ref="B807:D807"/>
    <mergeCell ref="B808:D808"/>
    <mergeCell ref="B809:D809"/>
    <mergeCell ref="B810:D810"/>
    <mergeCell ref="B811:D811"/>
    <mergeCell ref="B812:D812"/>
    <mergeCell ref="B813:D813"/>
    <mergeCell ref="B814:D814"/>
    <mergeCell ref="B815:D815"/>
    <mergeCell ref="B816:D816"/>
    <mergeCell ref="B817:D817"/>
    <mergeCell ref="B784:D784"/>
    <mergeCell ref="B785:D785"/>
    <mergeCell ref="B786:D786"/>
    <mergeCell ref="B787:D787"/>
    <mergeCell ref="B788:D788"/>
    <mergeCell ref="B789:D789"/>
    <mergeCell ref="B790:D790"/>
    <mergeCell ref="B791:D791"/>
    <mergeCell ref="B792:D792"/>
    <mergeCell ref="B793:D793"/>
    <mergeCell ref="B794:D794"/>
    <mergeCell ref="B795:D795"/>
    <mergeCell ref="B796:D796"/>
    <mergeCell ref="B797:D797"/>
    <mergeCell ref="B798:D798"/>
    <mergeCell ref="B799:D799"/>
    <mergeCell ref="B800:D800"/>
    <mergeCell ref="B767:D767"/>
    <mergeCell ref="B768:D768"/>
    <mergeCell ref="B769:D769"/>
    <mergeCell ref="B770:D770"/>
    <mergeCell ref="B771:D771"/>
    <mergeCell ref="B772:D772"/>
    <mergeCell ref="B773:D773"/>
    <mergeCell ref="B774:D774"/>
    <mergeCell ref="B775:D775"/>
    <mergeCell ref="B776:D776"/>
    <mergeCell ref="B777:D777"/>
    <mergeCell ref="B778:D778"/>
    <mergeCell ref="B779:D779"/>
    <mergeCell ref="B780:D780"/>
    <mergeCell ref="B781:D781"/>
    <mergeCell ref="B782:D782"/>
    <mergeCell ref="B783:D783"/>
    <mergeCell ref="B750:D750"/>
    <mergeCell ref="B751:D751"/>
    <mergeCell ref="B752:D752"/>
    <mergeCell ref="B753:D753"/>
    <mergeCell ref="B754:D754"/>
    <mergeCell ref="B755:D755"/>
    <mergeCell ref="B756:D756"/>
    <mergeCell ref="B757:D757"/>
    <mergeCell ref="B758:D758"/>
    <mergeCell ref="B759:D759"/>
    <mergeCell ref="B760:D760"/>
    <mergeCell ref="B761:D761"/>
    <mergeCell ref="B762:D762"/>
    <mergeCell ref="B763:D763"/>
    <mergeCell ref="B764:D764"/>
    <mergeCell ref="B765:D765"/>
    <mergeCell ref="B766:D766"/>
    <mergeCell ref="B733:D733"/>
    <mergeCell ref="B734:D734"/>
    <mergeCell ref="B735:D735"/>
    <mergeCell ref="B736:D736"/>
    <mergeCell ref="B737:D737"/>
    <mergeCell ref="B738:D738"/>
    <mergeCell ref="B739:D739"/>
    <mergeCell ref="B740:D740"/>
    <mergeCell ref="B741:D741"/>
    <mergeCell ref="B742:D742"/>
    <mergeCell ref="B743:D743"/>
    <mergeCell ref="B744:D744"/>
    <mergeCell ref="B745:D745"/>
    <mergeCell ref="B746:D746"/>
    <mergeCell ref="B747:D747"/>
    <mergeCell ref="B748:D748"/>
    <mergeCell ref="B749:D749"/>
    <mergeCell ref="B716:D716"/>
    <mergeCell ref="B717:D717"/>
    <mergeCell ref="B718:D718"/>
    <mergeCell ref="B719:D719"/>
    <mergeCell ref="B720:D720"/>
    <mergeCell ref="B721:D721"/>
    <mergeCell ref="B722:D722"/>
    <mergeCell ref="B723:D723"/>
    <mergeCell ref="B724:D724"/>
    <mergeCell ref="B725:D725"/>
    <mergeCell ref="B726:D726"/>
    <mergeCell ref="B727:D727"/>
    <mergeCell ref="B728:D728"/>
    <mergeCell ref="B729:D729"/>
    <mergeCell ref="B730:D730"/>
    <mergeCell ref="B731:D731"/>
    <mergeCell ref="B732:D732"/>
    <mergeCell ref="B699:D699"/>
    <mergeCell ref="B700:D700"/>
    <mergeCell ref="B701:D701"/>
    <mergeCell ref="B702:D702"/>
    <mergeCell ref="B703:D703"/>
    <mergeCell ref="B704:D704"/>
    <mergeCell ref="B705:D705"/>
    <mergeCell ref="B706:D706"/>
    <mergeCell ref="B707:D707"/>
    <mergeCell ref="B708:D708"/>
    <mergeCell ref="B709:D709"/>
    <mergeCell ref="B710:D710"/>
    <mergeCell ref="B711:D711"/>
    <mergeCell ref="B712:D712"/>
    <mergeCell ref="B713:D713"/>
    <mergeCell ref="B714:D714"/>
    <mergeCell ref="B715:D715"/>
    <mergeCell ref="B682:D682"/>
    <mergeCell ref="B683:D683"/>
    <mergeCell ref="B684:D684"/>
    <mergeCell ref="B685:D685"/>
    <mergeCell ref="B686:D686"/>
    <mergeCell ref="B687:D687"/>
    <mergeCell ref="B688:D688"/>
    <mergeCell ref="B689:D689"/>
    <mergeCell ref="B690:D690"/>
    <mergeCell ref="B691:D691"/>
    <mergeCell ref="B692:D692"/>
    <mergeCell ref="B693:D693"/>
    <mergeCell ref="B694:D694"/>
    <mergeCell ref="B695:D695"/>
    <mergeCell ref="B696:D696"/>
    <mergeCell ref="B697:D697"/>
    <mergeCell ref="B698:D698"/>
    <mergeCell ref="B665:D665"/>
    <mergeCell ref="B666:D666"/>
    <mergeCell ref="B667:D667"/>
    <mergeCell ref="B668:D668"/>
    <mergeCell ref="B669:D669"/>
    <mergeCell ref="B670:D670"/>
    <mergeCell ref="B671:D671"/>
    <mergeCell ref="B672:D672"/>
    <mergeCell ref="B673:D673"/>
    <mergeCell ref="B674:D674"/>
    <mergeCell ref="B675:D675"/>
    <mergeCell ref="B676:D676"/>
    <mergeCell ref="B677:D677"/>
    <mergeCell ref="B678:D678"/>
    <mergeCell ref="B679:D679"/>
    <mergeCell ref="B680:D680"/>
    <mergeCell ref="B681:D681"/>
    <mergeCell ref="B648:D648"/>
    <mergeCell ref="B649:D649"/>
    <mergeCell ref="B650:D650"/>
    <mergeCell ref="B651:D651"/>
    <mergeCell ref="B652:D652"/>
    <mergeCell ref="B653:D653"/>
    <mergeCell ref="B654:D654"/>
    <mergeCell ref="B655:D655"/>
    <mergeCell ref="B656:D656"/>
    <mergeCell ref="B657:D657"/>
    <mergeCell ref="B658:D658"/>
    <mergeCell ref="B659:D659"/>
    <mergeCell ref="B660:D660"/>
    <mergeCell ref="B661:D661"/>
    <mergeCell ref="B662:D662"/>
    <mergeCell ref="B663:D663"/>
    <mergeCell ref="B664:D664"/>
    <mergeCell ref="B631:D631"/>
    <mergeCell ref="B632:D632"/>
    <mergeCell ref="B633:D633"/>
    <mergeCell ref="B634:D634"/>
    <mergeCell ref="B635:D635"/>
    <mergeCell ref="B636:D636"/>
    <mergeCell ref="B637:D637"/>
    <mergeCell ref="B638:D638"/>
    <mergeCell ref="B639:D639"/>
    <mergeCell ref="B640:D640"/>
    <mergeCell ref="B641:D641"/>
    <mergeCell ref="B642:D642"/>
    <mergeCell ref="B643:D643"/>
    <mergeCell ref="B644:D644"/>
    <mergeCell ref="B645:D645"/>
    <mergeCell ref="B646:D646"/>
    <mergeCell ref="B647:D647"/>
    <mergeCell ref="B33:H33"/>
    <mergeCell ref="B41:B42"/>
    <mergeCell ref="C41:C42"/>
    <mergeCell ref="B35:H35"/>
    <mergeCell ref="B606:D606"/>
    <mergeCell ref="B607:D607"/>
    <mergeCell ref="B608:D608"/>
    <mergeCell ref="B609:D609"/>
    <mergeCell ref="B610:D610"/>
    <mergeCell ref="B611:D611"/>
    <mergeCell ref="B612:D612"/>
    <mergeCell ref="B613:D613"/>
    <mergeCell ref="B614:D614"/>
    <mergeCell ref="B615:D615"/>
    <mergeCell ref="B616:D616"/>
    <mergeCell ref="B617:D617"/>
    <mergeCell ref="B618:D618"/>
    <mergeCell ref="B1622:D1622"/>
    <mergeCell ref="E1610:G1610"/>
    <mergeCell ref="B1615:D1615"/>
    <mergeCell ref="B1611:D1611"/>
    <mergeCell ref="B1625:D1625"/>
    <mergeCell ref="E1622:G1622"/>
    <mergeCell ref="B1623:D1623"/>
    <mergeCell ref="E1623:G1623"/>
    <mergeCell ref="E1625:G1625"/>
    <mergeCell ref="E1617:G1617"/>
    <mergeCell ref="E1611:G1611"/>
    <mergeCell ref="B1624:D1624"/>
    <mergeCell ref="E1624:G1624"/>
    <mergeCell ref="B1614:D1614"/>
    <mergeCell ref="E1614:G1614"/>
    <mergeCell ref="B1613:D1613"/>
    <mergeCell ref="E1613:G1613"/>
    <mergeCell ref="B1617:D1617"/>
    <mergeCell ref="B1620:D1620"/>
    <mergeCell ref="E1620:G1620"/>
    <mergeCell ref="B1612:D1612"/>
    <mergeCell ref="E1612:G1612"/>
    <mergeCell ref="B1621:D1621"/>
    <mergeCell ref="E1621:G1621"/>
    <mergeCell ref="B1616:D1616"/>
    <mergeCell ref="E1616:G1616"/>
    <mergeCell ref="B1618:D1618"/>
    <mergeCell ref="E1618:G1618"/>
    <mergeCell ref="B1619:D1619"/>
    <mergeCell ref="E1619:G1619"/>
    <mergeCell ref="B1610:D1610"/>
    <mergeCell ref="B1609:D1609"/>
    <mergeCell ref="E1609:G1609"/>
    <mergeCell ref="B1608:D1608"/>
    <mergeCell ref="E1608:G1608"/>
    <mergeCell ref="E1605:G1605"/>
    <mergeCell ref="E1604:G1604"/>
    <mergeCell ref="E1598:G1598"/>
    <mergeCell ref="B1602:D1602"/>
    <mergeCell ref="E1597:G1597"/>
    <mergeCell ref="B1597:D1597"/>
    <mergeCell ref="E1602:G1602"/>
    <mergeCell ref="B1599:D1599"/>
    <mergeCell ref="E1601:G1601"/>
    <mergeCell ref="B1605:D1605"/>
    <mergeCell ref="B1600:D1600"/>
    <mergeCell ref="E1600:G1600"/>
    <mergeCell ref="B1592:I1592"/>
    <mergeCell ref="E1599:G1599"/>
    <mergeCell ref="B1603:D1603"/>
    <mergeCell ref="E1603:G1603"/>
    <mergeCell ref="B1606:D1606"/>
    <mergeCell ref="E1606:G1606"/>
    <mergeCell ref="B1604:D1604"/>
    <mergeCell ref="B1607:D1607"/>
    <mergeCell ref="E1607:G1607"/>
    <mergeCell ref="A1588:I1588"/>
    <mergeCell ref="B1571:D1571"/>
    <mergeCell ref="B1586:D1586"/>
    <mergeCell ref="A1575:C1575"/>
    <mergeCell ref="I1594:I1596"/>
    <mergeCell ref="B1585:D1585"/>
    <mergeCell ref="A1595:G1595"/>
    <mergeCell ref="A1596:G1596"/>
    <mergeCell ref="B1583:D1583"/>
    <mergeCell ref="A1589:I1589"/>
    <mergeCell ref="B1584:D1584"/>
    <mergeCell ref="A1594:G1594"/>
    <mergeCell ref="C589:C590"/>
    <mergeCell ref="B1591:I1591"/>
    <mergeCell ref="B1598:D1598"/>
    <mergeCell ref="B1601:D1601"/>
    <mergeCell ref="F589:F590"/>
    <mergeCell ref="A598:C598"/>
    <mergeCell ref="B1590:I1590"/>
    <mergeCell ref="B589:B590"/>
    <mergeCell ref="B619:D619"/>
    <mergeCell ref="B620:D620"/>
    <mergeCell ref="B621:D621"/>
    <mergeCell ref="B622:D622"/>
    <mergeCell ref="B623:D623"/>
    <mergeCell ref="B624:D624"/>
    <mergeCell ref="B625:D625"/>
    <mergeCell ref="B626:D626"/>
    <mergeCell ref="B627:D627"/>
    <mergeCell ref="B628:D628"/>
    <mergeCell ref="B629:D629"/>
    <mergeCell ref="B630:D630"/>
    <mergeCell ref="Y41:Y42"/>
    <mergeCell ref="Y484:Y485"/>
    <mergeCell ref="AC589:AC590"/>
    <mergeCell ref="AA589:AA590"/>
    <mergeCell ref="D484:D485"/>
    <mergeCell ref="D41:D42"/>
    <mergeCell ref="G484:G485"/>
    <mergeCell ref="H41:H42"/>
    <mergeCell ref="AA41:AA42"/>
    <mergeCell ref="AA484:AA485"/>
    <mergeCell ref="I41:I42"/>
    <mergeCell ref="J484:J485"/>
    <mergeCell ref="Z41:Z42"/>
    <mergeCell ref="Z484:Z485"/>
    <mergeCell ref="F41:F42"/>
    <mergeCell ref="L41:L42"/>
    <mergeCell ref="G41:G42"/>
    <mergeCell ref="X41:X42"/>
    <mergeCell ref="G589:G590"/>
    <mergeCell ref="E589:E590"/>
    <mergeCell ref="K589:K590"/>
    <mergeCell ref="AB589:AB590"/>
    <mergeCell ref="Z589:Z590"/>
    <mergeCell ref="H484:H485"/>
    <mergeCell ref="E41:E42"/>
    <mergeCell ref="E484:E485"/>
    <mergeCell ref="I484:I485"/>
    <mergeCell ref="K484:K485"/>
    <mergeCell ref="B24:H24"/>
    <mergeCell ref="B21:I21"/>
    <mergeCell ref="A1:B1"/>
    <mergeCell ref="C1:F1"/>
    <mergeCell ref="A2:B2"/>
    <mergeCell ref="C2:F2"/>
    <mergeCell ref="A3:B3"/>
    <mergeCell ref="A4:B4"/>
    <mergeCell ref="C3:F3"/>
    <mergeCell ref="C4:F4"/>
    <mergeCell ref="A5:B5"/>
    <mergeCell ref="C5:F5"/>
    <mergeCell ref="A6:B6"/>
    <mergeCell ref="C6:F6"/>
    <mergeCell ref="A7:B7"/>
    <mergeCell ref="C7:F7"/>
    <mergeCell ref="C8:F8"/>
    <mergeCell ref="A12:J12"/>
    <mergeCell ref="J13:K13"/>
    <mergeCell ref="A8:B8"/>
    <mergeCell ref="J20:K20"/>
    <mergeCell ref="J19:K19"/>
    <mergeCell ref="B13:I13"/>
    <mergeCell ref="B19:I19"/>
    <mergeCell ref="B20:I20"/>
    <mergeCell ref="L19:M19"/>
    <mergeCell ref="L13:M13"/>
    <mergeCell ref="L21:M21"/>
    <mergeCell ref="J21:K21"/>
    <mergeCell ref="L20:M20"/>
    <mergeCell ref="B14:I14"/>
    <mergeCell ref="J14:K14"/>
    <mergeCell ref="L14:M14"/>
    <mergeCell ref="B15:I15"/>
    <mergeCell ref="J15:K15"/>
    <mergeCell ref="L15:M15"/>
    <mergeCell ref="B16:I16"/>
    <mergeCell ref="J16:K16"/>
    <mergeCell ref="L16:M16"/>
    <mergeCell ref="B17:I17"/>
    <mergeCell ref="J17:K17"/>
    <mergeCell ref="L17:M17"/>
    <mergeCell ref="B18:I18"/>
    <mergeCell ref="J18:K18"/>
    <mergeCell ref="L18:M18"/>
    <mergeCell ref="K1594:K1596"/>
    <mergeCell ref="L1594:L1596"/>
    <mergeCell ref="L1639:L1640"/>
    <mergeCell ref="X484:X485"/>
    <mergeCell ref="K1639:K1640"/>
    <mergeCell ref="L1632:L1633"/>
    <mergeCell ref="M1639:M1640"/>
    <mergeCell ref="M589:M590"/>
    <mergeCell ref="L589:L590"/>
    <mergeCell ref="B34:H34"/>
    <mergeCell ref="J1639:J1640"/>
    <mergeCell ref="J589:J590"/>
    <mergeCell ref="J1594:J1596"/>
    <mergeCell ref="H589:H590"/>
    <mergeCell ref="B484:B485"/>
    <mergeCell ref="F484:F485"/>
    <mergeCell ref="D589:D590"/>
    <mergeCell ref="A599:C599"/>
    <mergeCell ref="A1574:C1574"/>
    <mergeCell ref="A589:A590"/>
    <mergeCell ref="I589:I590"/>
    <mergeCell ref="B1582:D1582"/>
    <mergeCell ref="C484:C485"/>
    <mergeCell ref="A588:D588"/>
    <mergeCell ref="A484:A485"/>
    <mergeCell ref="B1570:D1570"/>
    <mergeCell ref="J1632:J1633"/>
    <mergeCell ref="E1615:G1615"/>
    <mergeCell ref="A41:A42"/>
    <mergeCell ref="K41:K42"/>
    <mergeCell ref="J41:J42"/>
    <mergeCell ref="H1594:H1596"/>
    <mergeCell ref="A1695:A1696"/>
    <mergeCell ref="H1682:H1683"/>
    <mergeCell ref="E1682:E1683"/>
    <mergeCell ref="B1626:D1626"/>
    <mergeCell ref="E1626:G1626"/>
    <mergeCell ref="B1627:D1627"/>
    <mergeCell ref="G1639:G1640"/>
    <mergeCell ref="B1659:I1659"/>
    <mergeCell ref="A1632:D1632"/>
    <mergeCell ref="E1632:E1633"/>
    <mergeCell ref="F1632:F1633"/>
    <mergeCell ref="E1627:G1627"/>
    <mergeCell ref="A1630:I1630"/>
    <mergeCell ref="I1632:I1633"/>
    <mergeCell ref="B1662:I1662"/>
    <mergeCell ref="E1628:G1628"/>
    <mergeCell ref="A1639:D1639"/>
    <mergeCell ref="A1650:F1650"/>
    <mergeCell ref="I1639:I1640"/>
    <mergeCell ref="A1649:F1649"/>
    <mergeCell ref="F1639:F1640"/>
    <mergeCell ref="A1647:E1647"/>
    <mergeCell ref="E1639:E1640"/>
    <mergeCell ref="G1632:G1633"/>
    <mergeCell ref="B1628:D1628"/>
    <mergeCell ref="H1632:H1633"/>
    <mergeCell ref="A1651:F1651"/>
    <mergeCell ref="H1639:H1640"/>
    <mergeCell ref="A1629:I1629"/>
    <mergeCell ref="A1657:I1657"/>
    <mergeCell ref="B1672:I1672"/>
    <mergeCell ref="V1702:W1702"/>
    <mergeCell ref="V1697:W1697"/>
    <mergeCell ref="V1698:W1698"/>
    <mergeCell ref="V1699:W1699"/>
    <mergeCell ref="V1701:W1701"/>
    <mergeCell ref="A1677:B1677"/>
    <mergeCell ref="A1682:A1683"/>
    <mergeCell ref="D1682:D1683"/>
    <mergeCell ref="B1682:B1683"/>
    <mergeCell ref="V1700:W1700"/>
    <mergeCell ref="V1695:W1696"/>
    <mergeCell ref="P1695:P1696"/>
    <mergeCell ref="M1685:N1685"/>
    <mergeCell ref="M1686:N1686"/>
    <mergeCell ref="R1695:R1696"/>
    <mergeCell ref="G1695:N1695"/>
    <mergeCell ref="M1687:N1687"/>
    <mergeCell ref="A1692:G1692"/>
    <mergeCell ref="A1694:H1694"/>
    <mergeCell ref="B1695:B1696"/>
    <mergeCell ref="C1695:C1696"/>
    <mergeCell ref="D1695:D1696"/>
    <mergeCell ref="E1695:E1696"/>
    <mergeCell ref="O1695:O1696"/>
    <mergeCell ref="A1681:E1681"/>
    <mergeCell ref="A1679:G1679"/>
    <mergeCell ref="M1688:N1688"/>
    <mergeCell ref="F1695:F1696"/>
    <mergeCell ref="I1682:I1683"/>
    <mergeCell ref="J1682:J1683"/>
    <mergeCell ref="K1682:K1683"/>
    <mergeCell ref="F1682:F1683"/>
    <mergeCell ref="B25:H25"/>
    <mergeCell ref="B26:H26"/>
    <mergeCell ref="B27:H27"/>
    <mergeCell ref="B28:H28"/>
    <mergeCell ref="B29:H29"/>
    <mergeCell ref="B30:H30"/>
    <mergeCell ref="B31:H31"/>
    <mergeCell ref="B32:H32"/>
    <mergeCell ref="T1695:T1696"/>
    <mergeCell ref="U1695:U1696"/>
    <mergeCell ref="M1682:N1683"/>
    <mergeCell ref="M1684:N1684"/>
    <mergeCell ref="S1695:S1696"/>
    <mergeCell ref="B1660:I1660"/>
    <mergeCell ref="B1661:I1661"/>
    <mergeCell ref="B1664:I1664"/>
    <mergeCell ref="B1663:I1663"/>
    <mergeCell ref="L1682:L1683"/>
    <mergeCell ref="B1667:I1667"/>
    <mergeCell ref="Q1695:Q1696"/>
    <mergeCell ref="M1689:N1689"/>
    <mergeCell ref="B1671:I1671"/>
    <mergeCell ref="C1682:C1683"/>
    <mergeCell ref="B1665:I1665"/>
    <mergeCell ref="B1666:I1666"/>
    <mergeCell ref="B1673:I1673"/>
    <mergeCell ref="B1670:I1670"/>
    <mergeCell ref="B1668:I1668"/>
    <mergeCell ref="B1669:I1669"/>
    <mergeCell ref="G1682:G1683"/>
    <mergeCell ref="K1632:K1633"/>
    <mergeCell ref="M1594:M1596"/>
  </mergeCells>
  <phoneticPr fontId="3" type="noConversion"/>
  <conditionalFormatting sqref="A25:A27">
    <cfRule type="duplicateValues" dxfId="0" priority="1"/>
  </conditionalFormatting>
  <dataValidations count="34">
    <dataValidation type="list" allowBlank="1" showInputMessage="1" showErrorMessage="1" sqref="B1707:B1715" xr:uid="{00000000-0002-0000-0600-000000000000}">
      <formula1>Autom</formula1>
    </dataValidation>
    <dataValidation type="list" showInputMessage="1" showErrorMessage="1" sqref="C1684:C1689 C1697:C1702" xr:uid="{00000000-0002-0000-0600-000001000000}">
      <formula1>IF($B1684="I",DDTARIFFUS,DDTARIFF)</formula1>
    </dataValidation>
    <dataValidation type="list" allowBlank="1" showInputMessage="1" showErrorMessage="1" sqref="B1697:B1702 B1684:B1689" xr:uid="{00000000-0002-0000-0600-000002000000}">
      <formula1>EXPIMP</formula1>
    </dataValidation>
    <dataValidation type="list" allowBlank="1" showInputMessage="1" showErrorMessage="1" sqref="O1697:O1702 F1684:F1689" xr:uid="{00000000-0002-0000-0600-000003000000}">
      <formula1>EQTYPE</formula1>
    </dataValidation>
    <dataValidation type="list" allowBlank="1" showInputMessage="1" showErrorMessage="1" sqref="P1697:P1702 G1684:G1689" xr:uid="{00000000-0002-0000-0600-000004000000}">
      <formula1>OPREEFER</formula1>
    </dataValidation>
    <dataValidation type="list" allowBlank="1" showInputMessage="1" showErrorMessage="1" sqref="F1697:F1702" xr:uid="{00000000-0002-0000-0600-000005000000}">
      <formula1>CURRENCY</formula1>
    </dataValidation>
    <dataValidation type="whole" allowBlank="1" showInputMessage="1" showErrorMessage="1" error="Only whole numbers can be entered into this field" sqref="D1684:D1689 D1697:D1702" xr:uid="{00000000-0002-0000-0600-000006000000}">
      <formula1>1</formula1>
      <formula2>99</formula2>
    </dataValidation>
    <dataValidation type="list" showInputMessage="1" showErrorMessage="1" sqref="E1697:E1702 E1684:E1689" xr:uid="{00000000-0002-0000-0600-000007000000}">
      <formula1>DAYS</formula1>
    </dataValidation>
    <dataValidation type="whole" allowBlank="1" showInputMessage="1" showErrorMessage="1" error="Only whole numbers may be entered into this field_x000a_" sqref="G1697:G1702 M1697:M1702 K1697:K1702 I1697:I1702" xr:uid="{00000000-0002-0000-0600-000008000000}">
      <formula1>1</formula1>
      <formula2>99</formula2>
    </dataValidation>
    <dataValidation type="decimal" allowBlank="1" showInputMessage="1" showErrorMessage="1" error="Only numbers may be entered into this field" sqref="H1697:H1702 N1697:N1702 L1697:L1702 J1697:J1702" xr:uid="{00000000-0002-0000-0600-000009000000}">
      <formula1>1</formula1>
      <formula2>1000000000</formula2>
    </dataValidation>
    <dataValidation type="list" showInputMessage="1" showErrorMessage="1" sqref="K1634:K1637 N1583:N1586 K1641:K1644 A591:A594 A479:A480 N607:N1571 A43:A260 A486:A534 A584:A585" xr:uid="{00000000-0002-0000-0600-00000A000000}">
      <formula1>$A$14:$A$22</formula1>
    </dataValidation>
    <dataValidation type="list" allowBlank="1" showInputMessage="1" showErrorMessage="1" sqref="J1634:J1637 J1641:J1644" xr:uid="{00000000-0002-0000-0600-00000B000000}">
      <formula1>GRIPSS</formula1>
    </dataValidation>
    <dataValidation type="decimal" allowBlank="1" showInputMessage="1" showErrorMessage="1" sqref="F1641:I1644 F1634:I1637 I591:L594 J1583:M1586 I535:K585 I43:L480 I486:L534" xr:uid="{00000000-0002-0000-0600-00000C000000}">
      <formula1>0</formula1>
      <formula2>999999999999999</formula2>
    </dataValidation>
    <dataValidation type="list" allowBlank="1" showInputMessage="1" showErrorMessage="1" sqref="E1634:E1637 E1641:E1644" xr:uid="{00000000-0002-0000-0600-00000D000000}">
      <formula1>GRIPSS_EQ</formula1>
    </dataValidation>
    <dataValidation type="list" showInputMessage="1" showErrorMessage="1" sqref="A1684:A1689 A1697:A1702" xr:uid="{00000000-0002-0000-0600-00000E000000}">
      <formula1>BULLET</formula1>
    </dataValidation>
    <dataValidation type="date" allowBlank="1" showInputMessage="1" showErrorMessage="1" sqref="K1619:K1628 K1597:K1617 J1597:J1618 J1620:J1628 X43:Y480 X486:Y534" xr:uid="{00000000-0002-0000-0600-00000F000000}">
      <formula1>10101</formula1>
      <formula2>311299</formula2>
    </dataValidation>
    <dataValidation type="list" showDropDown="1" showErrorMessage="1" sqref="O1582:P1582 O606" xr:uid="{00000000-0002-0000-0600-000010000000}">
      <formula1>Charges</formula1>
    </dataValidation>
    <dataValidation type="list" allowBlank="1" showInputMessage="1" showErrorMessage="1" sqref="O1583:P1586 O607:O1571" xr:uid="{00000000-0002-0000-0600-000011000000}">
      <formula1 xml:space="preserve"> droppull</formula1>
    </dataValidation>
    <dataValidation type="list" allowBlank="1" showInputMessage="1" showErrorMessage="1" sqref="G1583:G1586 P591:P594 G607:G1571 N535:N585 L535:L585" xr:uid="{00000000-0002-0000-0600-000012000000}">
      <formula1>YesNo</formula1>
    </dataValidation>
    <dataValidation type="list" allowBlank="1" showInputMessage="1" showErrorMessage="1" sqref="M591:M594" xr:uid="{00000000-0002-0000-0600-000013000000}">
      <formula1>Equip</formula1>
    </dataValidation>
    <dataValidation type="list" allowBlank="1" showInputMessage="1" showErrorMessage="1" sqref="F1583:F1586 F607:F1571" xr:uid="{00000000-0002-0000-0600-000014000000}">
      <formula1>ArbMode</formula1>
    </dataValidation>
    <dataValidation type="list" allowBlank="1" showInputMessage="1" showErrorMessage="1" sqref="G591:G594 G43:G480 G486:G585" xr:uid="{00000000-0002-0000-0600-000015000000}">
      <formula1>SDD</formula1>
    </dataValidation>
    <dataValidation type="list" allowBlank="1" showInputMessage="1" showErrorMessage="1" sqref="Q590:Y590 M42:W42" xr:uid="{00000000-0002-0000-0600-000016000000}">
      <formula1>Container</formula1>
    </dataValidation>
    <dataValidation type="list" allowBlank="1" showInputMessage="1" showErrorMessage="1" sqref="O485:W485" xr:uid="{00000000-0002-0000-0600-000017000000}">
      <formula1>Reefer</formula1>
    </dataValidation>
    <dataValidation type="list" allowBlank="1" showInputMessage="1" showErrorMessage="1" sqref="F591:F594 F43:F480 F486:F585" xr:uid="{00000000-0002-0000-0600-000018000000}">
      <formula1>Mode</formula1>
    </dataValidation>
    <dataValidation type="list" allowBlank="1" showInputMessage="1" showErrorMessage="1" sqref="O591:O594 M535:M585" xr:uid="{00000000-0002-0000-0600-000019000000}">
      <formula1>ShipperOwn</formula1>
    </dataValidation>
    <dataValidation type="list" allowBlank="1" showInputMessage="1" showErrorMessage="1" sqref="N591:N594" xr:uid="{00000000-0002-0000-0600-00001A000000}">
      <formula1>OOG</formula1>
    </dataValidation>
    <dataValidation type="list" allowBlank="1" showErrorMessage="1" sqref="M41:W41 O484:W484 Q589:Y589" xr:uid="{00000000-0002-0000-0600-00001B000000}">
      <formula1>Exceptions</formula1>
    </dataValidation>
    <dataValidation type="list" allowBlank="1" showInputMessage="1" showErrorMessage="1" sqref="AC591:AC594 AC43:AC260 AA43:AA480 AA486:AA585 AC486:AC534" xr:uid="{00000000-0002-0000-0600-00001C000000}">
      <formula1>CST</formula1>
    </dataValidation>
    <dataValidation type="list" allowBlank="1" showInputMessage="1" showErrorMessage="1" sqref="I1597:I1628" xr:uid="{00000000-0002-0000-0600-00001D000000}">
      <formula1>$A$14:$A$22</formula1>
    </dataValidation>
    <dataValidation type="list" allowBlank="1" showErrorMessage="1" sqref="A1597:A1628" xr:uid="{17BB2A80-97A3-46E2-974A-D000B2ACE4D4}">
      <formula1>Charges</formula1>
    </dataValidation>
    <dataValidation allowBlank="1" showInputMessage="1" showErrorMessage="1" promptTitle="Acceptable Values:" prompt="- Applicable _x000a_- Not applicable _x000a_- Included_x000a_- Amount and OSPF for cases of fixed per D40 OSPF_x000a_    (example-  &quot;375 OSPF&quot;)" sqref="E1597:G1628" xr:uid="{00000000-0002-0000-0600-00001F000000}"/>
    <dataValidation type="list" allowBlank="1" showInputMessage="1" showErrorMessage="1" errorTitle="Pick up the list" promptTitle="Blank = ALL" sqref="H1597:H1628" xr:uid="{00000000-0002-0000-0600-000020000000}">
      <formula1>Type_note2</formula1>
    </dataValidation>
    <dataValidation type="list" showInputMessage="1" showErrorMessage="1" sqref="A261:A478 A535:A583" xr:uid="{BF62E1A8-152C-488A-920D-93E965DCA328}">
      <formula1>$A$14:$A$23</formula1>
    </dataValidation>
  </dataValidations>
  <pageMargins left="0.25" right="0.25" top="0.25" bottom="0.25" header="0.5" footer="0"/>
  <pageSetup scale="26" fitToHeight="0" orientation="landscape" r:id="rId1"/>
  <headerFooter alignWithMargins="0"/>
  <rowBreaks count="1" manualBreakCount="1">
    <brk id="1592" max="16383"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C119A-8B30-4DA0-BD0A-F06DF53536DB}">
  <sheetPr>
    <pageSetUpPr fitToPage="1"/>
  </sheetPr>
  <dimension ref="A1:BB249"/>
  <sheetViews>
    <sheetView showGridLines="0" zoomScaleNormal="100" zoomScaleSheetLayoutView="75" workbookViewId="0">
      <selection sqref="A1:B1"/>
    </sheetView>
  </sheetViews>
  <sheetFormatPr defaultColWidth="9.109375" defaultRowHeight="13.2" x14ac:dyDescent="0.25"/>
  <cols>
    <col min="1" max="1" width="34.109375" style="20" customWidth="1"/>
    <col min="2" max="2" width="18.5546875" style="20" customWidth="1"/>
    <col min="3" max="3" width="18.44140625" style="20" customWidth="1"/>
    <col min="4" max="4" width="17.44140625" style="20" customWidth="1"/>
    <col min="5" max="5" width="19.44140625" style="20" customWidth="1"/>
    <col min="6" max="6" width="12.109375" style="199" customWidth="1"/>
    <col min="7" max="8" width="17.44140625" style="199" customWidth="1"/>
    <col min="9" max="9" width="17.5546875" style="199" customWidth="1"/>
    <col min="10" max="10" width="17.88671875" style="20" customWidth="1"/>
    <col min="11" max="11" width="16.5546875" style="20" customWidth="1"/>
    <col min="12" max="12" width="18.5546875" style="20" customWidth="1"/>
    <col min="13" max="13" width="19.109375" style="20" customWidth="1"/>
    <col min="14" max="14" width="17.5546875" style="20" customWidth="1"/>
    <col min="15" max="16" width="16.5546875" style="20" customWidth="1"/>
    <col min="17" max="17" width="17.5546875" style="20" customWidth="1"/>
    <col min="18" max="18" width="15.88671875" style="20" customWidth="1"/>
    <col min="19" max="21" width="16.5546875" style="20" customWidth="1"/>
    <col min="22" max="22" width="17.5546875" style="20" customWidth="1"/>
    <col min="23" max="23" width="18" style="20" customWidth="1"/>
    <col min="24" max="24" width="23.109375" style="20" customWidth="1"/>
    <col min="25" max="25" width="24.88671875" style="20" customWidth="1"/>
    <col min="26" max="26" width="9.5546875" style="20" customWidth="1"/>
    <col min="27" max="27" width="14.109375" style="20" customWidth="1"/>
    <col min="28" max="28" width="9.5546875" style="20" customWidth="1"/>
    <col min="29" max="29" width="14.109375" style="20" customWidth="1"/>
    <col min="30" max="16384" width="9.109375" style="20"/>
  </cols>
  <sheetData>
    <row r="1" spans="1:54" x14ac:dyDescent="0.25">
      <c r="A1" s="547" t="s">
        <v>455</v>
      </c>
      <c r="B1" s="548"/>
      <c r="C1" s="549" t="str">
        <f>Cover!B1</f>
        <v>25-3117</v>
      </c>
      <c r="D1" s="550"/>
      <c r="E1" s="550"/>
      <c r="F1" s="551"/>
      <c r="G1" s="20"/>
      <c r="H1" s="20"/>
      <c r="I1" s="20"/>
    </row>
    <row r="2" spans="1:54" x14ac:dyDescent="0.25">
      <c r="A2" s="552" t="s">
        <v>1024</v>
      </c>
      <c r="B2" s="553"/>
      <c r="C2" s="554"/>
      <c r="D2" s="418"/>
      <c r="E2" s="418"/>
      <c r="F2" s="555"/>
      <c r="G2" s="20"/>
      <c r="H2" s="20"/>
      <c r="I2" s="20"/>
    </row>
    <row r="3" spans="1:54" x14ac:dyDescent="0.25">
      <c r="A3" s="552" t="s">
        <v>466</v>
      </c>
      <c r="B3" s="553"/>
      <c r="C3" s="558">
        <f>Cover!B2</f>
        <v>58</v>
      </c>
      <c r="D3" s="559"/>
      <c r="E3" s="559"/>
      <c r="F3" s="560"/>
      <c r="G3" s="20"/>
      <c r="H3" s="20"/>
      <c r="I3" s="20"/>
    </row>
    <row r="4" spans="1:54" ht="13.35" customHeight="1" x14ac:dyDescent="0.25">
      <c r="A4" s="552" t="s">
        <v>1019</v>
      </c>
      <c r="B4" s="553"/>
      <c r="C4" s="561" t="str">
        <f>Cover!B7</f>
        <v>LOGISTIQUE PRIME FREIGHT INC</v>
      </c>
      <c r="D4" s="562"/>
      <c r="E4" s="562"/>
      <c r="F4" s="563"/>
      <c r="G4" s="20"/>
      <c r="H4" s="20"/>
      <c r="I4" s="20"/>
    </row>
    <row r="5" spans="1:54" x14ac:dyDescent="0.25">
      <c r="A5" s="552" t="s">
        <v>472</v>
      </c>
      <c r="B5" s="553"/>
      <c r="C5" s="554" t="s">
        <v>508</v>
      </c>
      <c r="D5" s="418"/>
      <c r="E5" s="418"/>
      <c r="F5" s="555"/>
      <c r="G5" s="20"/>
      <c r="H5" s="20"/>
      <c r="I5" s="20"/>
    </row>
    <row r="6" spans="1:54" ht="15.75" customHeight="1" x14ac:dyDescent="0.25">
      <c r="A6" s="552" t="s">
        <v>456</v>
      </c>
      <c r="B6" s="553"/>
      <c r="C6" s="554" t="s">
        <v>506</v>
      </c>
      <c r="D6" s="418"/>
      <c r="E6" s="418"/>
      <c r="F6" s="555"/>
      <c r="G6" s="20"/>
      <c r="H6" s="20"/>
      <c r="I6" s="20"/>
    </row>
    <row r="7" spans="1:54" ht="15.75" customHeight="1" x14ac:dyDescent="0.25">
      <c r="A7" s="552" t="s">
        <v>544</v>
      </c>
      <c r="B7" s="553"/>
      <c r="C7" s="554" t="s">
        <v>178</v>
      </c>
      <c r="D7" s="418"/>
      <c r="E7" s="418"/>
      <c r="F7" s="555"/>
      <c r="G7" s="20"/>
      <c r="H7" s="20"/>
      <c r="I7" s="20"/>
    </row>
    <row r="8" spans="1:54" ht="2.25" customHeight="1" thickBot="1" x14ac:dyDescent="0.3">
      <c r="A8" s="556"/>
      <c r="B8" s="557"/>
      <c r="C8" s="564"/>
      <c r="D8" s="565"/>
      <c r="E8" s="565"/>
      <c r="F8" s="566"/>
      <c r="G8" s="20"/>
      <c r="H8" s="20"/>
      <c r="I8" s="20"/>
    </row>
    <row r="9" spans="1:54" x14ac:dyDescent="0.25">
      <c r="A9" s="138">
        <v>43</v>
      </c>
      <c r="B9" s="138" t="s">
        <v>546</v>
      </c>
      <c r="D9" s="139"/>
      <c r="E9" s="139"/>
      <c r="F9" s="140"/>
      <c r="G9" s="20"/>
      <c r="H9" s="20"/>
      <c r="I9" s="20"/>
    </row>
    <row r="10" spans="1:54" ht="13.8" thickBot="1" x14ac:dyDescent="0.3">
      <c r="A10" s="141"/>
      <c r="D10" s="139"/>
      <c r="E10" s="139"/>
      <c r="F10" s="140"/>
      <c r="G10" s="142"/>
      <c r="H10" s="139"/>
      <c r="I10" s="139"/>
      <c r="J10" s="139"/>
    </row>
    <row r="11" spans="1:54" ht="13.8" thickBot="1" x14ac:dyDescent="0.3">
      <c r="A11" s="143" t="s">
        <v>545</v>
      </c>
      <c r="B11" s="144"/>
      <c r="D11" s="139"/>
      <c r="E11" s="139"/>
      <c r="F11" s="140"/>
      <c r="G11" s="142"/>
      <c r="H11" s="139"/>
      <c r="I11" s="139"/>
      <c r="J11" s="139"/>
    </row>
    <row r="12" spans="1:54" s="145" customFormat="1" ht="13.8" thickBot="1" x14ac:dyDescent="0.3">
      <c r="A12" s="567" t="s">
        <v>547</v>
      </c>
      <c r="B12" s="568"/>
      <c r="C12" s="568"/>
      <c r="D12" s="568"/>
      <c r="E12" s="568"/>
      <c r="F12" s="568"/>
      <c r="G12" s="568"/>
      <c r="H12" s="568"/>
      <c r="I12" s="568"/>
      <c r="J12" s="569"/>
    </row>
    <row r="13" spans="1:54" ht="17.25" customHeight="1" x14ac:dyDescent="0.25">
      <c r="A13" s="146" t="s">
        <v>548</v>
      </c>
      <c r="B13" s="539" t="s">
        <v>549</v>
      </c>
      <c r="C13" s="539"/>
      <c r="D13" s="539"/>
      <c r="E13" s="539"/>
      <c r="F13" s="539"/>
      <c r="G13" s="539"/>
      <c r="H13" s="539"/>
      <c r="I13" s="539"/>
      <c r="J13" s="521" t="s">
        <v>553</v>
      </c>
      <c r="K13" s="522"/>
      <c r="L13" s="535" t="s">
        <v>554</v>
      </c>
      <c r="M13" s="536"/>
      <c r="N13" s="138" t="s">
        <v>4</v>
      </c>
    </row>
    <row r="14" spans="1:54" s="335" customFormat="1" x14ac:dyDescent="0.25">
      <c r="A14" s="358" t="s">
        <v>1683</v>
      </c>
      <c r="B14" s="661" t="s">
        <v>454</v>
      </c>
      <c r="C14" s="662"/>
      <c r="D14" s="662"/>
      <c r="E14" s="662"/>
      <c r="F14" s="662"/>
      <c r="G14" s="662"/>
      <c r="H14" s="662"/>
      <c r="I14" s="663"/>
      <c r="J14" s="524"/>
      <c r="K14" s="514"/>
      <c r="L14" s="524"/>
      <c r="M14" s="647"/>
      <c r="N14" s="356" t="str">
        <f>IF($A14&gt;0,$A14,"")</f>
        <v>FAK BD</v>
      </c>
    </row>
    <row r="15" spans="1:54" s="357" customFormat="1" x14ac:dyDescent="0.25">
      <c r="A15" s="358"/>
      <c r="B15" s="534"/>
      <c r="C15" s="534"/>
      <c r="D15" s="534"/>
      <c r="E15" s="534"/>
      <c r="F15" s="534"/>
      <c r="G15" s="534"/>
      <c r="H15" s="534"/>
      <c r="I15" s="534"/>
      <c r="J15" s="524"/>
      <c r="K15" s="514"/>
      <c r="L15" s="524"/>
      <c r="M15" s="530"/>
      <c r="N15" s="356" t="str">
        <f>IF($A15&gt;0,$A15,"")</f>
        <v/>
      </c>
      <c r="BB15" s="335"/>
    </row>
    <row r="16" spans="1:54" s="357" customFormat="1" x14ac:dyDescent="0.25">
      <c r="A16" s="358"/>
      <c r="B16" s="534"/>
      <c r="C16" s="534"/>
      <c r="D16" s="534"/>
      <c r="E16" s="534"/>
      <c r="F16" s="534"/>
      <c r="G16" s="534"/>
      <c r="H16" s="534"/>
      <c r="I16" s="534"/>
      <c r="J16" s="524"/>
      <c r="K16" s="514"/>
      <c r="L16" s="524"/>
      <c r="M16" s="530"/>
      <c r="N16" s="356" t="str">
        <f>IF($A16&gt;0,$A16,"")</f>
        <v/>
      </c>
      <c r="BB16" s="335"/>
    </row>
    <row r="17" spans="1:54" s="357" customFormat="1" ht="13.8" thickBot="1" x14ac:dyDescent="0.3">
      <c r="A17" s="359"/>
      <c r="B17" s="523"/>
      <c r="C17" s="523"/>
      <c r="D17" s="523"/>
      <c r="E17" s="523"/>
      <c r="F17" s="523"/>
      <c r="G17" s="523"/>
      <c r="H17" s="523"/>
      <c r="I17" s="523"/>
      <c r="J17" s="540"/>
      <c r="K17" s="519"/>
      <c r="L17" s="537"/>
      <c r="M17" s="538"/>
      <c r="N17" s="356" t="str">
        <f>IF($A17&gt;0,$A17,"")</f>
        <v/>
      </c>
      <c r="BB17" s="335"/>
    </row>
    <row r="18" spans="1:54" s="151" customFormat="1" ht="13.8" thickBot="1" x14ac:dyDescent="0.3">
      <c r="A18" s="139"/>
      <c r="B18" s="20"/>
      <c r="C18" s="20"/>
      <c r="D18" s="139"/>
      <c r="E18" s="139"/>
      <c r="F18" s="140"/>
      <c r="G18" s="140"/>
      <c r="H18" s="360"/>
      <c r="I18" s="361"/>
      <c r="J18" s="361"/>
      <c r="K18" s="20"/>
      <c r="L18" s="20"/>
      <c r="N18" s="356" t="str">
        <f>IF($A18&gt;0,$A18,"")</f>
        <v/>
      </c>
      <c r="O18" s="149"/>
      <c r="P18" s="149"/>
      <c r="Q18" s="149"/>
      <c r="BB18" s="335"/>
    </row>
    <row r="19" spans="1:54" s="151" customFormat="1" ht="13.8" thickBot="1" x14ac:dyDescent="0.3">
      <c r="A19" s="143" t="s">
        <v>396</v>
      </c>
      <c r="B19" s="152"/>
      <c r="I19" s="150"/>
      <c r="J19" s="150"/>
      <c r="K19" s="149"/>
      <c r="L19" s="149"/>
      <c r="M19" s="149"/>
      <c r="N19" s="149"/>
      <c r="O19" s="149"/>
      <c r="P19" s="149"/>
      <c r="Q19" s="149"/>
    </row>
    <row r="20" spans="1:54" s="151" customFormat="1" x14ac:dyDescent="0.25">
      <c r="A20" s="153" t="s">
        <v>396</v>
      </c>
      <c r="B20" s="512" t="s">
        <v>549</v>
      </c>
      <c r="C20" s="512"/>
      <c r="D20" s="512"/>
      <c r="E20" s="512"/>
      <c r="F20" s="512"/>
      <c r="G20" s="512"/>
      <c r="H20" s="513"/>
      <c r="I20" s="150"/>
      <c r="J20" s="150"/>
      <c r="K20" s="149"/>
      <c r="L20" s="149"/>
      <c r="M20" s="149"/>
      <c r="N20" s="149"/>
      <c r="O20" s="149"/>
      <c r="P20" s="149"/>
      <c r="Q20" s="149"/>
    </row>
    <row r="21" spans="1:54" s="58" customFormat="1" ht="15.75" customHeight="1" x14ac:dyDescent="0.25">
      <c r="A21" s="398"/>
      <c r="B21" s="659"/>
      <c r="C21" s="659"/>
      <c r="D21" s="659"/>
      <c r="E21" s="659"/>
      <c r="F21" s="659"/>
      <c r="G21" s="659"/>
      <c r="H21" s="660"/>
      <c r="I21" s="392"/>
      <c r="J21" s="56"/>
      <c r="K21" s="57"/>
      <c r="L21" s="57"/>
      <c r="M21" s="57"/>
      <c r="N21" s="57"/>
      <c r="O21" s="57"/>
      <c r="P21" s="57"/>
      <c r="Q21" s="57"/>
    </row>
    <row r="22" spans="1:54" s="58" customFormat="1" x14ac:dyDescent="0.25">
      <c r="A22" s="702"/>
      <c r="B22" s="659"/>
      <c r="C22" s="659"/>
      <c r="D22" s="659"/>
      <c r="E22" s="659"/>
      <c r="F22" s="659"/>
      <c r="G22" s="659"/>
      <c r="H22" s="660"/>
      <c r="I22" s="56"/>
      <c r="J22" s="56"/>
      <c r="K22" s="57"/>
      <c r="L22" s="57"/>
      <c r="M22" s="57"/>
      <c r="N22" s="57"/>
      <c r="O22" s="57"/>
      <c r="P22" s="57"/>
      <c r="Q22" s="57"/>
    </row>
    <row r="23" spans="1:54" s="58" customFormat="1" x14ac:dyDescent="0.25">
      <c r="A23" s="702"/>
      <c r="B23" s="700"/>
      <c r="C23" s="514"/>
      <c r="D23" s="514"/>
      <c r="E23" s="514"/>
      <c r="F23" s="514"/>
      <c r="G23" s="514"/>
      <c r="H23" s="515"/>
      <c r="I23" s="56"/>
      <c r="J23" s="56"/>
      <c r="K23" s="57"/>
      <c r="L23" s="57"/>
      <c r="M23" s="57"/>
      <c r="N23" s="57"/>
      <c r="O23" s="57"/>
      <c r="P23" s="57"/>
      <c r="Q23" s="57"/>
    </row>
    <row r="24" spans="1:54" s="58" customFormat="1" ht="13.8" thickBot="1" x14ac:dyDescent="0.3">
      <c r="A24" s="709"/>
      <c r="B24" s="710"/>
      <c r="C24" s="519"/>
      <c r="D24" s="519"/>
      <c r="E24" s="519"/>
      <c r="F24" s="519"/>
      <c r="G24" s="519"/>
      <c r="H24" s="520"/>
      <c r="I24" s="56"/>
      <c r="J24" s="56"/>
      <c r="K24" s="57"/>
      <c r="L24" s="57"/>
      <c r="M24" s="57"/>
      <c r="N24" s="57"/>
      <c r="O24" s="57"/>
      <c r="P24" s="57"/>
      <c r="Q24" s="57"/>
    </row>
    <row r="25" spans="1:54" s="151" customFormat="1" ht="13.8" thickBot="1" x14ac:dyDescent="0.3">
      <c r="A25" s="20"/>
      <c r="B25" s="154"/>
      <c r="C25" s="154"/>
      <c r="D25" s="154"/>
      <c r="E25" s="154"/>
      <c r="F25" s="154"/>
      <c r="G25" s="154"/>
      <c r="H25" s="154"/>
      <c r="I25" s="150"/>
      <c r="J25" s="150"/>
      <c r="K25" s="149"/>
      <c r="L25" s="149"/>
      <c r="M25" s="149"/>
      <c r="N25" s="149"/>
      <c r="O25" s="149"/>
      <c r="P25" s="149"/>
      <c r="Q25" s="149"/>
      <c r="R25" s="149"/>
      <c r="S25" s="149"/>
      <c r="T25" s="149"/>
      <c r="U25" s="149"/>
    </row>
    <row r="26" spans="1:54" s="151" customFormat="1" ht="13.8" thickBot="1" x14ac:dyDescent="0.3">
      <c r="A26" s="143" t="s">
        <v>555</v>
      </c>
      <c r="B26" s="144"/>
      <c r="I26" s="150"/>
      <c r="J26" s="150"/>
      <c r="K26" s="149"/>
      <c r="L26" s="149"/>
      <c r="M26" s="149"/>
      <c r="N26" s="149"/>
      <c r="O26" s="149"/>
      <c r="P26" s="149"/>
      <c r="Q26" s="149"/>
      <c r="R26" s="149"/>
      <c r="S26" s="149"/>
      <c r="T26" s="149"/>
      <c r="U26" s="149"/>
    </row>
    <row r="27" spans="1:54" s="151" customFormat="1" x14ac:dyDescent="0.25">
      <c r="A27" s="155" t="s">
        <v>1647</v>
      </c>
      <c r="B27" s="156"/>
      <c r="C27" s="157"/>
      <c r="D27" s="158"/>
      <c r="E27" s="158"/>
      <c r="F27" s="159"/>
      <c r="G27" s="159"/>
      <c r="H27" s="159"/>
      <c r="I27" s="160"/>
      <c r="J27" s="161"/>
      <c r="K27" s="162"/>
      <c r="L27" s="149"/>
      <c r="M27" s="149"/>
      <c r="N27" s="149"/>
      <c r="O27" s="149"/>
      <c r="P27" s="149"/>
      <c r="Q27" s="149"/>
      <c r="R27" s="149"/>
      <c r="S27" s="149"/>
      <c r="T27" s="149"/>
      <c r="U27" s="149"/>
      <c r="V27" s="149"/>
    </row>
    <row r="28" spans="1:54" s="151" customFormat="1" x14ac:dyDescent="0.25">
      <c r="A28" s="163" t="s">
        <v>557</v>
      </c>
      <c r="B28" s="133"/>
      <c r="C28" s="164"/>
      <c r="D28" s="165"/>
      <c r="E28" s="165"/>
      <c r="F28" s="166"/>
      <c r="G28" s="166"/>
      <c r="H28" s="166"/>
      <c r="I28" s="167"/>
      <c r="J28" s="168"/>
      <c r="K28" s="169"/>
      <c r="L28" s="149"/>
      <c r="M28" s="149"/>
      <c r="N28" s="149"/>
      <c r="O28" s="149"/>
      <c r="P28" s="149"/>
      <c r="Q28" s="149"/>
      <c r="R28" s="149"/>
    </row>
    <row r="29" spans="1:54" s="151" customFormat="1" ht="13.8" thickBot="1" x14ac:dyDescent="0.3">
      <c r="A29" s="137" t="s">
        <v>164</v>
      </c>
      <c r="B29" s="170"/>
      <c r="C29" s="171"/>
      <c r="D29" s="172"/>
      <c r="E29" s="172"/>
      <c r="F29" s="173"/>
      <c r="G29" s="173"/>
      <c r="H29" s="173"/>
      <c r="I29" s="174"/>
      <c r="J29" s="175"/>
      <c r="K29" s="176"/>
      <c r="L29" s="149"/>
      <c r="M29" s="149"/>
      <c r="N29" s="149"/>
      <c r="O29" s="149"/>
      <c r="P29" s="149"/>
      <c r="Q29" s="149"/>
      <c r="R29" s="149"/>
      <c r="S29" s="177"/>
      <c r="T29" s="177"/>
      <c r="U29" s="177"/>
      <c r="V29" s="149"/>
      <c r="W29" s="149"/>
      <c r="X29" s="149"/>
    </row>
    <row r="30" spans="1:54" s="181" customFormat="1" ht="32.25" customHeight="1" x14ac:dyDescent="0.25">
      <c r="A30" s="509" t="s">
        <v>558</v>
      </c>
      <c r="B30" s="499" t="s">
        <v>559</v>
      </c>
      <c r="C30" s="499" t="s">
        <v>11</v>
      </c>
      <c r="D30" s="499" t="s">
        <v>12</v>
      </c>
      <c r="E30" s="499" t="s">
        <v>13</v>
      </c>
      <c r="F30" s="499" t="s">
        <v>14</v>
      </c>
      <c r="G30" s="499" t="s">
        <v>15</v>
      </c>
      <c r="H30" s="499" t="s">
        <v>16</v>
      </c>
      <c r="I30" s="499" t="s">
        <v>17</v>
      </c>
      <c r="J30" s="499" t="s">
        <v>18</v>
      </c>
      <c r="K30" s="499" t="s">
        <v>19</v>
      </c>
      <c r="L30" s="499" t="s">
        <v>20</v>
      </c>
      <c r="M30" s="179" t="s">
        <v>85</v>
      </c>
      <c r="N30" s="179" t="s">
        <v>765</v>
      </c>
      <c r="O30" s="179" t="s">
        <v>890</v>
      </c>
      <c r="P30" s="179" t="s">
        <v>221</v>
      </c>
      <c r="Q30" s="179"/>
      <c r="R30" s="179"/>
      <c r="S30" s="179"/>
      <c r="T30" s="179"/>
      <c r="U30" s="179"/>
      <c r="V30" s="179"/>
      <c r="W30" s="179"/>
      <c r="X30" s="499" t="s">
        <v>22</v>
      </c>
      <c r="Y30" s="499" t="s">
        <v>23</v>
      </c>
      <c r="Z30" s="499" t="s">
        <v>24</v>
      </c>
      <c r="AA30" s="497" t="s">
        <v>330</v>
      </c>
    </row>
    <row r="31" spans="1:54" s="181" customFormat="1" ht="13.8" thickBot="1" x14ac:dyDescent="0.3">
      <c r="A31" s="510"/>
      <c r="B31" s="504"/>
      <c r="C31" s="504"/>
      <c r="D31" s="504"/>
      <c r="E31" s="504"/>
      <c r="F31" s="504"/>
      <c r="G31" s="500"/>
      <c r="H31" s="504"/>
      <c r="I31" s="504"/>
      <c r="J31" s="504"/>
      <c r="K31" s="504"/>
      <c r="L31" s="504"/>
      <c r="M31" s="184" t="s">
        <v>82</v>
      </c>
      <c r="N31" s="184" t="s">
        <v>82</v>
      </c>
      <c r="O31" s="184" t="s">
        <v>82</v>
      </c>
      <c r="P31" s="184" t="s">
        <v>82</v>
      </c>
      <c r="Q31" s="184"/>
      <c r="R31" s="184"/>
      <c r="S31" s="184"/>
      <c r="T31" s="184"/>
      <c r="U31" s="184"/>
      <c r="V31" s="184"/>
      <c r="W31" s="184"/>
      <c r="X31" s="504"/>
      <c r="Y31" s="504"/>
      <c r="Z31" s="504"/>
      <c r="AA31" s="498"/>
    </row>
    <row r="32" spans="1:54" s="15" customFormat="1" x14ac:dyDescent="0.25">
      <c r="A32" s="711" t="s">
        <v>1683</v>
      </c>
      <c r="B32" s="712"/>
      <c r="C32" s="713" t="s">
        <v>1684</v>
      </c>
      <c r="D32" s="713" t="s">
        <v>1609</v>
      </c>
      <c r="E32" s="713"/>
      <c r="F32" s="713" t="s">
        <v>51</v>
      </c>
      <c r="G32" s="714" t="s">
        <v>47</v>
      </c>
      <c r="H32" s="713" t="s">
        <v>1366</v>
      </c>
      <c r="I32" s="397">
        <v>3060</v>
      </c>
      <c r="J32" s="397">
        <v>3400</v>
      </c>
      <c r="K32" s="397">
        <v>3400</v>
      </c>
      <c r="L32" s="397">
        <v>4305</v>
      </c>
      <c r="M32" s="714" t="s">
        <v>52</v>
      </c>
      <c r="N32" s="714" t="s">
        <v>52</v>
      </c>
      <c r="O32" s="714" t="s">
        <v>52</v>
      </c>
      <c r="P32" s="714" t="s">
        <v>52</v>
      </c>
      <c r="Q32" s="714"/>
      <c r="R32" s="714"/>
      <c r="S32" s="714"/>
      <c r="T32" s="715"/>
      <c r="U32" s="715"/>
      <c r="V32" s="715"/>
      <c r="W32" s="715"/>
      <c r="X32" s="345"/>
      <c r="Y32" s="345"/>
      <c r="Z32" s="714" t="s">
        <v>1685</v>
      </c>
      <c r="AA32" s="716" t="s">
        <v>389</v>
      </c>
    </row>
    <row r="33" spans="1:27" s="15" customFormat="1" x14ac:dyDescent="0.25">
      <c r="A33" s="711" t="s">
        <v>1683</v>
      </c>
      <c r="B33" s="713"/>
      <c r="C33" s="713" t="s">
        <v>1684</v>
      </c>
      <c r="D33" s="713" t="s">
        <v>1391</v>
      </c>
      <c r="E33" s="713"/>
      <c r="F33" s="713" t="s">
        <v>51</v>
      </c>
      <c r="G33" s="714" t="s">
        <v>47</v>
      </c>
      <c r="H33" s="713" t="s">
        <v>1366</v>
      </c>
      <c r="I33" s="397">
        <v>3060</v>
      </c>
      <c r="J33" s="397">
        <v>3400</v>
      </c>
      <c r="K33" s="397">
        <v>3400</v>
      </c>
      <c r="L33" s="397">
        <v>4305</v>
      </c>
      <c r="M33" s="714" t="s">
        <v>52</v>
      </c>
      <c r="N33" s="714" t="s">
        <v>52</v>
      </c>
      <c r="O33" s="714" t="s">
        <v>52</v>
      </c>
      <c r="P33" s="714" t="s">
        <v>52</v>
      </c>
      <c r="Q33" s="714"/>
      <c r="R33" s="714"/>
      <c r="S33" s="714"/>
      <c r="T33" s="715"/>
      <c r="U33" s="715"/>
      <c r="V33" s="715"/>
      <c r="W33" s="715"/>
      <c r="X33" s="345"/>
      <c r="Y33" s="717"/>
      <c r="Z33" s="714" t="s">
        <v>1685</v>
      </c>
      <c r="AA33" s="716" t="s">
        <v>389</v>
      </c>
    </row>
    <row r="34" spans="1:27" s="15" customFormat="1" x14ac:dyDescent="0.25">
      <c r="A34" s="711" t="s">
        <v>1683</v>
      </c>
      <c r="B34" s="713"/>
      <c r="C34" s="713" t="s">
        <v>1684</v>
      </c>
      <c r="D34" s="713" t="s">
        <v>1608</v>
      </c>
      <c r="E34" s="713"/>
      <c r="F34" s="713" t="s">
        <v>51</v>
      </c>
      <c r="G34" s="714" t="s">
        <v>47</v>
      </c>
      <c r="H34" s="713" t="s">
        <v>1366</v>
      </c>
      <c r="I34" s="397">
        <v>3060</v>
      </c>
      <c r="J34" s="397">
        <v>3400</v>
      </c>
      <c r="K34" s="397">
        <v>3400</v>
      </c>
      <c r="L34" s="397">
        <v>4305</v>
      </c>
      <c r="M34" s="714" t="s">
        <v>52</v>
      </c>
      <c r="N34" s="714" t="s">
        <v>52</v>
      </c>
      <c r="O34" s="714" t="s">
        <v>52</v>
      </c>
      <c r="P34" s="714" t="s">
        <v>52</v>
      </c>
      <c r="Q34" s="714"/>
      <c r="R34" s="714"/>
      <c r="S34" s="714"/>
      <c r="T34" s="715"/>
      <c r="U34" s="715"/>
      <c r="V34" s="715"/>
      <c r="W34" s="715"/>
      <c r="X34" s="345"/>
      <c r="Y34" s="717"/>
      <c r="Z34" s="714" t="s">
        <v>1685</v>
      </c>
      <c r="AA34" s="716" t="s">
        <v>389</v>
      </c>
    </row>
    <row r="35" spans="1:27" s="15" customFormat="1" x14ac:dyDescent="0.25">
      <c r="A35" s="711" t="s">
        <v>1683</v>
      </c>
      <c r="B35" s="713"/>
      <c r="C35" s="713" t="s">
        <v>1684</v>
      </c>
      <c r="D35" s="713" t="s">
        <v>1390</v>
      </c>
      <c r="E35" s="713"/>
      <c r="F35" s="713" t="s">
        <v>51</v>
      </c>
      <c r="G35" s="714" t="s">
        <v>47</v>
      </c>
      <c r="H35" s="713" t="s">
        <v>1366</v>
      </c>
      <c r="I35" s="397">
        <v>3060</v>
      </c>
      <c r="J35" s="397">
        <v>3400</v>
      </c>
      <c r="K35" s="397">
        <v>3400</v>
      </c>
      <c r="L35" s="397">
        <v>4305</v>
      </c>
      <c r="M35" s="714" t="s">
        <v>52</v>
      </c>
      <c r="N35" s="714" t="s">
        <v>52</v>
      </c>
      <c r="O35" s="714" t="s">
        <v>52</v>
      </c>
      <c r="P35" s="714" t="s">
        <v>52</v>
      </c>
      <c r="Q35" s="714"/>
      <c r="R35" s="714"/>
      <c r="S35" s="714"/>
      <c r="T35" s="715"/>
      <c r="U35" s="715"/>
      <c r="V35" s="715"/>
      <c r="W35" s="715"/>
      <c r="X35" s="345"/>
      <c r="Y35" s="717"/>
      <c r="Z35" s="714" t="s">
        <v>1685</v>
      </c>
      <c r="AA35" s="716" t="s">
        <v>389</v>
      </c>
    </row>
    <row r="36" spans="1:27" s="15" customFormat="1" x14ac:dyDescent="0.25">
      <c r="A36" s="711" t="s">
        <v>1683</v>
      </c>
      <c r="B36" s="713"/>
      <c r="C36" s="713" t="s">
        <v>1684</v>
      </c>
      <c r="D36" s="713" t="s">
        <v>1388</v>
      </c>
      <c r="E36" s="713"/>
      <c r="F36" s="713" t="s">
        <v>51</v>
      </c>
      <c r="G36" s="714" t="s">
        <v>47</v>
      </c>
      <c r="H36" s="713" t="s">
        <v>1366</v>
      </c>
      <c r="I36" s="397">
        <v>4905</v>
      </c>
      <c r="J36" s="397">
        <v>5450</v>
      </c>
      <c r="K36" s="397">
        <v>5450</v>
      </c>
      <c r="L36" s="397">
        <v>6900</v>
      </c>
      <c r="M36" s="714" t="s">
        <v>52</v>
      </c>
      <c r="N36" s="714" t="s">
        <v>52</v>
      </c>
      <c r="O36" s="714" t="s">
        <v>52</v>
      </c>
      <c r="P36" s="714" t="s">
        <v>52</v>
      </c>
      <c r="Q36" s="714"/>
      <c r="R36" s="714"/>
      <c r="S36" s="714"/>
      <c r="T36" s="715"/>
      <c r="U36" s="715"/>
      <c r="V36" s="715"/>
      <c r="W36" s="715"/>
      <c r="X36" s="345"/>
      <c r="Y36" s="717"/>
      <c r="Z36" s="714" t="s">
        <v>1685</v>
      </c>
      <c r="AA36" s="716" t="s">
        <v>389</v>
      </c>
    </row>
    <row r="37" spans="1:27" s="15" customFormat="1" x14ac:dyDescent="0.25">
      <c r="A37" s="711" t="s">
        <v>1683</v>
      </c>
      <c r="B37" s="713"/>
      <c r="C37" s="713" t="s">
        <v>1684</v>
      </c>
      <c r="D37" s="713" t="s">
        <v>1608</v>
      </c>
      <c r="E37" s="713" t="s">
        <v>1387</v>
      </c>
      <c r="F37" s="713" t="s">
        <v>53</v>
      </c>
      <c r="G37" s="714" t="s">
        <v>47</v>
      </c>
      <c r="H37" s="713" t="s">
        <v>1366</v>
      </c>
      <c r="I37" s="397">
        <v>4050</v>
      </c>
      <c r="J37" s="397">
        <v>4500</v>
      </c>
      <c r="K37" s="397">
        <v>4500</v>
      </c>
      <c r="L37" s="397">
        <v>5695</v>
      </c>
      <c r="M37" s="714" t="s">
        <v>52</v>
      </c>
      <c r="N37" s="714" t="s">
        <v>52</v>
      </c>
      <c r="O37" s="714" t="s">
        <v>52</v>
      </c>
      <c r="P37" s="714" t="s">
        <v>52</v>
      </c>
      <c r="Q37" s="714"/>
      <c r="R37" s="714"/>
      <c r="S37" s="714"/>
      <c r="T37" s="715"/>
      <c r="U37" s="715"/>
      <c r="V37" s="715"/>
      <c r="W37" s="715"/>
      <c r="X37" s="345"/>
      <c r="Y37" s="717"/>
      <c r="Z37" s="714" t="s">
        <v>1685</v>
      </c>
      <c r="AA37" s="716" t="s">
        <v>389</v>
      </c>
    </row>
    <row r="38" spans="1:27" s="15" customFormat="1" x14ac:dyDescent="0.25">
      <c r="A38" s="711" t="s">
        <v>1683</v>
      </c>
      <c r="B38" s="713"/>
      <c r="C38" s="713" t="s">
        <v>1684</v>
      </c>
      <c r="D38" s="713" t="s">
        <v>1608</v>
      </c>
      <c r="E38" s="713" t="s">
        <v>1389</v>
      </c>
      <c r="F38" s="713" t="s">
        <v>53</v>
      </c>
      <c r="G38" s="714" t="s">
        <v>47</v>
      </c>
      <c r="H38" s="713" t="s">
        <v>1366</v>
      </c>
      <c r="I38" s="397">
        <v>4500</v>
      </c>
      <c r="J38" s="397">
        <v>5000</v>
      </c>
      <c r="K38" s="397">
        <v>5000</v>
      </c>
      <c r="L38" s="397">
        <v>6330</v>
      </c>
      <c r="M38" s="714" t="s">
        <v>52</v>
      </c>
      <c r="N38" s="714" t="s">
        <v>52</v>
      </c>
      <c r="O38" s="714" t="s">
        <v>52</v>
      </c>
      <c r="P38" s="714" t="s">
        <v>52</v>
      </c>
      <c r="Q38" s="714"/>
      <c r="R38" s="714"/>
      <c r="S38" s="714"/>
      <c r="T38" s="715"/>
      <c r="U38" s="715"/>
      <c r="V38" s="715"/>
      <c r="W38" s="715"/>
      <c r="X38" s="345"/>
      <c r="Y38" s="717"/>
      <c r="Z38" s="714" t="s">
        <v>1685</v>
      </c>
      <c r="AA38" s="716" t="s">
        <v>389</v>
      </c>
    </row>
    <row r="39" spans="1:27" s="15" customFormat="1" x14ac:dyDescent="0.25">
      <c r="A39" s="711" t="s">
        <v>1683</v>
      </c>
      <c r="B39" s="713"/>
      <c r="C39" s="713" t="s">
        <v>1684</v>
      </c>
      <c r="D39" s="713" t="s">
        <v>1608</v>
      </c>
      <c r="E39" s="713" t="s">
        <v>1611</v>
      </c>
      <c r="F39" s="713" t="s">
        <v>53</v>
      </c>
      <c r="G39" s="714" t="s">
        <v>47</v>
      </c>
      <c r="H39" s="713" t="s">
        <v>1366</v>
      </c>
      <c r="I39" s="397">
        <v>4140</v>
      </c>
      <c r="J39" s="397">
        <v>4600</v>
      </c>
      <c r="K39" s="397">
        <v>4600</v>
      </c>
      <c r="L39" s="397">
        <v>5825</v>
      </c>
      <c r="M39" s="714" t="s">
        <v>52</v>
      </c>
      <c r="N39" s="714" t="s">
        <v>52</v>
      </c>
      <c r="O39" s="714" t="s">
        <v>52</v>
      </c>
      <c r="P39" s="714" t="s">
        <v>52</v>
      </c>
      <c r="Q39" s="714"/>
      <c r="R39" s="714"/>
      <c r="S39" s="714"/>
      <c r="T39" s="715"/>
      <c r="U39" s="715"/>
      <c r="V39" s="715"/>
      <c r="W39" s="715"/>
      <c r="X39" s="345"/>
      <c r="Y39" s="717"/>
      <c r="Z39" s="714" t="s">
        <v>1685</v>
      </c>
      <c r="AA39" s="716" t="s">
        <v>389</v>
      </c>
    </row>
    <row r="40" spans="1:27" s="15" customFormat="1" x14ac:dyDescent="0.25">
      <c r="A40" s="711" t="s">
        <v>1683</v>
      </c>
      <c r="B40" s="713"/>
      <c r="C40" s="713" t="s">
        <v>1684</v>
      </c>
      <c r="D40" s="713" t="s">
        <v>1609</v>
      </c>
      <c r="E40" s="713" t="s">
        <v>1613</v>
      </c>
      <c r="F40" s="713" t="s">
        <v>53</v>
      </c>
      <c r="G40" s="714" t="s">
        <v>47</v>
      </c>
      <c r="H40" s="713" t="s">
        <v>1366</v>
      </c>
      <c r="I40" s="397">
        <v>4590</v>
      </c>
      <c r="J40" s="397">
        <v>5100</v>
      </c>
      <c r="K40" s="397">
        <v>5100</v>
      </c>
      <c r="L40" s="397">
        <v>6455</v>
      </c>
      <c r="M40" s="714" t="s">
        <v>52</v>
      </c>
      <c r="N40" s="714" t="s">
        <v>52</v>
      </c>
      <c r="O40" s="714" t="s">
        <v>52</v>
      </c>
      <c r="P40" s="714" t="s">
        <v>52</v>
      </c>
      <c r="Q40" s="714"/>
      <c r="R40" s="714"/>
      <c r="S40" s="714"/>
      <c r="T40" s="715"/>
      <c r="U40" s="715"/>
      <c r="V40" s="715"/>
      <c r="W40" s="715"/>
      <c r="X40" s="345"/>
      <c r="Y40" s="717"/>
      <c r="Z40" s="714" t="s">
        <v>1685</v>
      </c>
      <c r="AA40" s="716" t="s">
        <v>389</v>
      </c>
    </row>
    <row r="41" spans="1:27" s="15" customFormat="1" x14ac:dyDescent="0.25">
      <c r="A41" s="711" t="s">
        <v>1683</v>
      </c>
      <c r="B41" s="713"/>
      <c r="C41" s="713" t="s">
        <v>1684</v>
      </c>
      <c r="D41" s="713" t="s">
        <v>1609</v>
      </c>
      <c r="E41" s="713" t="s">
        <v>1612</v>
      </c>
      <c r="F41" s="713" t="s">
        <v>53</v>
      </c>
      <c r="G41" s="714" t="s">
        <v>47</v>
      </c>
      <c r="H41" s="713" t="s">
        <v>1366</v>
      </c>
      <c r="I41" s="397">
        <v>4590</v>
      </c>
      <c r="J41" s="397">
        <v>5100</v>
      </c>
      <c r="K41" s="397">
        <v>5100</v>
      </c>
      <c r="L41" s="397">
        <v>6455</v>
      </c>
      <c r="M41" s="714" t="s">
        <v>52</v>
      </c>
      <c r="N41" s="714" t="s">
        <v>52</v>
      </c>
      <c r="O41" s="714" t="s">
        <v>52</v>
      </c>
      <c r="P41" s="714" t="s">
        <v>52</v>
      </c>
      <c r="Q41" s="714"/>
      <c r="R41" s="714"/>
      <c r="S41" s="714"/>
      <c r="T41" s="715"/>
      <c r="U41" s="715"/>
      <c r="V41" s="715"/>
      <c r="W41" s="715"/>
      <c r="X41" s="345"/>
      <c r="Y41" s="717"/>
      <c r="Z41" s="714" t="s">
        <v>1685</v>
      </c>
      <c r="AA41" s="716" t="s">
        <v>389</v>
      </c>
    </row>
    <row r="42" spans="1:27" s="15" customFormat="1" x14ac:dyDescent="0.25">
      <c r="A42" s="711" t="s">
        <v>1683</v>
      </c>
      <c r="B42" s="713"/>
      <c r="C42" s="713" t="s">
        <v>1684</v>
      </c>
      <c r="D42" s="713" t="s">
        <v>1390</v>
      </c>
      <c r="E42" s="713" t="s">
        <v>1369</v>
      </c>
      <c r="F42" s="713" t="s">
        <v>53</v>
      </c>
      <c r="G42" s="714" t="s">
        <v>47</v>
      </c>
      <c r="H42" s="713" t="s">
        <v>1366</v>
      </c>
      <c r="I42" s="397">
        <v>4860</v>
      </c>
      <c r="J42" s="397">
        <v>5400</v>
      </c>
      <c r="K42" s="397">
        <v>5400</v>
      </c>
      <c r="L42" s="397">
        <v>6835</v>
      </c>
      <c r="M42" s="714" t="s">
        <v>52</v>
      </c>
      <c r="N42" s="714" t="s">
        <v>52</v>
      </c>
      <c r="O42" s="714" t="s">
        <v>52</v>
      </c>
      <c r="P42" s="714" t="s">
        <v>52</v>
      </c>
      <c r="Q42" s="714"/>
      <c r="R42" s="714"/>
      <c r="S42" s="714"/>
      <c r="T42" s="715"/>
      <c r="U42" s="715"/>
      <c r="V42" s="715"/>
      <c r="W42" s="715"/>
      <c r="X42" s="345"/>
      <c r="Y42" s="717"/>
      <c r="Z42" s="714" t="s">
        <v>1685</v>
      </c>
      <c r="AA42" s="716" t="s">
        <v>389</v>
      </c>
    </row>
    <row r="43" spans="1:27" s="15" customFormat="1" x14ac:dyDescent="0.25">
      <c r="A43" s="711" t="s">
        <v>1683</v>
      </c>
      <c r="B43" s="713"/>
      <c r="C43" s="713" t="s">
        <v>1684</v>
      </c>
      <c r="D43" s="713" t="s">
        <v>1391</v>
      </c>
      <c r="E43" s="713" t="s">
        <v>1369</v>
      </c>
      <c r="F43" s="713" t="s">
        <v>53</v>
      </c>
      <c r="G43" s="714" t="s">
        <v>47</v>
      </c>
      <c r="H43" s="713" t="s">
        <v>1366</v>
      </c>
      <c r="I43" s="397">
        <v>4860</v>
      </c>
      <c r="J43" s="397">
        <v>5400</v>
      </c>
      <c r="K43" s="397">
        <v>5400</v>
      </c>
      <c r="L43" s="397">
        <v>6835</v>
      </c>
      <c r="M43" s="714" t="s">
        <v>52</v>
      </c>
      <c r="N43" s="714" t="s">
        <v>52</v>
      </c>
      <c r="O43" s="714" t="s">
        <v>52</v>
      </c>
      <c r="P43" s="714" t="s">
        <v>52</v>
      </c>
      <c r="Q43" s="714"/>
      <c r="R43" s="714"/>
      <c r="S43" s="714"/>
      <c r="T43" s="715"/>
      <c r="U43" s="715"/>
      <c r="V43" s="715"/>
      <c r="W43" s="715"/>
      <c r="X43" s="345"/>
      <c r="Y43" s="717"/>
      <c r="Z43" s="714" t="s">
        <v>1685</v>
      </c>
      <c r="AA43" s="716" t="s">
        <v>389</v>
      </c>
    </row>
    <row r="44" spans="1:27" s="15" customFormat="1" x14ac:dyDescent="0.25">
      <c r="A44" s="711" t="s">
        <v>1683</v>
      </c>
      <c r="B44" s="713"/>
      <c r="C44" s="713" t="s">
        <v>1684</v>
      </c>
      <c r="D44" s="713" t="s">
        <v>1390</v>
      </c>
      <c r="E44" s="713" t="s">
        <v>1370</v>
      </c>
      <c r="F44" s="713" t="s">
        <v>53</v>
      </c>
      <c r="G44" s="714" t="s">
        <v>47</v>
      </c>
      <c r="H44" s="713" t="s">
        <v>1366</v>
      </c>
      <c r="I44" s="397">
        <v>4680</v>
      </c>
      <c r="J44" s="397">
        <v>5200</v>
      </c>
      <c r="K44" s="397">
        <v>5200</v>
      </c>
      <c r="L44" s="397">
        <v>6585</v>
      </c>
      <c r="M44" s="714" t="s">
        <v>52</v>
      </c>
      <c r="N44" s="714" t="s">
        <v>52</v>
      </c>
      <c r="O44" s="714" t="s">
        <v>52</v>
      </c>
      <c r="P44" s="714" t="s">
        <v>52</v>
      </c>
      <c r="Q44" s="714"/>
      <c r="R44" s="714"/>
      <c r="S44" s="714"/>
      <c r="T44" s="715"/>
      <c r="U44" s="715"/>
      <c r="V44" s="715"/>
      <c r="W44" s="715"/>
      <c r="X44" s="345"/>
      <c r="Y44" s="717"/>
      <c r="Z44" s="714" t="s">
        <v>1685</v>
      </c>
      <c r="AA44" s="716" t="s">
        <v>389</v>
      </c>
    </row>
    <row r="45" spans="1:27" s="15" customFormat="1" x14ac:dyDescent="0.25">
      <c r="A45" s="711" t="s">
        <v>1683</v>
      </c>
      <c r="B45" s="713"/>
      <c r="C45" s="713" t="s">
        <v>1684</v>
      </c>
      <c r="D45" s="713" t="s">
        <v>1391</v>
      </c>
      <c r="E45" s="713" t="s">
        <v>1370</v>
      </c>
      <c r="F45" s="713" t="s">
        <v>53</v>
      </c>
      <c r="G45" s="714" t="s">
        <v>47</v>
      </c>
      <c r="H45" s="713" t="s">
        <v>1366</v>
      </c>
      <c r="I45" s="397">
        <v>4680</v>
      </c>
      <c r="J45" s="397">
        <v>5200</v>
      </c>
      <c r="K45" s="397">
        <v>5200</v>
      </c>
      <c r="L45" s="397">
        <v>6585</v>
      </c>
      <c r="M45" s="714" t="s">
        <v>52</v>
      </c>
      <c r="N45" s="714" t="s">
        <v>52</v>
      </c>
      <c r="O45" s="714" t="s">
        <v>52</v>
      </c>
      <c r="P45" s="714" t="s">
        <v>52</v>
      </c>
      <c r="Q45" s="714"/>
      <c r="R45" s="714"/>
      <c r="S45" s="714"/>
      <c r="T45" s="715"/>
      <c r="U45" s="715"/>
      <c r="V45" s="715"/>
      <c r="W45" s="715"/>
      <c r="X45" s="345"/>
      <c r="Y45" s="717"/>
      <c r="Z45" s="714" t="s">
        <v>1685</v>
      </c>
      <c r="AA45" s="716" t="s">
        <v>389</v>
      </c>
    </row>
    <row r="46" spans="1:27" s="15" customFormat="1" x14ac:dyDescent="0.25">
      <c r="A46" s="711" t="s">
        <v>1683</v>
      </c>
      <c r="B46" s="713"/>
      <c r="C46" s="713" t="s">
        <v>1684</v>
      </c>
      <c r="D46" s="713" t="s">
        <v>1390</v>
      </c>
      <c r="E46" s="713" t="s">
        <v>1371</v>
      </c>
      <c r="F46" s="713" t="s">
        <v>53</v>
      </c>
      <c r="G46" s="714" t="s">
        <v>47</v>
      </c>
      <c r="H46" s="713" t="s">
        <v>1366</v>
      </c>
      <c r="I46" s="397">
        <v>4680</v>
      </c>
      <c r="J46" s="397">
        <v>5200</v>
      </c>
      <c r="K46" s="397">
        <v>5200</v>
      </c>
      <c r="L46" s="397">
        <v>6585</v>
      </c>
      <c r="M46" s="714" t="s">
        <v>52</v>
      </c>
      <c r="N46" s="714" t="s">
        <v>52</v>
      </c>
      <c r="O46" s="714" t="s">
        <v>52</v>
      </c>
      <c r="P46" s="714" t="s">
        <v>52</v>
      </c>
      <c r="Q46" s="714"/>
      <c r="R46" s="714"/>
      <c r="S46" s="714"/>
      <c r="T46" s="715"/>
      <c r="U46" s="715"/>
      <c r="V46" s="715"/>
      <c r="W46" s="715"/>
      <c r="X46" s="345"/>
      <c r="Y46" s="717"/>
      <c r="Z46" s="714" t="s">
        <v>1685</v>
      </c>
      <c r="AA46" s="716" t="s">
        <v>389</v>
      </c>
    </row>
    <row r="47" spans="1:27" s="15" customFormat="1" x14ac:dyDescent="0.25">
      <c r="A47" s="711" t="s">
        <v>1683</v>
      </c>
      <c r="B47" s="713"/>
      <c r="C47" s="713" t="s">
        <v>1684</v>
      </c>
      <c r="D47" s="713" t="s">
        <v>1391</v>
      </c>
      <c r="E47" s="713" t="s">
        <v>1371</v>
      </c>
      <c r="F47" s="713" t="s">
        <v>53</v>
      </c>
      <c r="G47" s="714" t="s">
        <v>47</v>
      </c>
      <c r="H47" s="713" t="s">
        <v>1366</v>
      </c>
      <c r="I47" s="397">
        <v>4680</v>
      </c>
      <c r="J47" s="397">
        <v>5200</v>
      </c>
      <c r="K47" s="397">
        <v>5200</v>
      </c>
      <c r="L47" s="397">
        <v>6585</v>
      </c>
      <c r="M47" s="714" t="s">
        <v>52</v>
      </c>
      <c r="N47" s="714" t="s">
        <v>52</v>
      </c>
      <c r="O47" s="714" t="s">
        <v>52</v>
      </c>
      <c r="P47" s="714" t="s">
        <v>52</v>
      </c>
      <c r="Q47" s="714"/>
      <c r="R47" s="714"/>
      <c r="S47" s="714"/>
      <c r="T47" s="715"/>
      <c r="U47" s="715"/>
      <c r="V47" s="715"/>
      <c r="W47" s="715"/>
      <c r="X47" s="345"/>
      <c r="Y47" s="717"/>
      <c r="Z47" s="714" t="s">
        <v>1685</v>
      </c>
      <c r="AA47" s="716" t="s">
        <v>389</v>
      </c>
    </row>
    <row r="48" spans="1:27" s="15" customFormat="1" x14ac:dyDescent="0.25">
      <c r="A48" s="711" t="s">
        <v>1683</v>
      </c>
      <c r="B48" s="713"/>
      <c r="C48" s="713" t="s">
        <v>1684</v>
      </c>
      <c r="D48" s="713" t="s">
        <v>1390</v>
      </c>
      <c r="E48" s="713" t="s">
        <v>1372</v>
      </c>
      <c r="F48" s="713" t="s">
        <v>53</v>
      </c>
      <c r="G48" s="714" t="s">
        <v>47</v>
      </c>
      <c r="H48" s="713" t="s">
        <v>1366</v>
      </c>
      <c r="I48" s="397">
        <v>4680</v>
      </c>
      <c r="J48" s="397">
        <v>5200</v>
      </c>
      <c r="K48" s="397">
        <v>5200</v>
      </c>
      <c r="L48" s="397">
        <v>6585</v>
      </c>
      <c r="M48" s="714" t="s">
        <v>52</v>
      </c>
      <c r="N48" s="714" t="s">
        <v>52</v>
      </c>
      <c r="O48" s="714" t="s">
        <v>52</v>
      </c>
      <c r="P48" s="714" t="s">
        <v>52</v>
      </c>
      <c r="Q48" s="714"/>
      <c r="R48" s="714"/>
      <c r="S48" s="714"/>
      <c r="T48" s="715"/>
      <c r="U48" s="715"/>
      <c r="V48" s="715"/>
      <c r="W48" s="715"/>
      <c r="X48" s="345"/>
      <c r="Y48" s="717"/>
      <c r="Z48" s="714" t="s">
        <v>1685</v>
      </c>
      <c r="AA48" s="716" t="s">
        <v>389</v>
      </c>
    </row>
    <row r="49" spans="1:27" s="15" customFormat="1" x14ac:dyDescent="0.25">
      <c r="A49" s="711" t="s">
        <v>1683</v>
      </c>
      <c r="B49" s="713"/>
      <c r="C49" s="713" t="s">
        <v>1684</v>
      </c>
      <c r="D49" s="713" t="s">
        <v>1391</v>
      </c>
      <c r="E49" s="713" t="s">
        <v>1372</v>
      </c>
      <c r="F49" s="713" t="s">
        <v>53</v>
      </c>
      <c r="G49" s="714" t="s">
        <v>47</v>
      </c>
      <c r="H49" s="713" t="s">
        <v>1366</v>
      </c>
      <c r="I49" s="397">
        <v>4680</v>
      </c>
      <c r="J49" s="397">
        <v>5200</v>
      </c>
      <c r="K49" s="397">
        <v>5200</v>
      </c>
      <c r="L49" s="397">
        <v>6585</v>
      </c>
      <c r="M49" s="714" t="s">
        <v>52</v>
      </c>
      <c r="N49" s="714" t="s">
        <v>52</v>
      </c>
      <c r="O49" s="714" t="s">
        <v>52</v>
      </c>
      <c r="P49" s="714" t="s">
        <v>52</v>
      </c>
      <c r="Q49" s="714"/>
      <c r="R49" s="714"/>
      <c r="S49" s="714"/>
      <c r="T49" s="715"/>
      <c r="U49" s="715"/>
      <c r="V49" s="715"/>
      <c r="W49" s="715"/>
      <c r="X49" s="345"/>
      <c r="Y49" s="717"/>
      <c r="Z49" s="714" t="s">
        <v>1685</v>
      </c>
      <c r="AA49" s="716" t="s">
        <v>389</v>
      </c>
    </row>
    <row r="50" spans="1:27" s="15" customFormat="1" x14ac:dyDescent="0.25">
      <c r="A50" s="711" t="s">
        <v>1683</v>
      </c>
      <c r="B50" s="713"/>
      <c r="C50" s="713" t="s">
        <v>1684</v>
      </c>
      <c r="D50" s="713" t="s">
        <v>1391</v>
      </c>
      <c r="E50" s="713" t="s">
        <v>1375</v>
      </c>
      <c r="F50" s="713" t="s">
        <v>53</v>
      </c>
      <c r="G50" s="714" t="s">
        <v>47</v>
      </c>
      <c r="H50" s="713" t="s">
        <v>1366</v>
      </c>
      <c r="I50" s="397">
        <v>4590</v>
      </c>
      <c r="J50" s="397">
        <v>5100</v>
      </c>
      <c r="K50" s="397">
        <v>5100</v>
      </c>
      <c r="L50" s="397">
        <v>6455</v>
      </c>
      <c r="M50" s="714" t="s">
        <v>52</v>
      </c>
      <c r="N50" s="714" t="s">
        <v>52</v>
      </c>
      <c r="O50" s="714" t="s">
        <v>52</v>
      </c>
      <c r="P50" s="714" t="s">
        <v>52</v>
      </c>
      <c r="Q50" s="714"/>
      <c r="R50" s="714"/>
      <c r="S50" s="714"/>
      <c r="T50" s="715"/>
      <c r="U50" s="715"/>
      <c r="V50" s="715"/>
      <c r="W50" s="715"/>
      <c r="X50" s="345"/>
      <c r="Y50" s="717"/>
      <c r="Z50" s="714" t="s">
        <v>1685</v>
      </c>
      <c r="AA50" s="716" t="s">
        <v>389</v>
      </c>
    </row>
    <row r="51" spans="1:27" s="15" customFormat="1" x14ac:dyDescent="0.25">
      <c r="A51" s="711" t="s">
        <v>1683</v>
      </c>
      <c r="B51" s="713"/>
      <c r="C51" s="713" t="s">
        <v>1684</v>
      </c>
      <c r="D51" s="713" t="s">
        <v>1391</v>
      </c>
      <c r="E51" s="713" t="s">
        <v>1379</v>
      </c>
      <c r="F51" s="713" t="s">
        <v>53</v>
      </c>
      <c r="G51" s="714" t="s">
        <v>47</v>
      </c>
      <c r="H51" s="713" t="s">
        <v>1366</v>
      </c>
      <c r="I51" s="397">
        <v>4770</v>
      </c>
      <c r="J51" s="397">
        <v>5300</v>
      </c>
      <c r="K51" s="397">
        <v>5300</v>
      </c>
      <c r="L51" s="397">
        <v>6710</v>
      </c>
      <c r="M51" s="714" t="s">
        <v>52</v>
      </c>
      <c r="N51" s="714" t="s">
        <v>52</v>
      </c>
      <c r="O51" s="714" t="s">
        <v>52</v>
      </c>
      <c r="P51" s="714" t="s">
        <v>52</v>
      </c>
      <c r="Q51" s="714"/>
      <c r="R51" s="714"/>
      <c r="S51" s="714"/>
      <c r="T51" s="715"/>
      <c r="U51" s="715"/>
      <c r="V51" s="715"/>
      <c r="W51" s="715"/>
      <c r="X51" s="345"/>
      <c r="Y51" s="717"/>
      <c r="Z51" s="714" t="s">
        <v>1685</v>
      </c>
      <c r="AA51" s="716" t="s">
        <v>389</v>
      </c>
    </row>
    <row r="52" spans="1:27" s="15" customFormat="1" x14ac:dyDescent="0.25">
      <c r="A52" s="711" t="s">
        <v>1683</v>
      </c>
      <c r="B52" s="713"/>
      <c r="C52" s="713" t="s">
        <v>1684</v>
      </c>
      <c r="D52" s="713" t="s">
        <v>1391</v>
      </c>
      <c r="E52" s="713" t="s">
        <v>1380</v>
      </c>
      <c r="F52" s="713" t="s">
        <v>53</v>
      </c>
      <c r="G52" s="714" t="s">
        <v>47</v>
      </c>
      <c r="H52" s="713" t="s">
        <v>1366</v>
      </c>
      <c r="I52" s="397">
        <v>4590</v>
      </c>
      <c r="J52" s="397">
        <v>5100</v>
      </c>
      <c r="K52" s="397">
        <v>5100</v>
      </c>
      <c r="L52" s="397">
        <v>6455</v>
      </c>
      <c r="M52" s="714" t="s">
        <v>52</v>
      </c>
      <c r="N52" s="714" t="s">
        <v>52</v>
      </c>
      <c r="O52" s="714" t="s">
        <v>52</v>
      </c>
      <c r="P52" s="714" t="s">
        <v>52</v>
      </c>
      <c r="Q52" s="714"/>
      <c r="R52" s="714"/>
      <c r="S52" s="714"/>
      <c r="T52" s="715"/>
      <c r="U52" s="715"/>
      <c r="V52" s="715"/>
      <c r="W52" s="715"/>
      <c r="X52" s="345"/>
      <c r="Y52" s="717"/>
      <c r="Z52" s="714" t="s">
        <v>1685</v>
      </c>
      <c r="AA52" s="716" t="s">
        <v>389</v>
      </c>
    </row>
    <row r="53" spans="1:27" s="15" customFormat="1" x14ac:dyDescent="0.25">
      <c r="A53" s="711" t="s">
        <v>1683</v>
      </c>
      <c r="B53" s="713"/>
      <c r="C53" s="713" t="s">
        <v>1684</v>
      </c>
      <c r="D53" s="713" t="s">
        <v>1608</v>
      </c>
      <c r="E53" s="713" t="s">
        <v>1382</v>
      </c>
      <c r="F53" s="713" t="s">
        <v>53</v>
      </c>
      <c r="G53" s="714" t="s">
        <v>47</v>
      </c>
      <c r="H53" s="713" t="s">
        <v>1366</v>
      </c>
      <c r="I53" s="397">
        <v>4590</v>
      </c>
      <c r="J53" s="397">
        <v>5100</v>
      </c>
      <c r="K53" s="397">
        <v>5100</v>
      </c>
      <c r="L53" s="397">
        <v>6455</v>
      </c>
      <c r="M53" s="714" t="s">
        <v>52</v>
      </c>
      <c r="N53" s="714" t="s">
        <v>52</v>
      </c>
      <c r="O53" s="714" t="s">
        <v>52</v>
      </c>
      <c r="P53" s="714" t="s">
        <v>52</v>
      </c>
      <c r="Q53" s="714"/>
      <c r="R53" s="714"/>
      <c r="S53" s="714"/>
      <c r="T53" s="715"/>
      <c r="U53" s="715"/>
      <c r="V53" s="715"/>
      <c r="W53" s="715"/>
      <c r="X53" s="345"/>
      <c r="Y53" s="717"/>
      <c r="Z53" s="714" t="s">
        <v>1685</v>
      </c>
      <c r="AA53" s="716" t="s">
        <v>389</v>
      </c>
    </row>
    <row r="54" spans="1:27" s="15" customFormat="1" x14ac:dyDescent="0.25">
      <c r="A54" s="711" t="s">
        <v>1683</v>
      </c>
      <c r="B54" s="713"/>
      <c r="C54" s="713" t="s">
        <v>1684</v>
      </c>
      <c r="D54" s="713" t="s">
        <v>1618</v>
      </c>
      <c r="E54" s="713" t="s">
        <v>1382</v>
      </c>
      <c r="F54" s="713" t="s">
        <v>53</v>
      </c>
      <c r="G54" s="714" t="s">
        <v>47</v>
      </c>
      <c r="H54" s="713" t="s">
        <v>1366</v>
      </c>
      <c r="I54" s="397">
        <v>6975</v>
      </c>
      <c r="J54" s="397">
        <v>7750</v>
      </c>
      <c r="K54" s="397">
        <v>7750</v>
      </c>
      <c r="L54" s="397">
        <v>9810</v>
      </c>
      <c r="M54" s="714" t="s">
        <v>52</v>
      </c>
      <c r="N54" s="714" t="s">
        <v>52</v>
      </c>
      <c r="O54" s="714" t="s">
        <v>52</v>
      </c>
      <c r="P54" s="714" t="s">
        <v>52</v>
      </c>
      <c r="Q54" s="714"/>
      <c r="R54" s="714"/>
      <c r="S54" s="714"/>
      <c r="T54" s="715"/>
      <c r="U54" s="715"/>
      <c r="V54" s="715"/>
      <c r="W54" s="715"/>
      <c r="X54" s="345"/>
      <c r="Y54" s="717"/>
      <c r="Z54" s="714" t="s">
        <v>1685</v>
      </c>
      <c r="AA54" s="716" t="s">
        <v>389</v>
      </c>
    </row>
    <row r="55" spans="1:27" s="15" customFormat="1" x14ac:dyDescent="0.25">
      <c r="A55" s="711" t="s">
        <v>1683</v>
      </c>
      <c r="B55" s="713"/>
      <c r="C55" s="713" t="s">
        <v>1684</v>
      </c>
      <c r="D55" s="713" t="s">
        <v>1608</v>
      </c>
      <c r="E55" s="713" t="s">
        <v>1381</v>
      </c>
      <c r="F55" s="713" t="s">
        <v>53</v>
      </c>
      <c r="G55" s="714" t="s">
        <v>47</v>
      </c>
      <c r="H55" s="713" t="s">
        <v>1366</v>
      </c>
      <c r="I55" s="397">
        <v>4950</v>
      </c>
      <c r="J55" s="397">
        <v>5500</v>
      </c>
      <c r="K55" s="397">
        <v>5500</v>
      </c>
      <c r="L55" s="397">
        <v>6965</v>
      </c>
      <c r="M55" s="714" t="s">
        <v>52</v>
      </c>
      <c r="N55" s="714" t="s">
        <v>52</v>
      </c>
      <c r="O55" s="714" t="s">
        <v>52</v>
      </c>
      <c r="P55" s="714" t="s">
        <v>52</v>
      </c>
      <c r="Q55" s="714"/>
      <c r="R55" s="714"/>
      <c r="S55" s="714"/>
      <c r="T55" s="715"/>
      <c r="U55" s="715"/>
      <c r="V55" s="715"/>
      <c r="W55" s="715"/>
      <c r="X55" s="345"/>
      <c r="Y55" s="717"/>
      <c r="Z55" s="714" t="s">
        <v>1685</v>
      </c>
      <c r="AA55" s="716" t="s">
        <v>389</v>
      </c>
    </row>
    <row r="56" spans="1:27" s="15" customFormat="1" x14ac:dyDescent="0.25">
      <c r="A56" s="711" t="s">
        <v>1683</v>
      </c>
      <c r="B56" s="713"/>
      <c r="C56" s="713" t="s">
        <v>1684</v>
      </c>
      <c r="D56" s="713" t="s">
        <v>1391</v>
      </c>
      <c r="E56" s="713" t="s">
        <v>1614</v>
      </c>
      <c r="F56" s="713" t="s">
        <v>357</v>
      </c>
      <c r="G56" s="714" t="s">
        <v>47</v>
      </c>
      <c r="H56" s="713" t="s">
        <v>1366</v>
      </c>
      <c r="I56" s="397">
        <v>4500</v>
      </c>
      <c r="J56" s="397">
        <v>5000</v>
      </c>
      <c r="K56" s="397">
        <v>5000</v>
      </c>
      <c r="L56" s="397">
        <v>6330</v>
      </c>
      <c r="M56" s="714" t="s">
        <v>52</v>
      </c>
      <c r="N56" s="714" t="s">
        <v>52</v>
      </c>
      <c r="O56" s="714" t="s">
        <v>52</v>
      </c>
      <c r="P56" s="714" t="s">
        <v>52</v>
      </c>
      <c r="Q56" s="714"/>
      <c r="R56" s="714"/>
      <c r="S56" s="714"/>
      <c r="T56" s="715"/>
      <c r="U56" s="715"/>
      <c r="V56" s="715"/>
      <c r="W56" s="715"/>
      <c r="X56" s="345"/>
      <c r="Y56" s="717"/>
      <c r="Z56" s="714" t="s">
        <v>1685</v>
      </c>
      <c r="AA56" s="716" t="s">
        <v>389</v>
      </c>
    </row>
    <row r="57" spans="1:27" s="15" customFormat="1" x14ac:dyDescent="0.25">
      <c r="A57" s="711" t="s">
        <v>1683</v>
      </c>
      <c r="B57" s="713"/>
      <c r="C57" s="713" t="s">
        <v>1684</v>
      </c>
      <c r="D57" s="713" t="s">
        <v>1391</v>
      </c>
      <c r="E57" s="713" t="s">
        <v>1386</v>
      </c>
      <c r="F57" s="713" t="s">
        <v>53</v>
      </c>
      <c r="G57" s="714" t="s">
        <v>47</v>
      </c>
      <c r="H57" s="713" t="s">
        <v>1366</v>
      </c>
      <c r="I57" s="397">
        <v>4950</v>
      </c>
      <c r="J57" s="397">
        <v>5500</v>
      </c>
      <c r="K57" s="397">
        <v>5500</v>
      </c>
      <c r="L57" s="397">
        <v>6965</v>
      </c>
      <c r="M57" s="714" t="s">
        <v>52</v>
      </c>
      <c r="N57" s="714" t="s">
        <v>52</v>
      </c>
      <c r="O57" s="714" t="s">
        <v>52</v>
      </c>
      <c r="P57" s="714" t="s">
        <v>52</v>
      </c>
      <c r="Q57" s="714"/>
      <c r="R57" s="714"/>
      <c r="S57" s="714"/>
      <c r="T57" s="715"/>
      <c r="U57" s="715"/>
      <c r="V57" s="715"/>
      <c r="W57" s="715"/>
      <c r="X57" s="345"/>
      <c r="Y57" s="717"/>
      <c r="Z57" s="714" t="s">
        <v>1685</v>
      </c>
      <c r="AA57" s="716" t="s">
        <v>389</v>
      </c>
    </row>
    <row r="58" spans="1:27" s="15" customFormat="1" x14ac:dyDescent="0.25">
      <c r="A58" s="711" t="s">
        <v>1683</v>
      </c>
      <c r="B58" s="713"/>
      <c r="C58" s="713" t="s">
        <v>1684</v>
      </c>
      <c r="D58" s="713" t="s">
        <v>1390</v>
      </c>
      <c r="E58" s="713" t="s">
        <v>1610</v>
      </c>
      <c r="F58" s="713" t="s">
        <v>53</v>
      </c>
      <c r="G58" s="714" t="s">
        <v>47</v>
      </c>
      <c r="H58" s="713" t="s">
        <v>1366</v>
      </c>
      <c r="I58" s="397">
        <v>5220</v>
      </c>
      <c r="J58" s="397">
        <v>5800</v>
      </c>
      <c r="K58" s="397">
        <v>5800</v>
      </c>
      <c r="L58" s="397">
        <v>7345</v>
      </c>
      <c r="M58" s="714" t="s">
        <v>52</v>
      </c>
      <c r="N58" s="714" t="s">
        <v>52</v>
      </c>
      <c r="O58" s="714" t="s">
        <v>52</v>
      </c>
      <c r="P58" s="714" t="s">
        <v>52</v>
      </c>
      <c r="Q58" s="714"/>
      <c r="R58" s="714"/>
      <c r="S58" s="714"/>
      <c r="T58" s="715"/>
      <c r="U58" s="715"/>
      <c r="V58" s="715"/>
      <c r="W58" s="715"/>
      <c r="X58" s="345"/>
      <c r="Y58" s="717"/>
      <c r="Z58" s="714" t="s">
        <v>1685</v>
      </c>
      <c r="AA58" s="716" t="s">
        <v>389</v>
      </c>
    </row>
    <row r="59" spans="1:27" s="15" customFormat="1" x14ac:dyDescent="0.25">
      <c r="A59" s="711" t="s">
        <v>1683</v>
      </c>
      <c r="B59" s="713"/>
      <c r="C59" s="713" t="s">
        <v>1684</v>
      </c>
      <c r="D59" s="713" t="s">
        <v>1615</v>
      </c>
      <c r="E59" s="713" t="s">
        <v>1375</v>
      </c>
      <c r="F59" s="713" t="s">
        <v>53</v>
      </c>
      <c r="G59" s="714" t="s">
        <v>47</v>
      </c>
      <c r="H59" s="713" t="s">
        <v>1366</v>
      </c>
      <c r="I59" s="397">
        <v>4680</v>
      </c>
      <c r="J59" s="397">
        <v>5200</v>
      </c>
      <c r="K59" s="397">
        <v>5200</v>
      </c>
      <c r="L59" s="397">
        <v>6585</v>
      </c>
      <c r="M59" s="714" t="s">
        <v>52</v>
      </c>
      <c r="N59" s="714" t="s">
        <v>52</v>
      </c>
      <c r="O59" s="714" t="s">
        <v>52</v>
      </c>
      <c r="P59" s="714" t="s">
        <v>52</v>
      </c>
      <c r="Q59" s="714"/>
      <c r="R59" s="714"/>
      <c r="S59" s="714"/>
      <c r="T59" s="715"/>
      <c r="U59" s="715"/>
      <c r="V59" s="715"/>
      <c r="W59" s="715"/>
      <c r="X59" s="345"/>
      <c r="Y59" s="717"/>
      <c r="Z59" s="714" t="s">
        <v>1685</v>
      </c>
      <c r="AA59" s="716" t="s">
        <v>389</v>
      </c>
    </row>
    <row r="60" spans="1:27" s="15" customFormat="1" x14ac:dyDescent="0.25">
      <c r="A60" s="711" t="s">
        <v>1683</v>
      </c>
      <c r="B60" s="713"/>
      <c r="C60" s="713" t="s">
        <v>1684</v>
      </c>
      <c r="D60" s="713" t="s">
        <v>1615</v>
      </c>
      <c r="E60" s="713" t="s">
        <v>1369</v>
      </c>
      <c r="F60" s="713" t="s">
        <v>53</v>
      </c>
      <c r="G60" s="714" t="s">
        <v>47</v>
      </c>
      <c r="H60" s="713" t="s">
        <v>1366</v>
      </c>
      <c r="I60" s="397">
        <v>4680</v>
      </c>
      <c r="J60" s="397">
        <v>5200</v>
      </c>
      <c r="K60" s="397">
        <v>5200</v>
      </c>
      <c r="L60" s="397">
        <v>6585</v>
      </c>
      <c r="M60" s="714" t="s">
        <v>52</v>
      </c>
      <c r="N60" s="714" t="s">
        <v>52</v>
      </c>
      <c r="O60" s="714" t="s">
        <v>52</v>
      </c>
      <c r="P60" s="714" t="s">
        <v>52</v>
      </c>
      <c r="Q60" s="714"/>
      <c r="R60" s="714"/>
      <c r="S60" s="714"/>
      <c r="T60" s="715"/>
      <c r="U60" s="715"/>
      <c r="V60" s="715"/>
      <c r="W60" s="715"/>
      <c r="X60" s="345"/>
      <c r="Y60" s="717"/>
      <c r="Z60" s="714" t="s">
        <v>1685</v>
      </c>
      <c r="AA60" s="716" t="s">
        <v>389</v>
      </c>
    </row>
    <row r="61" spans="1:27" s="15" customFormat="1" x14ac:dyDescent="0.25">
      <c r="A61" s="711" t="s">
        <v>1683</v>
      </c>
      <c r="B61" s="713"/>
      <c r="C61" s="713" t="s">
        <v>1684</v>
      </c>
      <c r="D61" s="713" t="s">
        <v>1619</v>
      </c>
      <c r="E61" s="713"/>
      <c r="F61" s="713" t="s">
        <v>51</v>
      </c>
      <c r="G61" s="714" t="s">
        <v>47</v>
      </c>
      <c r="H61" s="713" t="s">
        <v>1366</v>
      </c>
      <c r="I61" s="397">
        <v>4635</v>
      </c>
      <c r="J61" s="397">
        <v>5150</v>
      </c>
      <c r="K61" s="397">
        <v>5150</v>
      </c>
      <c r="L61" s="397">
        <v>6520</v>
      </c>
      <c r="M61" s="714" t="s">
        <v>52</v>
      </c>
      <c r="N61" s="714" t="s">
        <v>52</v>
      </c>
      <c r="O61" s="714" t="s">
        <v>52</v>
      </c>
      <c r="P61" s="714" t="s">
        <v>52</v>
      </c>
      <c r="Q61" s="714"/>
      <c r="R61" s="714"/>
      <c r="S61" s="714"/>
      <c r="T61" s="715"/>
      <c r="U61" s="715"/>
      <c r="V61" s="715"/>
      <c r="W61" s="715"/>
      <c r="X61" s="345"/>
      <c r="Y61" s="717"/>
      <c r="Z61" s="714" t="s">
        <v>1685</v>
      </c>
      <c r="AA61" s="716" t="s">
        <v>389</v>
      </c>
    </row>
    <row r="62" spans="1:27" s="15" customFormat="1" x14ac:dyDescent="0.25">
      <c r="A62" s="711" t="s">
        <v>1683</v>
      </c>
      <c r="B62" s="713"/>
      <c r="C62" s="713" t="s">
        <v>1684</v>
      </c>
      <c r="D62" s="713" t="s">
        <v>1377</v>
      </c>
      <c r="E62" s="713"/>
      <c r="F62" s="713" t="s">
        <v>51</v>
      </c>
      <c r="G62" s="714" t="s">
        <v>47</v>
      </c>
      <c r="H62" s="713" t="s">
        <v>1366</v>
      </c>
      <c r="I62" s="397">
        <v>4635</v>
      </c>
      <c r="J62" s="397">
        <v>5150</v>
      </c>
      <c r="K62" s="397">
        <v>5150</v>
      </c>
      <c r="L62" s="397">
        <v>6520</v>
      </c>
      <c r="M62" s="714" t="s">
        <v>52</v>
      </c>
      <c r="N62" s="714" t="s">
        <v>52</v>
      </c>
      <c r="O62" s="714" t="s">
        <v>52</v>
      </c>
      <c r="P62" s="714" t="s">
        <v>52</v>
      </c>
      <c r="Q62" s="714"/>
      <c r="R62" s="714"/>
      <c r="S62" s="714"/>
      <c r="T62" s="715"/>
      <c r="U62" s="715"/>
      <c r="V62" s="715"/>
      <c r="W62" s="715"/>
      <c r="X62" s="345"/>
      <c r="Y62" s="717"/>
      <c r="Z62" s="714" t="s">
        <v>1685</v>
      </c>
      <c r="AA62" s="716" t="s">
        <v>389</v>
      </c>
    </row>
    <row r="63" spans="1:27" s="15" customFormat="1" x14ac:dyDescent="0.25">
      <c r="A63" s="711" t="s">
        <v>1683</v>
      </c>
      <c r="B63" s="713"/>
      <c r="C63" s="713" t="s">
        <v>1684</v>
      </c>
      <c r="D63" s="713" t="s">
        <v>1618</v>
      </c>
      <c r="E63" s="713"/>
      <c r="F63" s="713" t="s">
        <v>51</v>
      </c>
      <c r="G63" s="714" t="s">
        <v>47</v>
      </c>
      <c r="H63" s="713" t="s">
        <v>1366</v>
      </c>
      <c r="I63" s="397">
        <v>4635</v>
      </c>
      <c r="J63" s="397">
        <v>5150</v>
      </c>
      <c r="K63" s="397">
        <v>5150</v>
      </c>
      <c r="L63" s="397">
        <v>6520</v>
      </c>
      <c r="M63" s="714" t="s">
        <v>52</v>
      </c>
      <c r="N63" s="714" t="s">
        <v>52</v>
      </c>
      <c r="O63" s="714" t="s">
        <v>52</v>
      </c>
      <c r="P63" s="714" t="s">
        <v>52</v>
      </c>
      <c r="Q63" s="714"/>
      <c r="R63" s="714"/>
      <c r="S63" s="714"/>
      <c r="T63" s="715"/>
      <c r="U63" s="715"/>
      <c r="V63" s="715"/>
      <c r="W63" s="715"/>
      <c r="X63" s="345"/>
      <c r="Y63" s="717"/>
      <c r="Z63" s="714" t="s">
        <v>1685</v>
      </c>
      <c r="AA63" s="716" t="s">
        <v>389</v>
      </c>
    </row>
    <row r="64" spans="1:27" s="15" customFormat="1" x14ac:dyDescent="0.25">
      <c r="A64" s="711" t="s">
        <v>1683</v>
      </c>
      <c r="B64" s="713"/>
      <c r="C64" s="713" t="s">
        <v>1684</v>
      </c>
      <c r="D64" s="713" t="s">
        <v>1383</v>
      </c>
      <c r="E64" s="713"/>
      <c r="F64" s="713" t="s">
        <v>51</v>
      </c>
      <c r="G64" s="714" t="s">
        <v>47</v>
      </c>
      <c r="H64" s="713" t="s">
        <v>1366</v>
      </c>
      <c r="I64" s="397">
        <v>4635</v>
      </c>
      <c r="J64" s="397">
        <v>5150</v>
      </c>
      <c r="K64" s="397">
        <v>5150</v>
      </c>
      <c r="L64" s="397">
        <v>6520</v>
      </c>
      <c r="M64" s="714" t="s">
        <v>52</v>
      </c>
      <c r="N64" s="714" t="s">
        <v>52</v>
      </c>
      <c r="O64" s="714" t="s">
        <v>52</v>
      </c>
      <c r="P64" s="714" t="s">
        <v>52</v>
      </c>
      <c r="Q64" s="714"/>
      <c r="R64" s="714"/>
      <c r="S64" s="714"/>
      <c r="T64" s="715"/>
      <c r="U64" s="715"/>
      <c r="V64" s="715"/>
      <c r="W64" s="715"/>
      <c r="X64" s="345"/>
      <c r="Y64" s="717"/>
      <c r="Z64" s="714" t="s">
        <v>1685</v>
      </c>
      <c r="AA64" s="716" t="s">
        <v>389</v>
      </c>
    </row>
    <row r="65" spans="1:29" s="15" customFormat="1" x14ac:dyDescent="0.25">
      <c r="A65" s="711" t="s">
        <v>1683</v>
      </c>
      <c r="B65" s="713"/>
      <c r="C65" s="713" t="s">
        <v>1684</v>
      </c>
      <c r="D65" s="713" t="s">
        <v>1617</v>
      </c>
      <c r="E65" s="713"/>
      <c r="F65" s="713" t="s">
        <v>51</v>
      </c>
      <c r="G65" s="714" t="s">
        <v>47</v>
      </c>
      <c r="H65" s="713" t="s">
        <v>1366</v>
      </c>
      <c r="I65" s="397">
        <v>4635</v>
      </c>
      <c r="J65" s="397">
        <v>5150</v>
      </c>
      <c r="K65" s="397">
        <v>5150</v>
      </c>
      <c r="L65" s="397">
        <v>6520</v>
      </c>
      <c r="M65" s="714" t="s">
        <v>52</v>
      </c>
      <c r="N65" s="714" t="s">
        <v>52</v>
      </c>
      <c r="O65" s="714" t="s">
        <v>52</v>
      </c>
      <c r="P65" s="714" t="s">
        <v>52</v>
      </c>
      <c r="Q65" s="714"/>
      <c r="R65" s="714"/>
      <c r="S65" s="714"/>
      <c r="T65" s="715"/>
      <c r="U65" s="715"/>
      <c r="V65" s="715"/>
      <c r="W65" s="715"/>
      <c r="X65" s="345"/>
      <c r="Y65" s="717"/>
      <c r="Z65" s="714" t="s">
        <v>1685</v>
      </c>
      <c r="AA65" s="716" t="s">
        <v>389</v>
      </c>
    </row>
    <row r="66" spans="1:29" s="64" customFormat="1" x14ac:dyDescent="0.25">
      <c r="A66" s="59"/>
      <c r="B66" s="60"/>
      <c r="C66" s="60"/>
      <c r="D66" s="60"/>
      <c r="E66" s="60"/>
      <c r="F66" s="60"/>
      <c r="G66" s="61"/>
      <c r="H66" s="60"/>
      <c r="I66" s="62"/>
      <c r="J66" s="62"/>
      <c r="K66" s="62"/>
      <c r="L66" s="62"/>
      <c r="M66" s="61"/>
      <c r="N66" s="61"/>
      <c r="O66" s="61"/>
      <c r="P66" s="61"/>
      <c r="Q66" s="61"/>
      <c r="R66" s="61"/>
      <c r="S66" s="61"/>
      <c r="T66" s="61"/>
      <c r="U66" s="61"/>
      <c r="V66" s="61"/>
      <c r="W66" s="61"/>
      <c r="X66" s="345"/>
      <c r="Y66" s="345"/>
      <c r="Z66" s="61"/>
      <c r="AA66" s="63"/>
    </row>
    <row r="67" spans="1:29" s="64" customFormat="1" ht="13.8" thickBot="1" x14ac:dyDescent="0.3">
      <c r="A67" s="191"/>
      <c r="B67" s="263"/>
      <c r="C67" s="263"/>
      <c r="D67" s="263"/>
      <c r="E67" s="263"/>
      <c r="F67" s="263"/>
      <c r="G67" s="195"/>
      <c r="H67" s="263"/>
      <c r="I67" s="342"/>
      <c r="J67" s="342"/>
      <c r="K67" s="342"/>
      <c r="L67" s="342"/>
      <c r="M67" s="195"/>
      <c r="N67" s="195"/>
      <c r="O67" s="195"/>
      <c r="P67" s="195"/>
      <c r="Q67" s="195"/>
      <c r="R67" s="195"/>
      <c r="S67" s="195"/>
      <c r="T67" s="195"/>
      <c r="U67" s="195"/>
      <c r="V67" s="195"/>
      <c r="W67" s="195"/>
      <c r="X67" s="352"/>
      <c r="Y67" s="352"/>
      <c r="Z67" s="195"/>
      <c r="AA67" s="129"/>
    </row>
    <row r="68" spans="1:29" x14ac:dyDescent="0.25">
      <c r="A68" s="142"/>
      <c r="B68" s="142"/>
      <c r="C68" s="142"/>
      <c r="D68" s="142"/>
      <c r="E68" s="142"/>
      <c r="F68" s="142"/>
      <c r="J68" s="199"/>
      <c r="K68" s="199"/>
      <c r="L68" s="199"/>
      <c r="M68" s="199"/>
      <c r="N68" s="199"/>
      <c r="O68" s="66"/>
      <c r="P68" s="66"/>
      <c r="Q68" s="66"/>
      <c r="R68" s="66"/>
      <c r="S68" s="66"/>
      <c r="T68" s="66"/>
      <c r="U68" s="66"/>
      <c r="V68" s="66"/>
      <c r="W68" s="64"/>
    </row>
    <row r="69" spans="1:29" ht="13.8" thickBot="1" x14ac:dyDescent="0.3">
      <c r="A69" s="142"/>
      <c r="B69" s="142"/>
      <c r="C69" s="142"/>
      <c r="D69" s="142"/>
      <c r="E69" s="142"/>
      <c r="F69" s="142"/>
      <c r="J69" s="199"/>
      <c r="K69" s="199"/>
      <c r="N69" s="199"/>
      <c r="O69" s="66"/>
      <c r="P69" s="66"/>
      <c r="Q69" s="66"/>
      <c r="R69" s="66"/>
      <c r="S69" s="66"/>
      <c r="T69" s="66"/>
      <c r="U69" s="66"/>
      <c r="V69" s="66"/>
      <c r="W69" s="64"/>
    </row>
    <row r="70" spans="1:29" ht="13.8" thickBot="1" x14ac:dyDescent="0.3">
      <c r="A70" s="201" t="s">
        <v>25</v>
      </c>
      <c r="B70" s="198"/>
      <c r="C70" s="198"/>
      <c r="D70" s="198"/>
      <c r="E70" s="198"/>
      <c r="F70" s="198"/>
      <c r="G70" s="177"/>
      <c r="H70" s="177"/>
      <c r="I70" s="177"/>
      <c r="J70" s="177"/>
      <c r="K70" s="177"/>
      <c r="M70" s="177"/>
      <c r="N70" s="177"/>
      <c r="O70" s="200"/>
      <c r="P70" s="64"/>
      <c r="Q70" s="64"/>
      <c r="R70" s="64"/>
      <c r="S70" s="57"/>
      <c r="T70" s="57"/>
      <c r="U70" s="57"/>
      <c r="V70" s="57"/>
      <c r="W70" s="200"/>
    </row>
    <row r="71" spans="1:29" ht="15.75" customHeight="1" x14ac:dyDescent="0.25">
      <c r="A71" s="509" t="s">
        <v>558</v>
      </c>
      <c r="B71" s="499" t="s">
        <v>559</v>
      </c>
      <c r="C71" s="499" t="s">
        <v>11</v>
      </c>
      <c r="D71" s="499" t="s">
        <v>12</v>
      </c>
      <c r="E71" s="499" t="s">
        <v>13</v>
      </c>
      <c r="F71" s="499" t="s">
        <v>14</v>
      </c>
      <c r="G71" s="499" t="s">
        <v>15</v>
      </c>
      <c r="H71" s="499" t="s">
        <v>16</v>
      </c>
      <c r="I71" s="499" t="s">
        <v>26</v>
      </c>
      <c r="J71" s="499" t="s">
        <v>27</v>
      </c>
      <c r="K71" s="507" t="s">
        <v>279</v>
      </c>
      <c r="L71" s="178" t="s">
        <v>62</v>
      </c>
      <c r="M71" s="53" t="s">
        <v>63</v>
      </c>
      <c r="N71" s="180" t="s">
        <v>64</v>
      </c>
      <c r="O71" s="179"/>
      <c r="P71" s="179"/>
      <c r="Q71" s="179"/>
      <c r="R71" s="179"/>
      <c r="S71" s="179"/>
      <c r="T71" s="179"/>
      <c r="U71" s="179"/>
      <c r="V71" s="179"/>
      <c r="W71" s="179"/>
      <c r="X71" s="499" t="s">
        <v>22</v>
      </c>
      <c r="Y71" s="499" t="s">
        <v>23</v>
      </c>
      <c r="Z71" s="499" t="s">
        <v>24</v>
      </c>
      <c r="AA71" s="497" t="s">
        <v>330</v>
      </c>
    </row>
    <row r="72" spans="1:29" ht="31.65" customHeight="1" thickBot="1" x14ac:dyDescent="0.3">
      <c r="A72" s="510"/>
      <c r="B72" s="504"/>
      <c r="C72" s="504"/>
      <c r="D72" s="504"/>
      <c r="E72" s="504"/>
      <c r="F72" s="504"/>
      <c r="G72" s="500"/>
      <c r="H72" s="504"/>
      <c r="I72" s="504"/>
      <c r="J72" s="504"/>
      <c r="K72" s="508"/>
      <c r="L72" s="182" t="s">
        <v>65</v>
      </c>
      <c r="M72" s="183" t="s">
        <v>66</v>
      </c>
      <c r="N72" s="185" t="s">
        <v>67</v>
      </c>
      <c r="O72" s="202"/>
      <c r="P72" s="184"/>
      <c r="Q72" s="184"/>
      <c r="R72" s="184"/>
      <c r="S72" s="184"/>
      <c r="T72" s="184"/>
      <c r="U72" s="184"/>
      <c r="V72" s="184"/>
      <c r="W72" s="184"/>
      <c r="X72" s="504"/>
      <c r="Y72" s="504"/>
      <c r="Z72" s="504"/>
      <c r="AA72" s="498"/>
    </row>
    <row r="73" spans="1:29" s="64" customFormat="1" x14ac:dyDescent="0.25">
      <c r="A73" s="385"/>
      <c r="B73" s="367"/>
      <c r="C73" s="367"/>
      <c r="D73" s="367"/>
      <c r="E73" s="367"/>
      <c r="F73" s="367"/>
      <c r="G73" s="337"/>
      <c r="H73" s="367"/>
      <c r="I73" s="346"/>
      <c r="J73" s="346"/>
      <c r="K73" s="386"/>
      <c r="L73" s="336"/>
      <c r="M73" s="337"/>
      <c r="N73" s="366"/>
      <c r="O73" s="336"/>
      <c r="P73" s="337"/>
      <c r="Q73" s="337"/>
      <c r="R73" s="337"/>
      <c r="S73" s="337"/>
      <c r="T73" s="337"/>
      <c r="U73" s="337"/>
      <c r="V73" s="337"/>
      <c r="W73" s="337"/>
      <c r="X73" s="375"/>
      <c r="Y73" s="375"/>
      <c r="Z73" s="337"/>
      <c r="AA73" s="366"/>
    </row>
    <row r="74" spans="1:29" s="64" customFormat="1" x14ac:dyDescent="0.25">
      <c r="A74" s="59"/>
      <c r="B74" s="186"/>
      <c r="C74" s="186"/>
      <c r="D74" s="186"/>
      <c r="E74" s="186"/>
      <c r="F74" s="186"/>
      <c r="G74" s="187"/>
      <c r="H74" s="186"/>
      <c r="I74" s="188"/>
      <c r="J74" s="188"/>
      <c r="K74" s="203"/>
      <c r="L74" s="204"/>
      <c r="M74" s="187"/>
      <c r="N74" s="190"/>
      <c r="O74" s="65"/>
      <c r="P74" s="61"/>
      <c r="Q74" s="61"/>
      <c r="R74" s="61"/>
      <c r="S74" s="187"/>
      <c r="T74" s="187"/>
      <c r="U74" s="187"/>
      <c r="V74" s="187"/>
      <c r="W74" s="187"/>
      <c r="X74" s="189"/>
      <c r="Y74" s="189"/>
      <c r="Z74" s="187"/>
      <c r="AA74" s="190"/>
    </row>
    <row r="75" spans="1:29" s="64" customFormat="1" x14ac:dyDescent="0.25">
      <c r="A75" s="59"/>
      <c r="B75" s="186"/>
      <c r="C75" s="186"/>
      <c r="D75" s="186"/>
      <c r="E75" s="186"/>
      <c r="F75" s="186"/>
      <c r="G75" s="187"/>
      <c r="H75" s="186"/>
      <c r="I75" s="188"/>
      <c r="J75" s="188"/>
      <c r="K75" s="203"/>
      <c r="L75" s="204"/>
      <c r="M75" s="187"/>
      <c r="N75" s="190"/>
      <c r="O75" s="65"/>
      <c r="P75" s="61"/>
      <c r="Q75" s="61"/>
      <c r="R75" s="61"/>
      <c r="S75" s="187"/>
      <c r="T75" s="187"/>
      <c r="U75" s="187"/>
      <c r="V75" s="187"/>
      <c r="W75" s="187"/>
      <c r="X75" s="189"/>
      <c r="Y75" s="189"/>
      <c r="Z75" s="187"/>
      <c r="AA75" s="190"/>
    </row>
    <row r="76" spans="1:29" s="64" customFormat="1" ht="13.8" thickBot="1" x14ac:dyDescent="0.3">
      <c r="A76" s="191"/>
      <c r="B76" s="192"/>
      <c r="C76" s="192"/>
      <c r="D76" s="192"/>
      <c r="E76" s="192"/>
      <c r="F76" s="192"/>
      <c r="G76" s="193"/>
      <c r="H76" s="192"/>
      <c r="I76" s="194"/>
      <c r="J76" s="194"/>
      <c r="K76" s="205"/>
      <c r="L76" s="206"/>
      <c r="M76" s="193"/>
      <c r="N76" s="197"/>
      <c r="O76" s="206"/>
      <c r="P76" s="193"/>
      <c r="Q76" s="193"/>
      <c r="R76" s="193"/>
      <c r="S76" s="193"/>
      <c r="T76" s="193"/>
      <c r="U76" s="193"/>
      <c r="V76" s="193"/>
      <c r="W76" s="193"/>
      <c r="X76" s="196"/>
      <c r="Y76" s="196"/>
      <c r="Z76" s="193"/>
      <c r="AA76" s="197"/>
    </row>
    <row r="77" spans="1:29" x14ac:dyDescent="0.25">
      <c r="A77" s="198"/>
      <c r="B77" s="198"/>
      <c r="C77" s="198"/>
      <c r="D77" s="198"/>
      <c r="E77" s="198"/>
      <c r="F77" s="198"/>
      <c r="G77" s="177"/>
      <c r="H77" s="177"/>
      <c r="I77" s="177"/>
      <c r="J77" s="177"/>
      <c r="K77" s="177"/>
      <c r="L77" s="177"/>
      <c r="M77" s="177"/>
      <c r="N77" s="177"/>
      <c r="O77" s="66"/>
      <c r="P77" s="200"/>
      <c r="Q77" s="200"/>
      <c r="R77" s="200"/>
      <c r="S77" s="64"/>
      <c r="T77" s="64"/>
      <c r="U77" s="64"/>
      <c r="V77" s="64"/>
      <c r="W77" s="64"/>
      <c r="X77" s="177"/>
    </row>
    <row r="78" spans="1:29" ht="13.8" thickBot="1" x14ac:dyDescent="0.3">
      <c r="A78" s="198"/>
      <c r="B78" s="198"/>
      <c r="C78" s="198"/>
      <c r="D78" s="198"/>
      <c r="E78" s="198"/>
      <c r="F78" s="198"/>
      <c r="G78" s="177"/>
      <c r="H78" s="177"/>
      <c r="I78" s="177"/>
      <c r="J78" s="177"/>
      <c r="K78" s="177"/>
      <c r="L78" s="177"/>
      <c r="M78" s="177"/>
      <c r="N78" s="177"/>
      <c r="O78" s="66"/>
      <c r="P78" s="200"/>
      <c r="Q78" s="200"/>
      <c r="R78" s="200"/>
      <c r="S78" s="64"/>
      <c r="T78" s="64"/>
      <c r="U78" s="64"/>
      <c r="V78" s="64"/>
      <c r="W78" s="64"/>
      <c r="X78" s="177"/>
    </row>
    <row r="79" spans="1:29" ht="13.8" thickBot="1" x14ac:dyDescent="0.3">
      <c r="A79" s="501" t="s">
        <v>291</v>
      </c>
      <c r="B79" s="570"/>
      <c r="C79" s="570"/>
      <c r="D79" s="571"/>
      <c r="E79" s="198"/>
      <c r="F79" s="198"/>
      <c r="G79" s="177"/>
      <c r="H79" s="177"/>
      <c r="I79" s="177"/>
      <c r="J79" s="177"/>
      <c r="K79" s="177"/>
      <c r="L79" s="177"/>
      <c r="M79" s="177"/>
      <c r="N79" s="177"/>
      <c r="O79" s="64"/>
      <c r="P79" s="200"/>
      <c r="Q79" s="200"/>
      <c r="R79" s="200"/>
      <c r="S79" s="57"/>
      <c r="T79" s="57"/>
      <c r="U79" s="57"/>
      <c r="V79" s="57"/>
      <c r="W79" s="200"/>
      <c r="X79" s="177"/>
      <c r="Y79" s="177"/>
    </row>
    <row r="80" spans="1:29" ht="15.75" customHeight="1" x14ac:dyDescent="0.25">
      <c r="A80" s="509" t="s">
        <v>558</v>
      </c>
      <c r="B80" s="499" t="s">
        <v>559</v>
      </c>
      <c r="C80" s="499" t="s">
        <v>11</v>
      </c>
      <c r="D80" s="499" t="s">
        <v>12</v>
      </c>
      <c r="E80" s="499" t="s">
        <v>13</v>
      </c>
      <c r="F80" s="499" t="s">
        <v>14</v>
      </c>
      <c r="G80" s="499" t="s">
        <v>15</v>
      </c>
      <c r="H80" s="499" t="s">
        <v>16</v>
      </c>
      <c r="I80" s="499">
        <v>20</v>
      </c>
      <c r="J80" s="499">
        <v>40</v>
      </c>
      <c r="K80" s="499" t="s">
        <v>19</v>
      </c>
      <c r="L80" s="497" t="s">
        <v>20</v>
      </c>
      <c r="M80" s="591" t="s">
        <v>28</v>
      </c>
      <c r="N80" s="207" t="s">
        <v>68</v>
      </c>
      <c r="O80" s="53" t="s">
        <v>63</v>
      </c>
      <c r="P80" s="180" t="s">
        <v>64</v>
      </c>
      <c r="Q80" s="179" t="s">
        <v>141</v>
      </c>
      <c r="R80" s="179" t="s">
        <v>70</v>
      </c>
      <c r="S80" s="179"/>
      <c r="T80" s="179"/>
      <c r="U80" s="179"/>
      <c r="V80" s="179"/>
      <c r="W80" s="179"/>
      <c r="X80" s="179"/>
      <c r="Y80" s="179"/>
      <c r="Z80" s="499" t="s">
        <v>22</v>
      </c>
      <c r="AA80" s="499" t="s">
        <v>23</v>
      </c>
      <c r="AB80" s="499" t="s">
        <v>24</v>
      </c>
      <c r="AC80" s="497" t="s">
        <v>330</v>
      </c>
    </row>
    <row r="81" spans="1:29" ht="40.200000000000003" thickBot="1" x14ac:dyDescent="0.3">
      <c r="A81" s="510"/>
      <c r="B81" s="504"/>
      <c r="C81" s="504"/>
      <c r="D81" s="504"/>
      <c r="E81" s="504"/>
      <c r="F81" s="504"/>
      <c r="G81" s="500"/>
      <c r="H81" s="504"/>
      <c r="I81" s="504"/>
      <c r="J81" s="504"/>
      <c r="K81" s="504"/>
      <c r="L81" s="498"/>
      <c r="M81" s="592"/>
      <c r="N81" s="208" t="s">
        <v>69</v>
      </c>
      <c r="O81" s="183" t="s">
        <v>66</v>
      </c>
      <c r="P81" s="185" t="s">
        <v>67</v>
      </c>
      <c r="Q81" s="202" t="s">
        <v>82</v>
      </c>
      <c r="R81" s="184" t="s">
        <v>82</v>
      </c>
      <c r="S81" s="184"/>
      <c r="T81" s="184"/>
      <c r="U81" s="184"/>
      <c r="V81" s="184"/>
      <c r="W81" s="184"/>
      <c r="X81" s="184"/>
      <c r="Y81" s="184"/>
      <c r="Z81" s="500"/>
      <c r="AA81" s="500"/>
      <c r="AB81" s="500"/>
      <c r="AC81" s="498"/>
    </row>
    <row r="82" spans="1:29" s="64" customFormat="1" x14ac:dyDescent="0.25">
      <c r="A82" s="385"/>
      <c r="B82" s="367"/>
      <c r="C82" s="367"/>
      <c r="D82" s="367"/>
      <c r="E82" s="367"/>
      <c r="F82" s="367"/>
      <c r="G82" s="337"/>
      <c r="H82" s="367"/>
      <c r="I82" s="346"/>
      <c r="J82" s="346"/>
      <c r="K82" s="346"/>
      <c r="L82" s="386"/>
      <c r="M82" s="387"/>
      <c r="N82" s="336"/>
      <c r="O82" s="337"/>
      <c r="P82" s="366"/>
      <c r="Q82" s="336"/>
      <c r="R82" s="337"/>
      <c r="S82" s="337"/>
      <c r="T82" s="337"/>
      <c r="U82" s="337"/>
      <c r="V82" s="337"/>
      <c r="W82" s="337"/>
      <c r="X82" s="337"/>
      <c r="Y82" s="337"/>
      <c r="Z82" s="375"/>
      <c r="AA82" s="375"/>
      <c r="AB82" s="337"/>
      <c r="AC82" s="366"/>
    </row>
    <row r="83" spans="1:29" s="64" customFormat="1" x14ac:dyDescent="0.25">
      <c r="A83" s="59"/>
      <c r="B83" s="186"/>
      <c r="C83" s="186"/>
      <c r="D83" s="186"/>
      <c r="E83" s="186"/>
      <c r="F83" s="186"/>
      <c r="G83" s="187"/>
      <c r="H83" s="186"/>
      <c r="I83" s="188"/>
      <c r="J83" s="188"/>
      <c r="K83" s="188"/>
      <c r="L83" s="203"/>
      <c r="M83" s="209"/>
      <c r="N83" s="204"/>
      <c r="O83" s="187"/>
      <c r="P83" s="190"/>
      <c r="Q83" s="65"/>
      <c r="R83" s="61"/>
      <c r="S83" s="61"/>
      <c r="T83" s="61"/>
      <c r="U83" s="61"/>
      <c r="V83" s="61"/>
      <c r="W83" s="187"/>
      <c r="X83" s="187"/>
      <c r="Y83" s="187"/>
      <c r="Z83" s="189"/>
      <c r="AA83" s="189"/>
      <c r="AB83" s="187"/>
      <c r="AC83" s="190"/>
    </row>
    <row r="84" spans="1:29" s="64" customFormat="1" x14ac:dyDescent="0.25">
      <c r="A84" s="59"/>
      <c r="B84" s="186"/>
      <c r="C84" s="186"/>
      <c r="D84" s="186"/>
      <c r="E84" s="186"/>
      <c r="F84" s="186"/>
      <c r="G84" s="187"/>
      <c r="H84" s="186"/>
      <c r="I84" s="188"/>
      <c r="J84" s="188"/>
      <c r="K84" s="188"/>
      <c r="L84" s="203"/>
      <c r="M84" s="209"/>
      <c r="N84" s="204"/>
      <c r="O84" s="187"/>
      <c r="P84" s="190"/>
      <c r="Q84" s="65"/>
      <c r="R84" s="61"/>
      <c r="S84" s="61"/>
      <c r="T84" s="61"/>
      <c r="U84" s="61"/>
      <c r="V84" s="61"/>
      <c r="W84" s="187"/>
      <c r="X84" s="187"/>
      <c r="Y84" s="187"/>
      <c r="Z84" s="189"/>
      <c r="AA84" s="189"/>
      <c r="AB84" s="187"/>
      <c r="AC84" s="190"/>
    </row>
    <row r="85" spans="1:29" s="64" customFormat="1" ht="13.8" thickBot="1" x14ac:dyDescent="0.3">
      <c r="A85" s="191"/>
      <c r="B85" s="192"/>
      <c r="C85" s="192"/>
      <c r="D85" s="192"/>
      <c r="E85" s="192"/>
      <c r="F85" s="192"/>
      <c r="G85" s="193"/>
      <c r="H85" s="192"/>
      <c r="I85" s="194"/>
      <c r="J85" s="194"/>
      <c r="K85" s="194"/>
      <c r="L85" s="205"/>
      <c r="M85" s="210"/>
      <c r="N85" s="206"/>
      <c r="O85" s="193"/>
      <c r="P85" s="197"/>
      <c r="Q85" s="206"/>
      <c r="R85" s="193"/>
      <c r="S85" s="193"/>
      <c r="T85" s="193"/>
      <c r="U85" s="193"/>
      <c r="V85" s="193"/>
      <c r="W85" s="193"/>
      <c r="X85" s="193"/>
      <c r="Y85" s="193"/>
      <c r="Z85" s="196"/>
      <c r="AA85" s="196"/>
      <c r="AB85" s="193"/>
      <c r="AC85" s="197"/>
    </row>
    <row r="86" spans="1:29" x14ac:dyDescent="0.25">
      <c r="A86" s="198"/>
      <c r="B86" s="198"/>
      <c r="C86" s="198"/>
      <c r="D86" s="198"/>
      <c r="E86" s="198"/>
      <c r="F86" s="198"/>
      <c r="G86" s="177"/>
      <c r="H86" s="177"/>
      <c r="I86" s="177"/>
      <c r="J86" s="177"/>
      <c r="K86" s="177"/>
      <c r="M86" s="177"/>
      <c r="V86" s="177"/>
      <c r="W86" s="177"/>
    </row>
    <row r="87" spans="1:29" x14ac:dyDescent="0.25">
      <c r="A87" s="198"/>
      <c r="B87" s="198"/>
      <c r="C87" s="198"/>
      <c r="D87" s="198"/>
      <c r="E87" s="198"/>
      <c r="F87" s="177"/>
      <c r="G87" s="177"/>
      <c r="H87" s="177"/>
      <c r="I87" s="177"/>
      <c r="J87" s="177"/>
      <c r="K87" s="199"/>
      <c r="L87" s="177"/>
      <c r="M87" s="177"/>
      <c r="N87" s="177"/>
      <c r="S87" s="177"/>
      <c r="T87" s="177"/>
      <c r="U87" s="177"/>
    </row>
    <row r="88" spans="1:29" ht="13.8" thickBot="1" x14ac:dyDescent="0.3">
      <c r="A88" s="198"/>
      <c r="B88" s="198"/>
      <c r="C88" s="198"/>
      <c r="D88" s="198"/>
      <c r="E88" s="177"/>
      <c r="F88" s="177"/>
      <c r="G88" s="177"/>
      <c r="H88" s="177"/>
      <c r="I88" s="177"/>
      <c r="J88" s="199"/>
      <c r="K88" s="199"/>
      <c r="L88" s="199"/>
      <c r="M88" s="199"/>
      <c r="R88" s="199"/>
    </row>
    <row r="89" spans="1:29" ht="13.8" thickBot="1" x14ac:dyDescent="0.3">
      <c r="A89" s="501" t="s">
        <v>29</v>
      </c>
      <c r="B89" s="570"/>
      <c r="C89" s="571"/>
      <c r="D89" s="198"/>
      <c r="E89" s="198"/>
      <c r="F89" s="177"/>
      <c r="G89" s="177"/>
      <c r="H89" s="177"/>
      <c r="I89" s="177"/>
      <c r="J89" s="177"/>
      <c r="K89" s="199"/>
      <c r="L89" s="199"/>
      <c r="M89" s="199"/>
      <c r="N89" s="199"/>
      <c r="S89" s="199"/>
      <c r="T89" s="199"/>
      <c r="U89" s="199"/>
    </row>
    <row r="90" spans="1:29" ht="13.8" thickBot="1" x14ac:dyDescent="0.3">
      <c r="A90" s="582" t="s">
        <v>556</v>
      </c>
      <c r="B90" s="583"/>
      <c r="C90" s="584"/>
      <c r="D90" s="198"/>
      <c r="E90" s="198"/>
      <c r="F90" s="198"/>
      <c r="G90" s="177"/>
      <c r="H90" s="177"/>
      <c r="I90" s="177"/>
      <c r="J90" s="177"/>
      <c r="K90" s="177"/>
      <c r="L90" s="199"/>
      <c r="N90" s="199"/>
      <c r="O90" s="199"/>
      <c r="V90" s="199"/>
    </row>
    <row r="91" spans="1:29" x14ac:dyDescent="0.25">
      <c r="A91" s="211" t="s">
        <v>30</v>
      </c>
      <c r="B91" s="212"/>
      <c r="C91" s="213" t="s">
        <v>149</v>
      </c>
      <c r="D91" s="214"/>
      <c r="E91" s="214"/>
      <c r="F91" s="215"/>
      <c r="G91" s="215"/>
      <c r="H91" s="214"/>
      <c r="I91" s="215"/>
      <c r="J91" s="214"/>
      <c r="K91" s="216"/>
      <c r="L91" s="217"/>
      <c r="N91" s="199"/>
      <c r="O91" s="199"/>
      <c r="P91" s="199"/>
    </row>
    <row r="92" spans="1:29" x14ac:dyDescent="0.25">
      <c r="A92" s="163" t="s">
        <v>557</v>
      </c>
      <c r="B92" s="218"/>
      <c r="C92" s="218"/>
      <c r="D92" s="219"/>
      <c r="E92" s="219"/>
      <c r="F92" s="220"/>
      <c r="G92" s="220"/>
      <c r="H92" s="219"/>
      <c r="I92" s="220"/>
      <c r="J92" s="219"/>
      <c r="K92" s="221"/>
      <c r="L92" s="222"/>
      <c r="N92" s="199"/>
      <c r="O92" s="199"/>
      <c r="P92" s="199"/>
    </row>
    <row r="93" spans="1:29" x14ac:dyDescent="0.25">
      <c r="A93" s="163" t="s">
        <v>165</v>
      </c>
      <c r="B93" s="218"/>
      <c r="C93" s="218"/>
      <c r="D93" s="219"/>
      <c r="E93" s="219"/>
      <c r="F93" s="220"/>
      <c r="G93" s="220"/>
      <c r="H93" s="219"/>
      <c r="I93" s="220"/>
      <c r="J93" s="219"/>
      <c r="K93" s="221"/>
      <c r="L93" s="222"/>
      <c r="N93" s="199"/>
      <c r="O93" s="199"/>
      <c r="P93" s="199"/>
    </row>
    <row r="94" spans="1:29" x14ac:dyDescent="0.25">
      <c r="A94" s="163" t="s">
        <v>861</v>
      </c>
      <c r="B94" s="218"/>
      <c r="C94" s="218"/>
      <c r="D94" s="219"/>
      <c r="E94" s="219"/>
      <c r="F94" s="220"/>
      <c r="G94" s="220"/>
      <c r="H94" s="219"/>
      <c r="I94" s="220"/>
      <c r="J94" s="219"/>
      <c r="K94" s="221"/>
      <c r="L94" s="222"/>
      <c r="N94" s="199"/>
      <c r="O94" s="199"/>
      <c r="P94" s="199"/>
    </row>
    <row r="95" spans="1:29" ht="13.8" thickBot="1" x14ac:dyDescent="0.3">
      <c r="A95" s="137" t="s">
        <v>862</v>
      </c>
      <c r="B95" s="223"/>
      <c r="C95" s="223"/>
      <c r="D95" s="224"/>
      <c r="E95" s="224"/>
      <c r="F95" s="225"/>
      <c r="G95" s="225"/>
      <c r="H95" s="224"/>
      <c r="I95" s="225"/>
      <c r="J95" s="224"/>
      <c r="K95" s="226"/>
      <c r="L95" s="227"/>
      <c r="N95" s="199"/>
      <c r="O95" s="199"/>
      <c r="P95" s="199"/>
    </row>
    <row r="96" spans="1:29" ht="13.8" thickBot="1" x14ac:dyDescent="0.3">
      <c r="A96" s="228"/>
      <c r="B96" s="142"/>
      <c r="C96" s="199"/>
      <c r="D96" s="198"/>
      <c r="E96" s="198"/>
      <c r="F96" s="198"/>
      <c r="G96" s="198"/>
      <c r="H96" s="177"/>
      <c r="I96" s="177"/>
      <c r="J96" s="177"/>
      <c r="K96" s="177"/>
      <c r="L96" s="177"/>
      <c r="M96" s="199"/>
      <c r="O96" s="199"/>
      <c r="P96" s="199"/>
      <c r="Q96" s="177"/>
    </row>
    <row r="97" spans="1:24" s="181" customFormat="1" ht="27" thickBot="1" x14ac:dyDescent="0.3">
      <c r="A97" s="229" t="s">
        <v>31</v>
      </c>
      <c r="B97" s="505" t="s">
        <v>559</v>
      </c>
      <c r="C97" s="505"/>
      <c r="D97" s="506"/>
      <c r="E97" s="54" t="s">
        <v>11</v>
      </c>
      <c r="F97" s="54" t="s">
        <v>14</v>
      </c>
      <c r="G97" s="54" t="s">
        <v>273</v>
      </c>
      <c r="H97" s="54" t="s">
        <v>32</v>
      </c>
      <c r="I97" s="54" t="s">
        <v>16</v>
      </c>
      <c r="J97" s="54" t="s">
        <v>17</v>
      </c>
      <c r="K97" s="54" t="s">
        <v>18</v>
      </c>
      <c r="L97" s="54" t="s">
        <v>19</v>
      </c>
      <c r="M97" s="54" t="s">
        <v>20</v>
      </c>
      <c r="N97" s="230" t="s">
        <v>117</v>
      </c>
      <c r="O97" s="54" t="s">
        <v>92</v>
      </c>
    </row>
    <row r="98" spans="1:24" s="64" customFormat="1" x14ac:dyDescent="0.25">
      <c r="A98" s="336" t="s">
        <v>1686</v>
      </c>
      <c r="B98" s="656" t="s">
        <v>1687</v>
      </c>
      <c r="C98" s="657"/>
      <c r="D98" s="658"/>
      <c r="E98" s="337" t="s">
        <v>1684</v>
      </c>
      <c r="F98" s="337" t="s">
        <v>56</v>
      </c>
      <c r="G98" s="337" t="s">
        <v>55</v>
      </c>
      <c r="H98" s="337"/>
      <c r="I98" s="337" t="s">
        <v>1366</v>
      </c>
      <c r="J98" s="346">
        <v>270</v>
      </c>
      <c r="K98" s="346">
        <v>300</v>
      </c>
      <c r="L98" s="346">
        <v>300</v>
      </c>
      <c r="M98" s="362">
        <v>380</v>
      </c>
      <c r="N98" s="347" t="s">
        <v>1683</v>
      </c>
      <c r="O98" s="337" t="s">
        <v>52</v>
      </c>
      <c r="P98" s="200"/>
      <c r="Q98" s="200"/>
      <c r="R98" s="200"/>
      <c r="S98" s="200"/>
      <c r="T98" s="200"/>
      <c r="U98" s="66"/>
      <c r="V98" s="66"/>
      <c r="W98" s="66"/>
    </row>
    <row r="99" spans="1:24" s="64" customFormat="1" x14ac:dyDescent="0.25">
      <c r="A99" s="65"/>
      <c r="B99" s="511"/>
      <c r="C99" s="511"/>
      <c r="D99" s="511"/>
      <c r="E99" s="61"/>
      <c r="F99" s="61"/>
      <c r="G99" s="61"/>
      <c r="H99" s="61"/>
      <c r="I99" s="61"/>
      <c r="J99" s="62"/>
      <c r="K99" s="62"/>
      <c r="L99" s="62"/>
      <c r="M99" s="232"/>
      <c r="N99" s="55"/>
      <c r="O99" s="61"/>
      <c r="P99" s="200"/>
      <c r="Q99" s="200"/>
      <c r="R99" s="200"/>
      <c r="S99" s="200"/>
      <c r="T99" s="200"/>
      <c r="U99" s="66"/>
      <c r="V99" s="66"/>
      <c r="W99" s="66"/>
    </row>
    <row r="100" spans="1:24" s="64" customFormat="1" x14ac:dyDescent="0.25">
      <c r="A100" s="65"/>
      <c r="B100" s="511"/>
      <c r="C100" s="511"/>
      <c r="D100" s="511"/>
      <c r="E100" s="61"/>
      <c r="F100" s="61"/>
      <c r="G100" s="61"/>
      <c r="H100" s="61"/>
      <c r="I100" s="61"/>
      <c r="J100" s="62"/>
      <c r="K100" s="62"/>
      <c r="L100" s="62"/>
      <c r="M100" s="232"/>
      <c r="N100" s="55"/>
      <c r="O100" s="61"/>
      <c r="P100" s="200"/>
      <c r="Q100" s="200"/>
      <c r="R100" s="200"/>
      <c r="S100" s="200"/>
      <c r="T100" s="200"/>
      <c r="U100" s="66"/>
      <c r="V100" s="66"/>
      <c r="W100" s="66"/>
    </row>
    <row r="101" spans="1:24" s="64" customFormat="1" ht="13.8" thickBot="1" x14ac:dyDescent="0.3">
      <c r="A101" s="127"/>
      <c r="B101" s="595"/>
      <c r="C101" s="595"/>
      <c r="D101" s="595"/>
      <c r="E101" s="195"/>
      <c r="F101" s="195"/>
      <c r="G101" s="195"/>
      <c r="H101" s="195"/>
      <c r="I101" s="195"/>
      <c r="J101" s="233"/>
      <c r="K101" s="342"/>
      <c r="L101" s="342"/>
      <c r="M101" s="234"/>
      <c r="N101" s="148"/>
      <c r="O101" s="195"/>
      <c r="P101" s="200"/>
      <c r="Q101" s="200"/>
      <c r="R101" s="200"/>
      <c r="S101" s="200"/>
      <c r="T101" s="200"/>
      <c r="U101" s="66"/>
      <c r="V101" s="66"/>
      <c r="W101" s="66"/>
    </row>
    <row r="102" spans="1:24" x14ac:dyDescent="0.25">
      <c r="A102" s="199"/>
      <c r="B102" s="199"/>
      <c r="E102" s="199"/>
      <c r="J102" s="199"/>
      <c r="K102" s="199"/>
      <c r="L102" s="199"/>
      <c r="M102" s="199"/>
      <c r="O102" s="199"/>
      <c r="P102" s="177"/>
      <c r="Q102" s="177"/>
      <c r="R102" s="177"/>
      <c r="S102" s="177"/>
      <c r="T102" s="177"/>
      <c r="U102" s="177"/>
      <c r="V102" s="199"/>
      <c r="W102" s="199"/>
      <c r="X102" s="199"/>
    </row>
    <row r="103" spans="1:24" ht="13.8" thickBot="1" x14ac:dyDescent="0.3">
      <c r="A103" s="142"/>
      <c r="B103" s="142"/>
      <c r="C103" s="142"/>
      <c r="D103" s="142"/>
      <c r="E103" s="142"/>
      <c r="F103" s="142"/>
      <c r="G103" s="142"/>
      <c r="H103" s="142"/>
      <c r="J103" s="199"/>
      <c r="K103" s="199"/>
      <c r="L103" s="199"/>
      <c r="M103" s="199"/>
      <c r="N103" s="199"/>
      <c r="O103" s="199"/>
      <c r="P103" s="199"/>
      <c r="Q103" s="199"/>
      <c r="R103" s="199"/>
      <c r="S103" s="199"/>
      <c r="T103" s="199"/>
      <c r="U103" s="199"/>
      <c r="V103" s="199"/>
      <c r="W103" s="177"/>
    </row>
    <row r="104" spans="1:24" ht="13.8" thickBot="1" x14ac:dyDescent="0.3">
      <c r="A104" s="501" t="s">
        <v>34</v>
      </c>
      <c r="B104" s="570"/>
      <c r="C104" s="571"/>
      <c r="D104" s="235"/>
      <c r="E104" s="198"/>
      <c r="F104" s="198"/>
      <c r="G104" s="198"/>
      <c r="H104" s="198"/>
      <c r="I104" s="177"/>
      <c r="J104" s="177"/>
      <c r="K104" s="177"/>
      <c r="L104" s="177"/>
      <c r="M104" s="177"/>
      <c r="N104" s="199"/>
      <c r="O104" s="199"/>
      <c r="P104" s="199"/>
      <c r="Q104" s="199"/>
      <c r="R104" s="199"/>
      <c r="S104" s="199"/>
      <c r="T104" s="199"/>
      <c r="U104" s="199"/>
      <c r="V104" s="199"/>
      <c r="W104" s="177"/>
    </row>
    <row r="105" spans="1:24" ht="13.8" thickBot="1" x14ac:dyDescent="0.3">
      <c r="A105" s="582" t="s">
        <v>556</v>
      </c>
      <c r="B105" s="583"/>
      <c r="C105" s="584"/>
      <c r="D105" s="139"/>
      <c r="E105" s="139"/>
      <c r="F105" s="139"/>
      <c r="G105" s="139"/>
      <c r="H105" s="140"/>
      <c r="I105" s="140"/>
      <c r="J105" s="139"/>
      <c r="K105" s="140"/>
      <c r="L105" s="139"/>
      <c r="M105" s="177"/>
      <c r="N105" s="199"/>
      <c r="O105" s="199"/>
      <c r="P105" s="199"/>
      <c r="Q105" s="199"/>
      <c r="R105" s="199"/>
      <c r="S105" s="199"/>
      <c r="T105" s="199"/>
      <c r="U105" s="199"/>
      <c r="V105" s="199"/>
      <c r="W105" s="177"/>
    </row>
    <row r="106" spans="1:24" x14ac:dyDescent="0.25">
      <c r="A106" s="211" t="s">
        <v>30</v>
      </c>
      <c r="B106" s="156"/>
      <c r="C106" s="213" t="s">
        <v>149</v>
      </c>
      <c r="D106" s="213"/>
      <c r="E106" s="214"/>
      <c r="F106" s="214"/>
      <c r="G106" s="214"/>
      <c r="H106" s="215"/>
      <c r="I106" s="215"/>
      <c r="J106" s="214"/>
      <c r="K106" s="215"/>
      <c r="L106" s="236"/>
      <c r="M106" s="177"/>
      <c r="N106" s="199"/>
      <c r="O106" s="199"/>
      <c r="P106" s="199"/>
      <c r="Q106" s="199"/>
      <c r="R106" s="199"/>
      <c r="S106" s="199"/>
      <c r="T106" s="199"/>
      <c r="U106" s="199"/>
      <c r="V106" s="199"/>
      <c r="W106" s="177"/>
    </row>
    <row r="107" spans="1:24" x14ac:dyDescent="0.25">
      <c r="A107" s="163" t="s">
        <v>35</v>
      </c>
      <c r="B107" s="219"/>
      <c r="C107" s="219"/>
      <c r="D107" s="219"/>
      <c r="E107" s="219"/>
      <c r="F107" s="219"/>
      <c r="G107" s="219"/>
      <c r="H107" s="220"/>
      <c r="I107" s="220"/>
      <c r="J107" s="219"/>
      <c r="K107" s="220"/>
      <c r="L107" s="237"/>
      <c r="M107" s="177"/>
      <c r="N107" s="199"/>
      <c r="O107" s="199"/>
      <c r="P107" s="199"/>
      <c r="Q107" s="199"/>
      <c r="R107" s="199"/>
      <c r="S107" s="199"/>
      <c r="T107" s="199"/>
      <c r="U107" s="199"/>
      <c r="V107" s="199"/>
      <c r="W107" s="177"/>
    </row>
    <row r="108" spans="1:24" x14ac:dyDescent="0.25">
      <c r="A108" s="163" t="s">
        <v>166</v>
      </c>
      <c r="B108" s="219"/>
      <c r="C108" s="219"/>
      <c r="D108" s="219"/>
      <c r="E108" s="219"/>
      <c r="F108" s="219"/>
      <c r="G108" s="219"/>
      <c r="H108" s="220"/>
      <c r="I108" s="220"/>
      <c r="J108" s="219"/>
      <c r="K108" s="220"/>
      <c r="L108" s="237"/>
      <c r="M108" s="177"/>
      <c r="N108" s="199"/>
      <c r="O108" s="199"/>
      <c r="P108" s="199"/>
      <c r="Q108" s="199"/>
      <c r="R108" s="199"/>
      <c r="S108" s="199"/>
      <c r="T108" s="199"/>
      <c r="U108" s="199"/>
      <c r="V108" s="199"/>
      <c r="W108" s="177"/>
    </row>
    <row r="109" spans="1:24" x14ac:dyDescent="0.25">
      <c r="A109" s="163" t="s">
        <v>861</v>
      </c>
      <c r="B109" s="219"/>
      <c r="C109" s="219"/>
      <c r="D109" s="219"/>
      <c r="E109" s="219"/>
      <c r="F109" s="219"/>
      <c r="G109" s="219"/>
      <c r="H109" s="220"/>
      <c r="I109" s="220"/>
      <c r="J109" s="219"/>
      <c r="K109" s="220"/>
      <c r="L109" s="237"/>
      <c r="M109" s="177"/>
      <c r="N109" s="199"/>
      <c r="O109" s="199"/>
      <c r="P109" s="199"/>
      <c r="Q109" s="199"/>
      <c r="R109" s="199"/>
      <c r="S109" s="199"/>
      <c r="T109" s="199"/>
      <c r="U109" s="199"/>
      <c r="V109" s="199"/>
      <c r="W109" s="177"/>
    </row>
    <row r="110" spans="1:24" ht="13.8" thickBot="1" x14ac:dyDescent="0.3">
      <c r="A110" s="137" t="s">
        <v>862</v>
      </c>
      <c r="B110" s="224"/>
      <c r="C110" s="224"/>
      <c r="D110" s="224"/>
      <c r="E110" s="224"/>
      <c r="F110" s="224"/>
      <c r="G110" s="224"/>
      <c r="H110" s="225"/>
      <c r="I110" s="225"/>
      <c r="J110" s="224"/>
      <c r="K110" s="225"/>
      <c r="L110" s="238"/>
      <c r="M110" s="177"/>
      <c r="N110" s="199"/>
      <c r="O110" s="199"/>
      <c r="P110" s="199"/>
      <c r="Q110" s="199"/>
      <c r="R110" s="199"/>
      <c r="S110" s="199"/>
      <c r="T110" s="199"/>
      <c r="U110" s="199"/>
      <c r="V110" s="199"/>
      <c r="W110" s="177"/>
    </row>
    <row r="111" spans="1:24" ht="13.8" thickBot="1" x14ac:dyDescent="0.3">
      <c r="A111" s="239"/>
      <c r="E111" s="139"/>
      <c r="F111" s="139"/>
      <c r="G111" s="139"/>
      <c r="H111" s="140"/>
      <c r="I111" s="142"/>
      <c r="J111" s="139"/>
      <c r="K111" s="140"/>
      <c r="L111" s="139"/>
      <c r="M111" s="177"/>
      <c r="N111" s="199"/>
      <c r="O111" s="199"/>
      <c r="P111" s="199"/>
      <c r="Q111" s="199"/>
      <c r="R111" s="177"/>
      <c r="V111" s="240"/>
      <c r="W111" s="240"/>
    </row>
    <row r="112" spans="1:24" s="181" customFormat="1" ht="27" thickBot="1" x14ac:dyDescent="0.3">
      <c r="A112" s="229" t="s">
        <v>31</v>
      </c>
      <c r="B112" s="505" t="s">
        <v>13</v>
      </c>
      <c r="C112" s="505"/>
      <c r="D112" s="506"/>
      <c r="E112" s="54" t="s">
        <v>12</v>
      </c>
      <c r="F112" s="54" t="s">
        <v>14</v>
      </c>
      <c r="G112" s="54" t="s">
        <v>262</v>
      </c>
      <c r="H112" s="54" t="s">
        <v>32</v>
      </c>
      <c r="I112" s="54" t="s">
        <v>16</v>
      </c>
      <c r="J112" s="54" t="s">
        <v>17</v>
      </c>
      <c r="K112" s="54" t="s">
        <v>18</v>
      </c>
      <c r="L112" s="54" t="s">
        <v>19</v>
      </c>
      <c r="M112" s="54" t="s">
        <v>20</v>
      </c>
      <c r="N112" s="230" t="s">
        <v>117</v>
      </c>
      <c r="O112" s="54" t="s">
        <v>90</v>
      </c>
      <c r="V112" s="241"/>
    </row>
    <row r="113" spans="1:22" s="64" customFormat="1" x14ac:dyDescent="0.25">
      <c r="A113" s="336"/>
      <c r="B113" s="543"/>
      <c r="C113" s="543"/>
      <c r="D113" s="543"/>
      <c r="E113" s="337"/>
      <c r="F113" s="337"/>
      <c r="G113" s="337"/>
      <c r="H113" s="337"/>
      <c r="I113" s="337"/>
      <c r="J113" s="346"/>
      <c r="K113" s="346"/>
      <c r="L113" s="346"/>
      <c r="M113" s="346"/>
      <c r="N113" s="347"/>
      <c r="O113" s="337"/>
      <c r="P113" s="66"/>
      <c r="Q113" s="66"/>
      <c r="R113" s="66"/>
      <c r="S113" s="66"/>
      <c r="T113" s="66"/>
      <c r="U113" s="66"/>
      <c r="V113" s="200"/>
    </row>
    <row r="114" spans="1:22" s="64" customFormat="1" x14ac:dyDescent="0.25">
      <c r="A114" s="65"/>
      <c r="B114" s="511"/>
      <c r="C114" s="511"/>
      <c r="D114" s="511"/>
      <c r="E114" s="61"/>
      <c r="F114" s="61"/>
      <c r="G114" s="61"/>
      <c r="H114" s="61"/>
      <c r="I114" s="61"/>
      <c r="J114" s="188"/>
      <c r="K114" s="188"/>
      <c r="L114" s="188"/>
      <c r="M114" s="188"/>
      <c r="N114" s="55"/>
      <c r="O114" s="61"/>
      <c r="P114" s="66"/>
      <c r="Q114" s="66"/>
      <c r="R114" s="66"/>
      <c r="S114" s="66"/>
      <c r="T114" s="66"/>
      <c r="U114" s="66"/>
      <c r="V114" s="200"/>
    </row>
    <row r="115" spans="1:22" s="64" customFormat="1" x14ac:dyDescent="0.25">
      <c r="A115" s="65"/>
      <c r="B115" s="511"/>
      <c r="C115" s="511"/>
      <c r="D115" s="511"/>
      <c r="E115" s="61"/>
      <c r="F115" s="61"/>
      <c r="G115" s="61"/>
      <c r="H115" s="61"/>
      <c r="I115" s="61"/>
      <c r="J115" s="188"/>
      <c r="K115" s="188"/>
      <c r="L115" s="188"/>
      <c r="M115" s="188"/>
      <c r="N115" s="55"/>
      <c r="O115" s="61"/>
      <c r="P115" s="66"/>
      <c r="Q115" s="66"/>
      <c r="R115" s="66"/>
      <c r="S115" s="66"/>
      <c r="T115" s="66"/>
      <c r="U115" s="66"/>
      <c r="V115" s="200"/>
    </row>
    <row r="116" spans="1:22" s="64" customFormat="1" ht="13.8" thickBot="1" x14ac:dyDescent="0.3">
      <c r="A116" s="127"/>
      <c r="B116" s="595"/>
      <c r="C116" s="595"/>
      <c r="D116" s="595"/>
      <c r="E116" s="195"/>
      <c r="F116" s="195"/>
      <c r="G116" s="195"/>
      <c r="H116" s="195"/>
      <c r="I116" s="195"/>
      <c r="J116" s="194"/>
      <c r="K116" s="194"/>
      <c r="L116" s="194"/>
      <c r="M116" s="194"/>
      <c r="N116" s="148"/>
      <c r="O116" s="193"/>
      <c r="P116" s="66"/>
      <c r="Q116" s="66"/>
      <c r="R116" s="66"/>
      <c r="S116" s="66"/>
      <c r="T116" s="66"/>
      <c r="U116" s="66"/>
      <c r="V116" s="200"/>
    </row>
    <row r="117" spans="1:22" ht="13.8" thickBot="1" x14ac:dyDescent="0.3">
      <c r="A117" s="198"/>
      <c r="B117" s="198"/>
      <c r="C117" s="198"/>
      <c r="D117" s="198"/>
      <c r="E117" s="198"/>
      <c r="F117" s="198"/>
      <c r="G117" s="198"/>
      <c r="H117" s="177"/>
      <c r="I117" s="177"/>
      <c r="J117" s="177"/>
      <c r="K117" s="177"/>
      <c r="L117" s="177"/>
      <c r="M117" s="199"/>
      <c r="N117" s="199"/>
      <c r="O117" s="199"/>
      <c r="P117" s="199"/>
      <c r="Q117" s="199"/>
      <c r="R117" s="199"/>
      <c r="S117" s="199"/>
      <c r="T117" s="199"/>
      <c r="U117" s="199"/>
      <c r="V117" s="177"/>
    </row>
    <row r="118" spans="1:22" ht="13.8" thickBot="1" x14ac:dyDescent="0.3">
      <c r="A118" s="501" t="s">
        <v>36</v>
      </c>
      <c r="B118" s="502"/>
      <c r="C118" s="502"/>
      <c r="D118" s="502"/>
      <c r="E118" s="502"/>
      <c r="F118" s="502"/>
      <c r="G118" s="502"/>
      <c r="H118" s="502"/>
      <c r="I118" s="503"/>
      <c r="K118" s="177"/>
      <c r="L118" s="199"/>
      <c r="M118" s="199"/>
      <c r="N118" s="199"/>
      <c r="O118" s="199"/>
      <c r="P118" s="199"/>
      <c r="Q118" s="199"/>
      <c r="R118" s="199"/>
      <c r="S118" s="177"/>
      <c r="T118" s="177"/>
      <c r="U118" s="177"/>
    </row>
    <row r="119" spans="1:22" ht="13.8" thickBot="1" x14ac:dyDescent="0.3">
      <c r="A119" s="596" t="s">
        <v>37</v>
      </c>
      <c r="B119" s="597"/>
      <c r="C119" s="597"/>
      <c r="D119" s="597"/>
      <c r="E119" s="597"/>
      <c r="F119" s="597"/>
      <c r="G119" s="597"/>
      <c r="H119" s="597"/>
      <c r="I119" s="598"/>
      <c r="J119" s="140"/>
      <c r="K119" s="177"/>
      <c r="L119" s="199"/>
      <c r="M119" s="199"/>
      <c r="N119" s="199"/>
      <c r="O119" s="199"/>
      <c r="P119" s="199"/>
      <c r="Q119" s="199"/>
      <c r="R119" s="199"/>
      <c r="S119" s="177"/>
      <c r="T119" s="177"/>
      <c r="U119" s="177"/>
    </row>
    <row r="120" spans="1:22" s="335" customFormat="1" ht="15.75" customHeight="1" thickBot="1" x14ac:dyDescent="0.3">
      <c r="A120" s="384" t="s">
        <v>280</v>
      </c>
      <c r="B120" s="544" t="s">
        <v>971</v>
      </c>
      <c r="C120" s="545"/>
      <c r="D120" s="545"/>
      <c r="E120" s="545"/>
      <c r="F120" s="545"/>
      <c r="G120" s="545"/>
      <c r="H120" s="545"/>
      <c r="I120" s="546"/>
      <c r="J120" s="370"/>
      <c r="K120" s="371"/>
      <c r="L120" s="338"/>
      <c r="M120" s="338"/>
      <c r="N120" s="338"/>
      <c r="O120" s="338"/>
      <c r="P120" s="338"/>
      <c r="Q120" s="338"/>
      <c r="R120" s="338"/>
      <c r="S120" s="371"/>
      <c r="T120" s="371"/>
      <c r="U120" s="371"/>
    </row>
    <row r="121" spans="1:22" s="335" customFormat="1" ht="15.75" customHeight="1" thickBot="1" x14ac:dyDescent="0.3">
      <c r="A121" s="384" t="s">
        <v>1231</v>
      </c>
      <c r="B121" s="544" t="s">
        <v>1688</v>
      </c>
      <c r="C121" s="545"/>
      <c r="D121" s="545"/>
      <c r="E121" s="545"/>
      <c r="F121" s="545"/>
      <c r="G121" s="545"/>
      <c r="H121" s="545"/>
      <c r="I121" s="546"/>
      <c r="J121" s="370"/>
      <c r="K121" s="371"/>
      <c r="L121" s="338"/>
      <c r="M121" s="338"/>
      <c r="N121" s="338"/>
      <c r="O121" s="338"/>
      <c r="P121" s="338"/>
      <c r="Q121" s="338"/>
      <c r="R121" s="338"/>
      <c r="S121" s="371"/>
      <c r="T121" s="371"/>
      <c r="U121" s="371"/>
    </row>
    <row r="122" spans="1:22" ht="13.8" thickBot="1" x14ac:dyDescent="0.3">
      <c r="A122" s="239"/>
      <c r="J122" s="199"/>
      <c r="K122" s="177"/>
      <c r="L122" s="199"/>
      <c r="M122" s="199"/>
      <c r="N122" s="199"/>
      <c r="O122" s="199"/>
      <c r="P122" s="199"/>
      <c r="Q122" s="177"/>
    </row>
    <row r="123" spans="1:22" ht="16.5" customHeight="1" thickBot="1" x14ac:dyDescent="0.3">
      <c r="A123" s="593" t="s">
        <v>203</v>
      </c>
      <c r="B123" s="594"/>
      <c r="C123" s="594"/>
      <c r="D123" s="594"/>
      <c r="E123" s="594"/>
      <c r="F123" s="594"/>
      <c r="G123" s="594"/>
      <c r="H123" s="578" t="s">
        <v>215</v>
      </c>
      <c r="I123" s="576" t="s">
        <v>558</v>
      </c>
      <c r="J123" s="576" t="s">
        <v>204</v>
      </c>
      <c r="K123" s="576" t="s">
        <v>23</v>
      </c>
      <c r="L123" s="576" t="s">
        <v>286</v>
      </c>
      <c r="M123" s="580" t="s">
        <v>81</v>
      </c>
      <c r="N123" s="199"/>
      <c r="O123" s="177"/>
      <c r="Q123" s="240"/>
      <c r="R123" s="240"/>
    </row>
    <row r="124" spans="1:22" s="141" customFormat="1" ht="13.8" thickBot="1" x14ac:dyDescent="0.3">
      <c r="A124" s="585" t="s">
        <v>1648</v>
      </c>
      <c r="B124" s="586"/>
      <c r="C124" s="586"/>
      <c r="D124" s="586"/>
      <c r="E124" s="586"/>
      <c r="F124" s="586"/>
      <c r="G124" s="587"/>
      <c r="H124" s="579"/>
      <c r="I124" s="577"/>
      <c r="J124" s="577"/>
      <c r="K124" s="577"/>
      <c r="L124" s="577"/>
      <c r="M124" s="581"/>
      <c r="N124" s="242"/>
      <c r="O124" s="242"/>
      <c r="P124" s="242"/>
      <c r="Q124" s="242"/>
      <c r="R124" s="242"/>
    </row>
    <row r="125" spans="1:22" s="141" customFormat="1" ht="15.75" customHeight="1" thickBot="1" x14ac:dyDescent="0.3">
      <c r="A125" s="588" t="s">
        <v>1329</v>
      </c>
      <c r="B125" s="589"/>
      <c r="C125" s="589"/>
      <c r="D125" s="589"/>
      <c r="E125" s="589"/>
      <c r="F125" s="589"/>
      <c r="G125" s="590"/>
      <c r="H125" s="579"/>
      <c r="I125" s="577"/>
      <c r="J125" s="577"/>
      <c r="K125" s="577"/>
      <c r="L125" s="577"/>
      <c r="M125" s="581"/>
      <c r="N125" s="242"/>
      <c r="O125" s="242"/>
      <c r="P125" s="242"/>
      <c r="Q125" s="242"/>
      <c r="R125" s="242"/>
    </row>
    <row r="126" spans="1:22" s="64" customFormat="1" ht="15.75" customHeight="1" x14ac:dyDescent="0.25">
      <c r="A126" s="373" t="s">
        <v>221</v>
      </c>
      <c r="B126" s="543" t="str">
        <f>IF($A126="","",VLOOKUP($A126,Listes!$A$3:$C$230,2,FALSE))</f>
        <v>Bunker Adjustment Factor</v>
      </c>
      <c r="C126" s="543"/>
      <c r="D126" s="543"/>
      <c r="E126" s="542" t="s">
        <v>52</v>
      </c>
      <c r="F126" s="542"/>
      <c r="G126" s="542"/>
      <c r="H126" s="374"/>
      <c r="I126" s="375"/>
      <c r="J126" s="375"/>
      <c r="K126" s="375"/>
      <c r="L126" s="375"/>
      <c r="M126" s="376"/>
      <c r="N126" s="66"/>
      <c r="O126" s="66"/>
      <c r="P126" s="66"/>
      <c r="Q126" s="66"/>
      <c r="R126" s="200"/>
    </row>
    <row r="127" spans="1:22" s="64" customFormat="1" ht="15.75" customHeight="1" x14ac:dyDescent="0.25">
      <c r="A127" s="377" t="s">
        <v>499</v>
      </c>
      <c r="B127" s="511" t="str">
        <f>IF($A127="","",VLOOKUP($A127,Listes!$A$3:$C$230,2,FALSE))</f>
        <v>Cargo Facility Charge</v>
      </c>
      <c r="C127" s="511"/>
      <c r="D127" s="511"/>
      <c r="E127" s="541" t="s">
        <v>50</v>
      </c>
      <c r="F127" s="541"/>
      <c r="G127" s="541"/>
      <c r="H127" s="378"/>
      <c r="I127" s="345"/>
      <c r="J127" s="345"/>
      <c r="K127" s="345"/>
      <c r="L127" s="345"/>
      <c r="M127" s="379"/>
      <c r="N127" s="66"/>
      <c r="O127" s="66"/>
      <c r="P127" s="66"/>
      <c r="Q127" s="66"/>
      <c r="R127" s="200"/>
    </row>
    <row r="128" spans="1:22" s="64" customFormat="1" ht="15.75" customHeight="1" x14ac:dyDescent="0.25">
      <c r="A128" s="377" t="s">
        <v>951</v>
      </c>
      <c r="B128" s="511" t="str">
        <f>IF($A128="","",VLOOKUP($A128,Listes!$A$3:$C$230,2,FALSE))</f>
        <v>Chassis Administration Fee On-Carriage</v>
      </c>
      <c r="C128" s="511"/>
      <c r="D128" s="511"/>
      <c r="E128" s="541" t="s">
        <v>50</v>
      </c>
      <c r="F128" s="541"/>
      <c r="G128" s="541"/>
      <c r="H128" s="378"/>
      <c r="I128" s="345"/>
      <c r="J128" s="345"/>
      <c r="K128" s="345"/>
      <c r="L128" s="345"/>
      <c r="M128" s="379"/>
      <c r="N128" s="66"/>
      <c r="O128" s="66"/>
      <c r="P128" s="66"/>
      <c r="Q128" s="66"/>
      <c r="R128" s="200"/>
    </row>
    <row r="129" spans="1:18" s="64" customFormat="1" ht="15.75" customHeight="1" x14ac:dyDescent="0.25">
      <c r="A129" s="377" t="s">
        <v>493</v>
      </c>
      <c r="B129" s="511" t="str">
        <f>IF($A129="","",VLOOKUP($A129,Listes!$A$3:$C$230,2,FALSE))</f>
        <v>Chassis Provision Charge</v>
      </c>
      <c r="C129" s="511"/>
      <c r="D129" s="511"/>
      <c r="E129" s="541" t="s">
        <v>50</v>
      </c>
      <c r="F129" s="541"/>
      <c r="G129" s="541"/>
      <c r="H129" s="378"/>
      <c r="I129" s="345"/>
      <c r="J129" s="345"/>
      <c r="K129" s="345"/>
      <c r="L129" s="345"/>
      <c r="M129" s="379"/>
      <c r="N129" s="66"/>
      <c r="O129" s="66"/>
      <c r="P129" s="66"/>
      <c r="Q129" s="66"/>
      <c r="R129" s="200"/>
    </row>
    <row r="130" spans="1:18" s="64" customFormat="1" ht="15.75" customHeight="1" x14ac:dyDescent="0.25">
      <c r="A130" s="377" t="s">
        <v>249</v>
      </c>
      <c r="B130" s="511" t="str">
        <f>IF($A130="","",VLOOKUP($A130,Listes!$A$3:$C$230,2,FALSE))</f>
        <v>Carrier Security Charge</v>
      </c>
      <c r="C130" s="511"/>
      <c r="D130" s="511"/>
      <c r="E130" s="541" t="s">
        <v>50</v>
      </c>
      <c r="F130" s="541"/>
      <c r="G130" s="541"/>
      <c r="H130" s="378"/>
      <c r="I130" s="345"/>
      <c r="J130" s="345"/>
      <c r="K130" s="345"/>
      <c r="L130" s="345"/>
      <c r="M130" s="379"/>
      <c r="N130" s="66"/>
      <c r="O130" s="66"/>
      <c r="P130" s="66"/>
      <c r="Q130" s="66"/>
      <c r="R130" s="200"/>
    </row>
    <row r="131" spans="1:18" s="64" customFormat="1" ht="15.75" customHeight="1" x14ac:dyDescent="0.25">
      <c r="A131" s="377" t="s">
        <v>1049</v>
      </c>
      <c r="B131" s="511" t="str">
        <f>IF($A131="","",VLOOKUP($A131,Listes!$A$3:$C$230,2,FALSE))</f>
        <v>Container Maintenance Charge Destination</v>
      </c>
      <c r="C131" s="511"/>
      <c r="D131" s="511"/>
      <c r="E131" s="541" t="s">
        <v>50</v>
      </c>
      <c r="F131" s="541"/>
      <c r="G131" s="541"/>
      <c r="H131" s="378"/>
      <c r="I131" s="345"/>
      <c r="J131" s="345"/>
      <c r="K131" s="345"/>
      <c r="L131" s="345"/>
      <c r="M131" s="379"/>
      <c r="N131" s="66"/>
      <c r="O131" s="66"/>
      <c r="P131" s="66"/>
      <c r="Q131" s="66"/>
      <c r="R131" s="200"/>
    </row>
    <row r="132" spans="1:18" s="64" customFormat="1" ht="15.75" customHeight="1" x14ac:dyDescent="0.25">
      <c r="A132" s="377" t="s">
        <v>219</v>
      </c>
      <c r="B132" s="511" t="str">
        <f>IF($A132="","",VLOOKUP($A132,Listes!$A$3:$C$230,2,FALSE))</f>
        <v>Destination THC / Destination Receiving Charge</v>
      </c>
      <c r="C132" s="511"/>
      <c r="D132" s="511"/>
      <c r="E132" s="541" t="s">
        <v>52</v>
      </c>
      <c r="F132" s="541"/>
      <c r="G132" s="541"/>
      <c r="H132" s="378"/>
      <c r="I132" s="345"/>
      <c r="J132" s="345"/>
      <c r="K132" s="345"/>
      <c r="L132" s="345"/>
      <c r="M132" s="379"/>
      <c r="N132" s="66"/>
      <c r="O132" s="66"/>
      <c r="P132" s="66"/>
      <c r="Q132" s="66"/>
      <c r="R132" s="200"/>
    </row>
    <row r="133" spans="1:18" s="64" customFormat="1" ht="15.75" customHeight="1" x14ac:dyDescent="0.25">
      <c r="A133" s="377" t="s">
        <v>780</v>
      </c>
      <c r="B133" s="511" t="str">
        <f>IF($A133="","",VLOOKUP($A133,Listes!$A$3:$C$230,2,FALSE))</f>
        <v>Export Documentation Fees - Carrier</v>
      </c>
      <c r="C133" s="511"/>
      <c r="D133" s="511"/>
      <c r="E133" s="541" t="s">
        <v>50</v>
      </c>
      <c r="F133" s="541"/>
      <c r="G133" s="541"/>
      <c r="H133" s="378"/>
      <c r="I133" s="345"/>
      <c r="J133" s="345"/>
      <c r="K133" s="345"/>
      <c r="L133" s="345"/>
      <c r="M133" s="379"/>
      <c r="N133" s="66"/>
      <c r="O133" s="66"/>
      <c r="P133" s="66"/>
      <c r="Q133" s="66"/>
      <c r="R133" s="200"/>
    </row>
    <row r="134" spans="1:18" s="64" customFormat="1" ht="15.75" customHeight="1" x14ac:dyDescent="0.25">
      <c r="A134" s="377" t="s">
        <v>763</v>
      </c>
      <c r="B134" s="511" t="str">
        <f>IF($A134="","",VLOOKUP($A134,Listes!$A$3:$C$230,2,FALSE))</f>
        <v>Export Declaration Surcharge</v>
      </c>
      <c r="C134" s="511"/>
      <c r="D134" s="511"/>
      <c r="E134" s="541" t="s">
        <v>52</v>
      </c>
      <c r="F134" s="541"/>
      <c r="G134" s="541"/>
      <c r="H134" s="378"/>
      <c r="I134" s="345"/>
      <c r="J134" s="345"/>
      <c r="K134" s="345"/>
      <c r="L134" s="345"/>
      <c r="M134" s="379"/>
      <c r="N134" s="66"/>
      <c r="O134" s="66"/>
      <c r="P134" s="66"/>
      <c r="Q134" s="66"/>
      <c r="R134" s="200"/>
    </row>
    <row r="135" spans="1:18" s="64" customFormat="1" ht="15.75" customHeight="1" x14ac:dyDescent="0.25">
      <c r="A135" s="377" t="s">
        <v>1093</v>
      </c>
      <c r="B135" s="511" t="str">
        <f>IF($A135="","",VLOOKUP($A135,Listes!$A$3:$C$230,2,FALSE))</f>
        <v>Export Seal Fee</v>
      </c>
      <c r="C135" s="511"/>
      <c r="D135" s="511"/>
      <c r="E135" s="541" t="s">
        <v>50</v>
      </c>
      <c r="F135" s="541"/>
      <c r="G135" s="541"/>
      <c r="H135" s="378"/>
      <c r="I135" s="345"/>
      <c r="J135" s="345"/>
      <c r="K135" s="345"/>
      <c r="L135" s="345"/>
      <c r="M135" s="379"/>
      <c r="N135" s="66"/>
      <c r="O135" s="66"/>
      <c r="P135" s="66"/>
      <c r="Q135" s="66"/>
      <c r="R135" s="200"/>
    </row>
    <row r="136" spans="1:18" s="64" customFormat="1" ht="15.75" customHeight="1" x14ac:dyDescent="0.25">
      <c r="A136" s="377" t="s">
        <v>70</v>
      </c>
      <c r="B136" s="511" t="str">
        <f>IF($A136="","",VLOOKUP($A136,Listes!$A$3:$C$230,2,FALSE))</f>
        <v>Flat Rack</v>
      </c>
      <c r="C136" s="511"/>
      <c r="D136" s="511"/>
      <c r="E136" s="541" t="s">
        <v>1689</v>
      </c>
      <c r="F136" s="541"/>
      <c r="G136" s="541"/>
      <c r="H136" s="378" t="s">
        <v>418</v>
      </c>
      <c r="I136" s="345"/>
      <c r="J136" s="345"/>
      <c r="K136" s="345"/>
      <c r="L136" s="345"/>
      <c r="M136" s="379"/>
      <c r="N136" s="66"/>
      <c r="O136" s="66"/>
      <c r="P136" s="66"/>
      <c r="Q136" s="66"/>
      <c r="R136" s="200"/>
    </row>
    <row r="137" spans="1:18" s="64" customFormat="1" x14ac:dyDescent="0.25">
      <c r="A137" s="377" t="s">
        <v>70</v>
      </c>
      <c r="B137" s="511" t="str">
        <f>IF($A137="","",VLOOKUP($A137,Listes!$A$3:$C$230,2,FALSE))</f>
        <v>Flat Rack</v>
      </c>
      <c r="C137" s="511"/>
      <c r="D137" s="511"/>
      <c r="E137" s="541" t="s">
        <v>1690</v>
      </c>
      <c r="F137" s="541"/>
      <c r="G137" s="541"/>
      <c r="H137" s="378" t="s">
        <v>419</v>
      </c>
      <c r="I137" s="345"/>
      <c r="J137" s="345"/>
      <c r="K137" s="345"/>
      <c r="L137" s="345"/>
      <c r="M137" s="379"/>
      <c r="N137" s="66"/>
      <c r="O137" s="66"/>
      <c r="P137" s="66"/>
      <c r="Q137" s="66"/>
      <c r="R137" s="200"/>
    </row>
    <row r="138" spans="1:18" s="64" customFormat="1" ht="15.75" customHeight="1" x14ac:dyDescent="0.25">
      <c r="A138" s="377" t="s">
        <v>80</v>
      </c>
      <c r="B138" s="511" t="str">
        <f>IF($A138="","",VLOOKUP($A138,Listes!$A$3:$C$230,2,FALSE))</f>
        <v>General Rate Increase</v>
      </c>
      <c r="C138" s="511"/>
      <c r="D138" s="511"/>
      <c r="E138" s="541" t="s">
        <v>50</v>
      </c>
      <c r="F138" s="541"/>
      <c r="G138" s="541"/>
      <c r="H138" s="378"/>
      <c r="I138" s="345"/>
      <c r="J138" s="345"/>
      <c r="K138" s="345"/>
      <c r="L138" s="345"/>
      <c r="M138" s="379"/>
      <c r="N138" s="66"/>
      <c r="O138" s="66"/>
      <c r="P138" s="66"/>
      <c r="Q138" s="66"/>
      <c r="R138" s="200"/>
    </row>
    <row r="139" spans="1:18" s="64" customFormat="1" ht="15.75" customHeight="1" x14ac:dyDescent="0.25">
      <c r="A139" s="377" t="s">
        <v>246</v>
      </c>
      <c r="B139" s="511" t="str">
        <f>IF($A139="","",VLOOKUP($A139,Listes!$A$3:$C$230,2,FALSE))</f>
        <v>Hazardous Fees (Ocean)</v>
      </c>
      <c r="C139" s="511"/>
      <c r="D139" s="511"/>
      <c r="E139" s="541" t="s">
        <v>50</v>
      </c>
      <c r="F139" s="541"/>
      <c r="G139" s="541"/>
      <c r="H139" s="378"/>
      <c r="I139" s="345"/>
      <c r="J139" s="345"/>
      <c r="K139" s="345"/>
      <c r="L139" s="345"/>
      <c r="M139" s="379"/>
      <c r="N139" s="66"/>
      <c r="O139" s="66"/>
      <c r="P139" s="66"/>
      <c r="Q139" s="66"/>
      <c r="R139" s="200"/>
    </row>
    <row r="140" spans="1:18" s="64" customFormat="1" ht="15.75" customHeight="1" x14ac:dyDescent="0.25">
      <c r="A140" s="377" t="s">
        <v>793</v>
      </c>
      <c r="B140" s="511" t="str">
        <f>IF($A140="","",VLOOKUP($A140,Listes!$A$3:$C$230,2,FALSE))</f>
        <v>Oncarriage Additional Intermodal Door Delivery Surcharge</v>
      </c>
      <c r="C140" s="511"/>
      <c r="D140" s="511"/>
      <c r="E140" s="541" t="s">
        <v>52</v>
      </c>
      <c r="F140" s="541"/>
      <c r="G140" s="541"/>
      <c r="H140" s="378"/>
      <c r="I140" s="345"/>
      <c r="J140" s="345"/>
      <c r="K140" s="345"/>
      <c r="L140" s="345"/>
      <c r="M140" s="379"/>
      <c r="N140" s="66"/>
      <c r="O140" s="66"/>
      <c r="P140" s="66"/>
      <c r="Q140" s="66"/>
      <c r="R140" s="200"/>
    </row>
    <row r="141" spans="1:18" s="64" customFormat="1" ht="15.75" customHeight="1" x14ac:dyDescent="0.25">
      <c r="A141" s="377" t="s">
        <v>90</v>
      </c>
      <c r="B141" s="511" t="str">
        <f>IF($A141="","",VLOOKUP($A141,Listes!$A$3:$C$230,2,FALSE))</f>
        <v>Oncarriage Inland Fuel Charge</v>
      </c>
      <c r="C141" s="511"/>
      <c r="D141" s="511"/>
      <c r="E141" s="541" t="s">
        <v>52</v>
      </c>
      <c r="F141" s="541"/>
      <c r="G141" s="541"/>
      <c r="H141" s="378"/>
      <c r="I141" s="345"/>
      <c r="J141" s="345"/>
      <c r="K141" s="345"/>
      <c r="L141" s="345"/>
      <c r="M141" s="379"/>
      <c r="N141" s="66"/>
      <c r="O141" s="66"/>
      <c r="P141" s="66"/>
      <c r="Q141" s="66"/>
      <c r="R141" s="200"/>
    </row>
    <row r="142" spans="1:18" s="64" customFormat="1" ht="13.35" customHeight="1" x14ac:dyDescent="0.25">
      <c r="A142" s="377" t="s">
        <v>1072</v>
      </c>
      <c r="B142" s="511" t="str">
        <f>IF($A142="","",VLOOKUP($A142,Listes!$A$3:$C$230,2,FALSE))</f>
        <v>Local Port Charge Destination Sanitary Fee</v>
      </c>
      <c r="C142" s="511"/>
      <c r="D142" s="511"/>
      <c r="E142" s="541" t="s">
        <v>50</v>
      </c>
      <c r="F142" s="541"/>
      <c r="G142" s="541"/>
      <c r="H142" s="378"/>
      <c r="I142" s="345"/>
      <c r="J142" s="345"/>
      <c r="K142" s="345"/>
      <c r="L142" s="345"/>
      <c r="M142" s="379"/>
      <c r="N142" s="66"/>
      <c r="O142" s="66"/>
      <c r="P142" s="66"/>
      <c r="Q142" s="66"/>
      <c r="R142" s="200"/>
    </row>
    <row r="143" spans="1:18" s="64" customFormat="1" ht="13.35" customHeight="1" x14ac:dyDescent="0.25">
      <c r="A143" s="377" t="s">
        <v>1074</v>
      </c>
      <c r="B143" s="511" t="str">
        <f>IF($A143="","",VLOOKUP($A143,Listes!$A$3:$C$230,2,FALSE))</f>
        <v>Local Port Charge Origin Sanitary Fee</v>
      </c>
      <c r="C143" s="511"/>
      <c r="D143" s="511"/>
      <c r="E143" s="541" t="s">
        <v>50</v>
      </c>
      <c r="F143" s="541"/>
      <c r="G143" s="541"/>
      <c r="H143" s="378"/>
      <c r="I143" s="345"/>
      <c r="J143" s="345"/>
      <c r="K143" s="345"/>
      <c r="L143" s="345"/>
      <c r="M143" s="379"/>
      <c r="N143" s="66"/>
      <c r="O143" s="66"/>
      <c r="P143" s="66"/>
      <c r="Q143" s="66"/>
      <c r="R143" s="200"/>
    </row>
    <row r="144" spans="1:18" s="64" customFormat="1" ht="15.75" customHeight="1" x14ac:dyDescent="0.25">
      <c r="A144" s="377" t="s">
        <v>910</v>
      </c>
      <c r="B144" s="511" t="str">
        <f>IF($A144="","",VLOOKUP($A144,Listes!$A$3:$C$230,2,FALSE))</f>
        <v>On-Carriage Emergency Inland Fuel Surcharge</v>
      </c>
      <c r="C144" s="511"/>
      <c r="D144" s="511"/>
      <c r="E144" s="541" t="s">
        <v>52</v>
      </c>
      <c r="F144" s="541"/>
      <c r="G144" s="541"/>
      <c r="H144" s="378"/>
      <c r="I144" s="345"/>
      <c r="J144" s="345"/>
      <c r="K144" s="345"/>
      <c r="L144" s="345"/>
      <c r="M144" s="379"/>
      <c r="N144" s="66"/>
      <c r="O144" s="66"/>
      <c r="P144" s="66"/>
      <c r="Q144" s="66"/>
      <c r="R144" s="200"/>
    </row>
    <row r="145" spans="1:18" s="64" customFormat="1" ht="13.35" customHeight="1" x14ac:dyDescent="0.25">
      <c r="A145" s="377" t="s">
        <v>936</v>
      </c>
      <c r="B145" s="511" t="str">
        <f>IF($A145="","",VLOOKUP($A145,Listes!$A$3:$C$230,2,FALSE))</f>
        <v>On-Carriage Emergency Intermodal Surcharge</v>
      </c>
      <c r="C145" s="511"/>
      <c r="D145" s="511"/>
      <c r="E145" s="541" t="s">
        <v>52</v>
      </c>
      <c r="F145" s="541"/>
      <c r="G145" s="541"/>
      <c r="H145" s="378"/>
      <c r="I145" s="345"/>
      <c r="J145" s="345"/>
      <c r="K145" s="345"/>
      <c r="L145" s="345"/>
      <c r="M145" s="379"/>
      <c r="N145" s="66"/>
      <c r="O145" s="66"/>
      <c r="P145" s="66"/>
      <c r="Q145" s="66"/>
      <c r="R145" s="200"/>
    </row>
    <row r="146" spans="1:18" s="64" customFormat="1" ht="15.75" customHeight="1" x14ac:dyDescent="0.25">
      <c r="A146" s="377" t="s">
        <v>448</v>
      </c>
      <c r="B146" s="511" t="str">
        <f>IF($A146="","",VLOOKUP($A146,Listes!$A$3:$C$230,2,FALSE))</f>
        <v>Inland Hazardous Charge Oncarriage</v>
      </c>
      <c r="C146" s="511"/>
      <c r="D146" s="511"/>
      <c r="E146" s="541" t="s">
        <v>50</v>
      </c>
      <c r="F146" s="541"/>
      <c r="G146" s="541"/>
      <c r="H146" s="378"/>
      <c r="I146" s="345"/>
      <c r="J146" s="345"/>
      <c r="K146" s="345"/>
      <c r="L146" s="345"/>
      <c r="M146" s="379"/>
      <c r="N146" s="66"/>
      <c r="O146" s="66"/>
      <c r="P146" s="66"/>
      <c r="Q146" s="66"/>
      <c r="R146" s="200"/>
    </row>
    <row r="147" spans="1:18" s="64" customFormat="1" ht="15.75" customHeight="1" x14ac:dyDescent="0.25">
      <c r="A147" s="377" t="s">
        <v>141</v>
      </c>
      <c r="B147" s="511" t="str">
        <f>IF($A147="","",VLOOKUP($A147,Listes!$A$3:$C$230,2,FALSE))</f>
        <v>Open Top</v>
      </c>
      <c r="C147" s="511"/>
      <c r="D147" s="511"/>
      <c r="E147" s="541" t="s">
        <v>1689</v>
      </c>
      <c r="F147" s="541"/>
      <c r="G147" s="541"/>
      <c r="H147" s="378" t="s">
        <v>416</v>
      </c>
      <c r="I147" s="345"/>
      <c r="J147" s="345"/>
      <c r="K147" s="345"/>
      <c r="L147" s="345"/>
      <c r="M147" s="379"/>
      <c r="N147" s="66"/>
      <c r="O147" s="66"/>
      <c r="P147" s="66"/>
      <c r="Q147" s="66"/>
      <c r="R147" s="200"/>
    </row>
    <row r="148" spans="1:18" s="64" customFormat="1" ht="15.75" customHeight="1" x14ac:dyDescent="0.25">
      <c r="A148" s="377" t="s">
        <v>141</v>
      </c>
      <c r="B148" s="511" t="str">
        <f>IF($A148="","",VLOOKUP($A148,Listes!$A$3:$C$230,2,FALSE))</f>
        <v>Open Top</v>
      </c>
      <c r="C148" s="511"/>
      <c r="D148" s="511"/>
      <c r="E148" s="541" t="s">
        <v>1690</v>
      </c>
      <c r="F148" s="541"/>
      <c r="G148" s="541"/>
      <c r="H148" s="378" t="s">
        <v>417</v>
      </c>
      <c r="I148" s="345"/>
      <c r="J148" s="345"/>
      <c r="K148" s="345"/>
      <c r="L148" s="345"/>
      <c r="M148" s="379"/>
      <c r="N148" s="66"/>
      <c r="O148" s="66"/>
      <c r="P148" s="66"/>
      <c r="Q148" s="66"/>
      <c r="R148" s="200"/>
    </row>
    <row r="149" spans="1:18" s="64" customFormat="1" ht="15.75" customHeight="1" x14ac:dyDescent="0.25">
      <c r="A149" s="377" t="s">
        <v>87</v>
      </c>
      <c r="B149" s="511" t="str">
        <f>IF($A149="","",VLOOKUP($A149,Listes!$A$3:$C$230,2,FALSE))</f>
        <v>Origin THC / Origin Receiving Charge</v>
      </c>
      <c r="C149" s="511"/>
      <c r="D149" s="511"/>
      <c r="E149" s="541" t="s">
        <v>50</v>
      </c>
      <c r="F149" s="541"/>
      <c r="G149" s="541"/>
      <c r="H149" s="378"/>
      <c r="I149" s="345"/>
      <c r="J149" s="345"/>
      <c r="K149" s="345"/>
      <c r="L149" s="345"/>
      <c r="M149" s="379"/>
      <c r="N149" s="66"/>
      <c r="O149" s="66"/>
      <c r="P149" s="66"/>
      <c r="Q149" s="66"/>
      <c r="R149" s="200"/>
    </row>
    <row r="150" spans="1:18" s="64" customFormat="1" ht="15.75" customHeight="1" x14ac:dyDescent="0.25">
      <c r="A150" s="377" t="s">
        <v>87</v>
      </c>
      <c r="B150" s="511" t="str">
        <f>IF($A150="","",VLOOKUP($A150,Listes!$A$3:$C$230,2,FALSE))</f>
        <v>Origin THC / Origin Receiving Charge</v>
      </c>
      <c r="C150" s="511"/>
      <c r="D150" s="511"/>
      <c r="E150" s="541" t="s">
        <v>52</v>
      </c>
      <c r="F150" s="541"/>
      <c r="G150" s="541"/>
      <c r="H150" s="378"/>
      <c r="I150" s="345" t="s">
        <v>1683</v>
      </c>
      <c r="J150" s="345"/>
      <c r="K150" s="345"/>
      <c r="L150" s="345"/>
      <c r="M150" s="379"/>
      <c r="N150" s="66"/>
      <c r="O150" s="66"/>
      <c r="P150" s="66"/>
      <c r="Q150" s="66"/>
      <c r="R150" s="200"/>
    </row>
    <row r="151" spans="1:18" s="64" customFormat="1" ht="15.75" customHeight="1" x14ac:dyDescent="0.25">
      <c r="A151" s="377" t="s">
        <v>1044</v>
      </c>
      <c r="B151" s="511" t="str">
        <f>IF($A151="","",VLOOKUP($A151,Listes!$A$3:$C$230,2,FALSE))</f>
        <v>Panama Canal Adj Factor</v>
      </c>
      <c r="C151" s="511"/>
      <c r="D151" s="511"/>
      <c r="E151" s="541" t="s">
        <v>52</v>
      </c>
      <c r="F151" s="541"/>
      <c r="G151" s="541"/>
      <c r="H151" s="378"/>
      <c r="I151" s="345"/>
      <c r="J151" s="345"/>
      <c r="K151" s="345"/>
      <c r="L151" s="345"/>
      <c r="M151" s="379"/>
      <c r="N151" s="66"/>
      <c r="O151" s="66"/>
      <c r="P151" s="66"/>
      <c r="Q151" s="66"/>
      <c r="R151" s="200"/>
    </row>
    <row r="152" spans="1:18" s="64" customFormat="1" ht="15.75" customHeight="1" x14ac:dyDescent="0.25">
      <c r="A152" s="377" t="s">
        <v>451</v>
      </c>
      <c r="B152" s="511" t="str">
        <f>IF($A152="","",VLOOKUP($A152,Listes!$A$3:$C$230,2,FALSE))</f>
        <v>Inland Hazardous Charge Precarriage</v>
      </c>
      <c r="C152" s="511"/>
      <c r="D152" s="511"/>
      <c r="E152" s="541" t="s">
        <v>50</v>
      </c>
      <c r="F152" s="541"/>
      <c r="G152" s="541"/>
      <c r="H152" s="378"/>
      <c r="I152" s="345"/>
      <c r="J152" s="345"/>
      <c r="K152" s="345"/>
      <c r="L152" s="345"/>
      <c r="M152" s="379"/>
      <c r="N152" s="66"/>
      <c r="O152" s="66"/>
      <c r="P152" s="66"/>
      <c r="Q152" s="66"/>
      <c r="R152" s="200"/>
    </row>
    <row r="153" spans="1:18" s="64" customFormat="1" ht="15.75" customHeight="1" x14ac:dyDescent="0.25">
      <c r="A153" s="377" t="s">
        <v>85</v>
      </c>
      <c r="B153" s="511" t="str">
        <f>IF($A153="","",VLOOKUP($A153,Listes!$A$3:$C$230,2,FALSE))</f>
        <v>Peak Season</v>
      </c>
      <c r="C153" s="511"/>
      <c r="D153" s="511"/>
      <c r="E153" s="541" t="s">
        <v>52</v>
      </c>
      <c r="F153" s="541"/>
      <c r="G153" s="541"/>
      <c r="H153" s="378"/>
      <c r="I153" s="345"/>
      <c r="J153" s="345"/>
      <c r="K153" s="345"/>
      <c r="L153" s="345"/>
      <c r="M153" s="379"/>
      <c r="N153" s="66"/>
      <c r="O153" s="66"/>
      <c r="P153" s="66"/>
      <c r="Q153" s="66"/>
      <c r="R153" s="200"/>
    </row>
    <row r="154" spans="1:18" s="64" customFormat="1" ht="15.75" customHeight="1" x14ac:dyDescent="0.25">
      <c r="A154" s="377" t="s">
        <v>765</v>
      </c>
      <c r="B154" s="511" t="str">
        <f>IF($A154="","",VLOOKUP($A154,Listes!$A$3:$C$230,2,FALSE))</f>
        <v>Peak Season Surcharge 2</v>
      </c>
      <c r="C154" s="511"/>
      <c r="D154" s="511"/>
      <c r="E154" s="541" t="s">
        <v>52</v>
      </c>
      <c r="F154" s="541"/>
      <c r="G154" s="541"/>
      <c r="H154" s="378"/>
      <c r="I154" s="345"/>
      <c r="J154" s="345"/>
      <c r="K154" s="345"/>
      <c r="L154" s="345"/>
      <c r="M154" s="379"/>
      <c r="N154" s="66"/>
      <c r="O154" s="66"/>
      <c r="P154" s="66"/>
      <c r="Q154" s="66"/>
      <c r="R154" s="200"/>
    </row>
    <row r="155" spans="1:18" s="64" customFormat="1" ht="15.75" customHeight="1" x14ac:dyDescent="0.25">
      <c r="A155" s="377" t="s">
        <v>890</v>
      </c>
      <c r="B155" s="511" t="str">
        <f>IF($A155="","",VLOOKUP($A155,Listes!$A$3:$C$230,2,FALSE))</f>
        <v>Peak Season Surcharge 3</v>
      </c>
      <c r="C155" s="511"/>
      <c r="D155" s="511"/>
      <c r="E155" s="541" t="s">
        <v>52</v>
      </c>
      <c r="F155" s="541"/>
      <c r="G155" s="541"/>
      <c r="H155" s="378"/>
      <c r="I155" s="345"/>
      <c r="J155" s="345"/>
      <c r="K155" s="345"/>
      <c r="L155" s="345"/>
      <c r="M155" s="379"/>
      <c r="N155" s="66"/>
      <c r="O155" s="66"/>
      <c r="P155" s="66"/>
      <c r="Q155" s="66"/>
      <c r="R155" s="200"/>
    </row>
    <row r="156" spans="1:18" s="64" customFormat="1" ht="15.75" customHeight="1" x14ac:dyDescent="0.25">
      <c r="A156" s="377" t="s">
        <v>264</v>
      </c>
      <c r="B156" s="511" t="str">
        <f>IF($A156="","",VLOOKUP($A156,Listes!$A$3:$C$230,2,FALSE))</f>
        <v>Destination Terminal Security Charge</v>
      </c>
      <c r="C156" s="511"/>
      <c r="D156" s="511"/>
      <c r="E156" s="541" t="s">
        <v>50</v>
      </c>
      <c r="F156" s="541"/>
      <c r="G156" s="541"/>
      <c r="H156" s="378"/>
      <c r="I156" s="345"/>
      <c r="J156" s="345"/>
      <c r="K156" s="345"/>
      <c r="L156" s="345"/>
      <c r="M156" s="379"/>
      <c r="N156" s="66"/>
      <c r="O156" s="66"/>
      <c r="P156" s="66"/>
      <c r="Q156" s="66"/>
      <c r="R156" s="200"/>
    </row>
    <row r="157" spans="1:18" s="64" customFormat="1" ht="15.75" customHeight="1" x14ac:dyDescent="0.25">
      <c r="A157" s="377" t="s">
        <v>338</v>
      </c>
      <c r="B157" s="511" t="str">
        <f>IF($A157="","",VLOOKUP($A157,Listes!$A$3:$C$230,2,FALSE))</f>
        <v>Suez Canal Surcharge</v>
      </c>
      <c r="C157" s="511"/>
      <c r="D157" s="511"/>
      <c r="E157" s="541" t="s">
        <v>52</v>
      </c>
      <c r="F157" s="541"/>
      <c r="G157" s="541"/>
      <c r="H157" s="378"/>
      <c r="I157" s="345"/>
      <c r="J157" s="345"/>
      <c r="K157" s="345"/>
      <c r="L157" s="345"/>
      <c r="M157" s="379"/>
      <c r="N157" s="66"/>
      <c r="O157" s="66"/>
      <c r="P157" s="66"/>
      <c r="Q157" s="66"/>
      <c r="R157" s="200"/>
    </row>
    <row r="158" spans="1:18" s="64" customFormat="1" ht="15.75" customHeight="1" x14ac:dyDescent="0.25">
      <c r="A158" s="377" t="s">
        <v>344</v>
      </c>
      <c r="B158" s="511" t="str">
        <f>IF($A158="","",VLOOKUP($A158,Listes!$A$3:$C$230,2,FALSE))</f>
        <v>Tri-Axle / Super Chassis Oncarriage Surcharge</v>
      </c>
      <c r="C158" s="511"/>
      <c r="D158" s="511"/>
      <c r="E158" s="541" t="s">
        <v>50</v>
      </c>
      <c r="F158" s="541"/>
      <c r="G158" s="541"/>
      <c r="H158" s="378"/>
      <c r="I158" s="345"/>
      <c r="J158" s="345"/>
      <c r="K158" s="345"/>
      <c r="L158" s="345"/>
      <c r="M158" s="379"/>
      <c r="N158" s="66"/>
      <c r="O158" s="66"/>
      <c r="P158" s="66"/>
      <c r="Q158" s="66"/>
      <c r="R158" s="200"/>
    </row>
    <row r="159" spans="1:18" s="64" customFormat="1" ht="15.75" customHeight="1" x14ac:dyDescent="0.25">
      <c r="A159" s="377" t="s">
        <v>661</v>
      </c>
      <c r="B159" s="511" t="str">
        <f>IF($A159="","",VLOOKUP($A159,Listes!$A$3:$C$230,2,FALSE))</f>
        <v>Wharfage (Destination)</v>
      </c>
      <c r="C159" s="511"/>
      <c r="D159" s="511"/>
      <c r="E159" s="541" t="s">
        <v>52</v>
      </c>
      <c r="F159" s="541"/>
      <c r="G159" s="541"/>
      <c r="H159" s="378"/>
      <c r="I159" s="345"/>
      <c r="J159" s="345"/>
      <c r="K159" s="345"/>
      <c r="L159" s="345" t="s">
        <v>1617</v>
      </c>
      <c r="M159" s="379"/>
      <c r="N159" s="66"/>
      <c r="O159" s="66"/>
      <c r="P159" s="66"/>
      <c r="Q159" s="66"/>
      <c r="R159" s="200"/>
    </row>
    <row r="160" spans="1:18" s="64" customFormat="1" ht="15.75" customHeight="1" x14ac:dyDescent="0.25">
      <c r="A160" s="377" t="s">
        <v>661</v>
      </c>
      <c r="B160" s="511" t="str">
        <f>IF($A160="","",VLOOKUP($A160,Listes!$A$3:$C$230,2,FALSE))</f>
        <v>Wharfage (Destination)</v>
      </c>
      <c r="C160" s="511"/>
      <c r="D160" s="511"/>
      <c r="E160" s="541" t="s">
        <v>50</v>
      </c>
      <c r="F160" s="541"/>
      <c r="G160" s="541"/>
      <c r="H160" s="378"/>
      <c r="I160" s="345"/>
      <c r="J160" s="345"/>
      <c r="K160" s="345"/>
      <c r="L160" s="345"/>
      <c r="M160" s="379"/>
      <c r="N160" s="66"/>
      <c r="O160" s="66"/>
      <c r="P160" s="66"/>
      <c r="Q160" s="66"/>
      <c r="R160" s="200"/>
    </row>
    <row r="161" spans="1:23" s="64" customFormat="1" ht="15.75" customHeight="1" x14ac:dyDescent="0.25">
      <c r="A161" s="377" t="s">
        <v>338</v>
      </c>
      <c r="B161" s="511" t="str">
        <f>IF($A161="","",VLOOKUP($A161,Listes!$A$3:$C$230,2,FALSE))</f>
        <v>Suez Canal Surcharge</v>
      </c>
      <c r="C161" s="511"/>
      <c r="D161" s="511"/>
      <c r="E161" s="541" t="s">
        <v>52</v>
      </c>
      <c r="F161" s="541"/>
      <c r="G161" s="541"/>
      <c r="H161" s="378"/>
      <c r="I161" s="345"/>
      <c r="J161" s="345"/>
      <c r="K161" s="345"/>
      <c r="L161" s="345"/>
      <c r="M161" s="379"/>
      <c r="N161" s="66"/>
      <c r="O161" s="66"/>
      <c r="P161" s="66"/>
      <c r="Q161" s="66"/>
      <c r="R161" s="200"/>
    </row>
    <row r="162" spans="1:23" s="64" customFormat="1" ht="15.75" customHeight="1" thickBot="1" x14ac:dyDescent="0.3">
      <c r="A162" s="390" t="s">
        <v>344</v>
      </c>
      <c r="B162" s="595" t="str">
        <f>IF($A162="","",VLOOKUP($A162,Listes!$A$3:$C$230,2,FALSE))</f>
        <v>Tri-Axle / Super Chassis Oncarriage Surcharge</v>
      </c>
      <c r="C162" s="595"/>
      <c r="D162" s="595"/>
      <c r="E162" s="537" t="s">
        <v>50</v>
      </c>
      <c r="F162" s="537"/>
      <c r="G162" s="537"/>
      <c r="H162" s="365"/>
      <c r="I162" s="352"/>
      <c r="J162" s="352"/>
      <c r="K162" s="352"/>
      <c r="L162" s="352"/>
      <c r="M162" s="391"/>
      <c r="N162" s="66"/>
      <c r="O162" s="66"/>
      <c r="P162" s="66"/>
      <c r="Q162" s="66"/>
      <c r="R162" s="200"/>
    </row>
    <row r="163" spans="1:23" ht="13.8" thickBot="1" x14ac:dyDescent="0.3">
      <c r="A163" s="643" t="s">
        <v>205</v>
      </c>
      <c r="B163" s="644"/>
      <c r="C163" s="644"/>
      <c r="D163" s="644"/>
      <c r="E163" s="644"/>
      <c r="F163" s="644"/>
      <c r="G163" s="644"/>
      <c r="H163" s="644"/>
      <c r="I163" s="645"/>
      <c r="K163" s="177"/>
      <c r="L163" s="199"/>
      <c r="M163" s="199"/>
      <c r="N163" s="199"/>
      <c r="O163" s="199"/>
      <c r="P163" s="199"/>
      <c r="Q163" s="177"/>
    </row>
    <row r="164" spans="1:23" ht="13.8" thickBot="1" x14ac:dyDescent="0.3">
      <c r="A164" s="572" t="s">
        <v>532</v>
      </c>
      <c r="B164" s="573"/>
      <c r="C164" s="573"/>
      <c r="D164" s="573"/>
      <c r="E164" s="573"/>
      <c r="F164" s="573"/>
      <c r="G164" s="573"/>
      <c r="H164" s="573"/>
      <c r="I164" s="574"/>
      <c r="K164" s="199"/>
      <c r="L164" s="199"/>
      <c r="M164" s="199"/>
      <c r="N164" s="199"/>
      <c r="O164" s="177"/>
    </row>
    <row r="165" spans="1:23" ht="13.8" thickBot="1" x14ac:dyDescent="0.3">
      <c r="A165" s="142"/>
      <c r="B165" s="142"/>
      <c r="C165" s="243"/>
      <c r="D165" s="139"/>
      <c r="E165" s="140"/>
      <c r="F165" s="140"/>
      <c r="G165" s="140"/>
      <c r="H165" s="140"/>
      <c r="I165" s="140"/>
      <c r="J165" s="139"/>
      <c r="L165" s="177"/>
      <c r="M165" s="199"/>
      <c r="N165" s="199"/>
      <c r="O165" s="199"/>
      <c r="P165" s="199"/>
      <c r="Q165" s="199"/>
      <c r="R165" s="177"/>
    </row>
    <row r="166" spans="1:23" ht="15.6" customHeight="1" x14ac:dyDescent="0.25">
      <c r="A166" s="618" t="s">
        <v>467</v>
      </c>
      <c r="B166" s="619"/>
      <c r="C166" s="619"/>
      <c r="D166" s="619"/>
      <c r="E166" s="499" t="s">
        <v>274</v>
      </c>
      <c r="F166" s="499">
        <v>20</v>
      </c>
      <c r="G166" s="499">
        <v>40</v>
      </c>
      <c r="H166" s="499" t="s">
        <v>19</v>
      </c>
      <c r="I166" s="499" t="s">
        <v>20</v>
      </c>
      <c r="J166" s="642" t="s">
        <v>281</v>
      </c>
      <c r="K166" s="642" t="s">
        <v>33</v>
      </c>
      <c r="L166" s="640" t="s">
        <v>206</v>
      </c>
      <c r="M166" s="139"/>
      <c r="N166" s="199"/>
      <c r="O166" s="199"/>
      <c r="P166" s="199"/>
      <c r="Q166" s="199"/>
      <c r="R166" s="199"/>
      <c r="S166" s="199"/>
      <c r="T166" s="199"/>
      <c r="U166" s="199"/>
    </row>
    <row r="167" spans="1:23" x14ac:dyDescent="0.25">
      <c r="A167" s="21" t="s">
        <v>207</v>
      </c>
      <c r="B167" s="22" t="s">
        <v>11</v>
      </c>
      <c r="C167" s="22" t="s">
        <v>12</v>
      </c>
      <c r="D167" s="22" t="s">
        <v>208</v>
      </c>
      <c r="E167" s="620"/>
      <c r="F167" s="620"/>
      <c r="G167" s="620"/>
      <c r="H167" s="620"/>
      <c r="I167" s="620"/>
      <c r="J167" s="620"/>
      <c r="K167" s="620"/>
      <c r="L167" s="641"/>
      <c r="M167" s="139"/>
      <c r="N167" s="199"/>
      <c r="O167" s="199"/>
      <c r="P167" s="199"/>
      <c r="Q167" s="199"/>
      <c r="R167" s="199"/>
      <c r="S167" s="199"/>
      <c r="T167" s="199"/>
      <c r="U167" s="199"/>
    </row>
    <row r="168" spans="1:23" s="64" customFormat="1" x14ac:dyDescent="0.25">
      <c r="A168" s="339"/>
      <c r="B168" s="23"/>
      <c r="C168" s="23"/>
      <c r="D168" s="23"/>
      <c r="E168" s="23"/>
      <c r="F168" s="62"/>
      <c r="G168" s="62"/>
      <c r="H168" s="62"/>
      <c r="I168" s="62"/>
      <c r="J168" s="23"/>
      <c r="K168" s="55"/>
      <c r="L168" s="340"/>
      <c r="M168" s="372"/>
      <c r="N168" s="66"/>
      <c r="O168" s="66"/>
      <c r="P168" s="66"/>
      <c r="Q168" s="66"/>
      <c r="R168" s="66"/>
      <c r="S168" s="66"/>
      <c r="T168" s="66"/>
      <c r="U168" s="66"/>
    </row>
    <row r="169" spans="1:23" s="64" customFormat="1" x14ac:dyDescent="0.25">
      <c r="A169" s="339"/>
      <c r="B169" s="23"/>
      <c r="C169" s="23"/>
      <c r="D169" s="23"/>
      <c r="E169" s="23"/>
      <c r="F169" s="62"/>
      <c r="G169" s="62"/>
      <c r="H169" s="62"/>
      <c r="I169" s="62"/>
      <c r="J169" s="23"/>
      <c r="K169" s="55"/>
      <c r="L169" s="340"/>
      <c r="M169" s="66"/>
      <c r="N169" s="66"/>
      <c r="O169" s="66"/>
      <c r="P169" s="66"/>
      <c r="Q169" s="66"/>
      <c r="R169" s="66"/>
      <c r="S169" s="66"/>
      <c r="T169" s="66"/>
      <c r="U169" s="66"/>
    </row>
    <row r="170" spans="1:23" s="64" customFormat="1" x14ac:dyDescent="0.25">
      <c r="A170" s="339"/>
      <c r="B170" s="23"/>
      <c r="C170" s="23"/>
      <c r="D170" s="23"/>
      <c r="E170" s="23"/>
      <c r="F170" s="62"/>
      <c r="G170" s="62"/>
      <c r="H170" s="62"/>
      <c r="I170" s="62"/>
      <c r="J170" s="23"/>
      <c r="K170" s="55"/>
      <c r="L170" s="340"/>
      <c r="M170" s="66"/>
      <c r="N170" s="66"/>
      <c r="O170" s="66"/>
      <c r="P170" s="66"/>
      <c r="Q170" s="66"/>
      <c r="R170" s="66"/>
      <c r="S170" s="66"/>
      <c r="T170" s="66"/>
      <c r="U170" s="66"/>
    </row>
    <row r="171" spans="1:23" s="64" customFormat="1" ht="13.8" thickBot="1" x14ac:dyDescent="0.3">
      <c r="A171" s="341"/>
      <c r="B171" s="24"/>
      <c r="C171" s="24"/>
      <c r="D171" s="24"/>
      <c r="E171" s="24"/>
      <c r="F171" s="342"/>
      <c r="G171" s="342"/>
      <c r="H171" s="342"/>
      <c r="I171" s="342"/>
      <c r="J171" s="24"/>
      <c r="K171" s="148"/>
      <c r="L171" s="343"/>
      <c r="M171" s="66"/>
      <c r="N171" s="66"/>
      <c r="O171" s="66"/>
      <c r="P171" s="66"/>
      <c r="Q171" s="66"/>
      <c r="R171" s="66"/>
      <c r="S171" s="66"/>
      <c r="T171" s="66"/>
      <c r="U171" s="66"/>
    </row>
    <row r="172" spans="1:23" s="64" customFormat="1" x14ac:dyDescent="0.25">
      <c r="A172" s="338"/>
      <c r="B172" s="338"/>
      <c r="C172" s="338"/>
      <c r="D172" s="338"/>
      <c r="E172" s="338"/>
      <c r="F172" s="338"/>
      <c r="G172" s="338"/>
      <c r="H172" s="338"/>
      <c r="I172" s="338"/>
      <c r="J172" s="338"/>
      <c r="K172" s="338"/>
      <c r="L172" s="344"/>
      <c r="M172" s="66"/>
      <c r="N172" s="66"/>
      <c r="O172" s="66"/>
      <c r="P172" s="66"/>
      <c r="Q172" s="66"/>
      <c r="R172" s="66"/>
      <c r="S172" s="66"/>
      <c r="T172" s="66"/>
      <c r="U172" s="66"/>
    </row>
    <row r="173" spans="1:23" ht="15.6" customHeight="1" x14ac:dyDescent="0.25">
      <c r="A173" s="575" t="s">
        <v>531</v>
      </c>
      <c r="B173" s="575"/>
      <c r="C173" s="575"/>
      <c r="D173" s="575"/>
      <c r="E173" s="575" t="s">
        <v>274</v>
      </c>
      <c r="F173" s="575">
        <v>20</v>
      </c>
      <c r="G173" s="575">
        <v>40</v>
      </c>
      <c r="H173" s="575" t="s">
        <v>19</v>
      </c>
      <c r="I173" s="575" t="s">
        <v>20</v>
      </c>
      <c r="J173" s="610" t="s">
        <v>281</v>
      </c>
      <c r="K173" s="610" t="s">
        <v>33</v>
      </c>
      <c r="L173" s="575" t="s">
        <v>206</v>
      </c>
      <c r="M173" s="575" t="s">
        <v>23</v>
      </c>
      <c r="O173" s="177"/>
      <c r="P173" s="199"/>
      <c r="Q173" s="199"/>
      <c r="R173" s="199"/>
      <c r="S173" s="199"/>
      <c r="T173" s="199"/>
      <c r="U173" s="199"/>
      <c r="V173" s="199"/>
      <c r="W173" s="199"/>
    </row>
    <row r="174" spans="1:23" x14ac:dyDescent="0.25">
      <c r="A174" s="25" t="s">
        <v>207</v>
      </c>
      <c r="B174" s="25" t="s">
        <v>11</v>
      </c>
      <c r="C174" s="25" t="s">
        <v>12</v>
      </c>
      <c r="D174" s="25" t="s">
        <v>208</v>
      </c>
      <c r="E174" s="575"/>
      <c r="F174" s="575"/>
      <c r="G174" s="575"/>
      <c r="H174" s="575"/>
      <c r="I174" s="575"/>
      <c r="J174" s="575"/>
      <c r="K174" s="575"/>
      <c r="L174" s="575"/>
      <c r="M174" s="575"/>
      <c r="O174" s="177"/>
      <c r="P174" s="199"/>
      <c r="Q174" s="199"/>
      <c r="R174" s="199"/>
      <c r="S174" s="199"/>
      <c r="T174" s="199"/>
      <c r="U174" s="199"/>
      <c r="V174" s="199"/>
      <c r="W174" s="199"/>
    </row>
    <row r="175" spans="1:23" s="64" customFormat="1" x14ac:dyDescent="0.25">
      <c r="A175" s="26"/>
      <c r="B175" s="26"/>
      <c r="C175" s="26"/>
      <c r="D175" s="26"/>
      <c r="E175" s="26"/>
      <c r="F175" s="244"/>
      <c r="G175" s="244"/>
      <c r="H175" s="244"/>
      <c r="I175" s="244"/>
      <c r="J175" s="26"/>
      <c r="K175" s="245"/>
      <c r="L175" s="27"/>
      <c r="M175" s="27"/>
      <c r="O175" s="200"/>
      <c r="P175" s="66"/>
      <c r="Q175" s="66"/>
      <c r="R175" s="66"/>
      <c r="S175" s="66"/>
      <c r="T175" s="66"/>
      <c r="U175" s="66"/>
      <c r="V175" s="66"/>
      <c r="W175" s="66"/>
    </row>
    <row r="176" spans="1:23" s="64" customFormat="1" x14ac:dyDescent="0.25">
      <c r="A176" s="26"/>
      <c r="B176" s="26"/>
      <c r="C176" s="26"/>
      <c r="D176" s="26"/>
      <c r="E176" s="26"/>
      <c r="F176" s="244"/>
      <c r="G176" s="244"/>
      <c r="H176" s="244"/>
      <c r="I176" s="244"/>
      <c r="J176" s="26"/>
      <c r="K176" s="245"/>
      <c r="L176" s="27"/>
      <c r="M176" s="27"/>
      <c r="O176" s="200"/>
      <c r="P176" s="66"/>
      <c r="Q176" s="66"/>
      <c r="R176" s="66"/>
      <c r="S176" s="66"/>
      <c r="T176" s="66"/>
      <c r="U176" s="66"/>
      <c r="V176" s="66"/>
      <c r="W176" s="66"/>
    </row>
    <row r="177" spans="1:23" s="64" customFormat="1" x14ac:dyDescent="0.25">
      <c r="A177" s="26"/>
      <c r="B177" s="26"/>
      <c r="C177" s="26"/>
      <c r="D177" s="26"/>
      <c r="E177" s="26"/>
      <c r="F177" s="244"/>
      <c r="G177" s="244"/>
      <c r="H177" s="244"/>
      <c r="I177" s="244"/>
      <c r="J177" s="26"/>
      <c r="K177" s="245"/>
      <c r="L177" s="27"/>
      <c r="M177" s="27"/>
      <c r="O177" s="200"/>
      <c r="P177" s="66"/>
      <c r="Q177" s="66"/>
      <c r="R177" s="66"/>
      <c r="S177" s="66"/>
      <c r="T177" s="66"/>
      <c r="U177" s="66"/>
      <c r="V177" s="66"/>
      <c r="W177" s="66"/>
    </row>
    <row r="178" spans="1:23" s="64" customFormat="1" x14ac:dyDescent="0.25">
      <c r="A178" s="26"/>
      <c r="B178" s="26"/>
      <c r="C178" s="26"/>
      <c r="D178" s="26"/>
      <c r="E178" s="26"/>
      <c r="F178" s="244"/>
      <c r="G178" s="244"/>
      <c r="H178" s="244"/>
      <c r="I178" s="244"/>
      <c r="J178" s="26"/>
      <c r="K178" s="245"/>
      <c r="L178" s="27"/>
      <c r="M178" s="27"/>
      <c r="N178" s="66"/>
      <c r="O178" s="200"/>
      <c r="P178" s="66"/>
      <c r="Q178" s="66"/>
      <c r="R178" s="66"/>
      <c r="S178" s="66"/>
      <c r="T178" s="66"/>
      <c r="U178" s="66"/>
      <c r="V178" s="66"/>
      <c r="W178" s="66"/>
    </row>
    <row r="179" spans="1:23" x14ac:dyDescent="0.25">
      <c r="F179" s="140"/>
      <c r="G179" s="20"/>
      <c r="H179" s="181"/>
      <c r="I179" s="181"/>
      <c r="J179" s="199"/>
      <c r="K179" s="177"/>
      <c r="L179" s="199"/>
      <c r="M179" s="199"/>
      <c r="N179" s="199"/>
      <c r="O179" s="199"/>
      <c r="P179" s="199"/>
      <c r="Q179" s="199"/>
    </row>
    <row r="180" spans="1:23" ht="13.8" thickBot="1" x14ac:dyDescent="0.3">
      <c r="A180" s="239"/>
      <c r="B180" s="246"/>
      <c r="C180" s="247"/>
      <c r="D180" s="247"/>
      <c r="J180" s="140"/>
      <c r="K180" s="177"/>
      <c r="L180" s="199"/>
      <c r="M180" s="199"/>
      <c r="N180" s="199"/>
      <c r="O180" s="199"/>
      <c r="P180" s="199"/>
      <c r="Q180" s="199"/>
      <c r="R180" s="199"/>
      <c r="S180" s="177"/>
      <c r="T180" s="177"/>
      <c r="U180" s="177"/>
    </row>
    <row r="181" spans="1:23" ht="13.8" thickBot="1" x14ac:dyDescent="0.3">
      <c r="A181" s="501" t="s">
        <v>209</v>
      </c>
      <c r="B181" s="502"/>
      <c r="C181" s="502"/>
      <c r="D181" s="502"/>
      <c r="E181" s="503"/>
      <c r="J181" s="140"/>
      <c r="K181" s="177"/>
      <c r="L181" s="199"/>
      <c r="M181" s="199"/>
      <c r="N181" s="199"/>
      <c r="O181" s="199"/>
      <c r="P181" s="199"/>
      <c r="Q181" s="199"/>
      <c r="R181" s="199"/>
      <c r="S181" s="177"/>
      <c r="T181" s="177"/>
      <c r="U181" s="177"/>
    </row>
    <row r="182" spans="1:23" ht="13.8" thickBot="1" x14ac:dyDescent="0.3">
      <c r="A182" s="243"/>
      <c r="F182" s="140"/>
      <c r="G182" s="20"/>
      <c r="H182" s="139"/>
      <c r="I182" s="140"/>
      <c r="J182" s="140"/>
      <c r="K182" s="177"/>
      <c r="L182" s="199"/>
      <c r="M182" s="199"/>
      <c r="N182" s="199"/>
      <c r="O182" s="199"/>
      <c r="P182" s="199"/>
      <c r="Q182" s="199"/>
      <c r="R182" s="199"/>
      <c r="S182" s="177"/>
      <c r="T182" s="177"/>
      <c r="U182" s="177"/>
    </row>
    <row r="183" spans="1:23" ht="13.8" thickBot="1" x14ac:dyDescent="0.3">
      <c r="A183" s="636" t="s">
        <v>210</v>
      </c>
      <c r="B183" s="638"/>
      <c r="C183" s="638"/>
      <c r="D183" s="638"/>
      <c r="E183" s="638"/>
      <c r="F183" s="639"/>
      <c r="G183" s="20"/>
      <c r="H183" s="139"/>
      <c r="I183" s="140"/>
      <c r="J183" s="140"/>
      <c r="K183" s="177"/>
      <c r="L183" s="199"/>
      <c r="M183" s="199"/>
      <c r="N183" s="199"/>
      <c r="O183" s="199"/>
      <c r="P183" s="199"/>
      <c r="Q183" s="199"/>
      <c r="R183" s="199"/>
      <c r="S183" s="177"/>
      <c r="T183" s="177"/>
      <c r="U183" s="177"/>
    </row>
    <row r="184" spans="1:23" ht="16.5" customHeight="1" x14ac:dyDescent="0.25">
      <c r="A184" s="547" t="s">
        <v>211</v>
      </c>
      <c r="B184" s="612"/>
      <c r="C184" s="612"/>
      <c r="D184" s="612"/>
      <c r="E184" s="612"/>
      <c r="F184" s="548"/>
      <c r="G184" s="20"/>
      <c r="H184" s="248"/>
      <c r="I184" s="140"/>
      <c r="J184" s="140"/>
      <c r="K184" s="177"/>
      <c r="L184" s="199"/>
      <c r="M184" s="199"/>
      <c r="N184" s="199"/>
      <c r="O184" s="199"/>
      <c r="P184" s="199"/>
      <c r="Q184" s="199"/>
      <c r="R184" s="199"/>
      <c r="S184" s="177"/>
      <c r="T184" s="177"/>
      <c r="U184" s="177"/>
    </row>
    <row r="185" spans="1:23" ht="13.8" thickBot="1" x14ac:dyDescent="0.3">
      <c r="A185" s="621" t="s">
        <v>212</v>
      </c>
      <c r="B185" s="573"/>
      <c r="C185" s="573"/>
      <c r="D185" s="573"/>
      <c r="E185" s="573"/>
      <c r="F185" s="574"/>
    </row>
    <row r="186" spans="1:23" x14ac:dyDescent="0.25">
      <c r="A186" s="250" t="s">
        <v>213</v>
      </c>
      <c r="B186" s="146" t="s">
        <v>214</v>
      </c>
      <c r="C186" s="147" t="s">
        <v>215</v>
      </c>
      <c r="D186" s="251" t="s">
        <v>216</v>
      </c>
      <c r="E186" s="199"/>
      <c r="H186" s="20"/>
      <c r="I186" s="20"/>
    </row>
    <row r="187" spans="1:23" s="64" customFormat="1" x14ac:dyDescent="0.25">
      <c r="A187" s="324"/>
      <c r="B187" s="325"/>
      <c r="C187" s="326"/>
      <c r="D187" s="293"/>
      <c r="E187" s="66"/>
      <c r="F187" s="66"/>
      <c r="G187" s="66"/>
    </row>
    <row r="188" spans="1:23" s="64" customFormat="1" x14ac:dyDescent="0.25">
      <c r="A188" s="324"/>
      <c r="B188" s="325"/>
      <c r="C188" s="326"/>
      <c r="D188" s="330"/>
      <c r="E188" s="66"/>
      <c r="F188" s="66"/>
      <c r="G188" s="66"/>
    </row>
    <row r="189" spans="1:23" s="64" customFormat="1" ht="13.8" thickBot="1" x14ac:dyDescent="0.3">
      <c r="A189" s="327"/>
      <c r="B189" s="328"/>
      <c r="C189" s="329"/>
      <c r="D189" s="331"/>
      <c r="E189" s="66"/>
      <c r="F189" s="66"/>
      <c r="G189" s="66"/>
    </row>
    <row r="190" spans="1:23" ht="13.8" thickBot="1" x14ac:dyDescent="0.3"/>
    <row r="191" spans="1:23" ht="13.8" thickBot="1" x14ac:dyDescent="0.3">
      <c r="A191" s="501" t="s">
        <v>217</v>
      </c>
      <c r="B191" s="502"/>
      <c r="C191" s="502"/>
      <c r="D191" s="502"/>
      <c r="E191" s="502"/>
      <c r="F191" s="502"/>
      <c r="G191" s="502"/>
      <c r="H191" s="502"/>
      <c r="I191" s="503"/>
      <c r="K191" s="177"/>
      <c r="L191" s="199"/>
      <c r="M191" s="199"/>
      <c r="N191" s="199"/>
      <c r="O191" s="199"/>
      <c r="P191" s="199"/>
      <c r="Q191" s="199"/>
      <c r="R191" s="199"/>
      <c r="S191" s="177"/>
      <c r="T191" s="177"/>
      <c r="U191" s="177"/>
    </row>
    <row r="192" spans="1:23" ht="13.8" thickBot="1" x14ac:dyDescent="0.3">
      <c r="A192" s="252" t="s">
        <v>218</v>
      </c>
      <c r="B192" s="253"/>
      <c r="C192" s="133"/>
      <c r="D192" s="133"/>
      <c r="E192" s="133"/>
      <c r="F192" s="133"/>
      <c r="G192" s="220"/>
      <c r="H192" s="133"/>
      <c r="I192" s="254"/>
      <c r="J192" s="140"/>
      <c r="K192" s="177"/>
      <c r="L192" s="199"/>
      <c r="M192" s="199"/>
      <c r="N192" s="199"/>
      <c r="O192" s="199"/>
      <c r="P192" s="199"/>
      <c r="Q192" s="199"/>
      <c r="R192" s="199"/>
      <c r="S192" s="177"/>
      <c r="T192" s="177"/>
      <c r="U192" s="177"/>
    </row>
    <row r="193" spans="1:19" s="335" customFormat="1" x14ac:dyDescent="0.25">
      <c r="A193" s="396"/>
      <c r="B193" s="655"/>
      <c r="C193" s="550"/>
      <c r="D193" s="550"/>
      <c r="E193" s="550"/>
      <c r="F193" s="550"/>
      <c r="G193" s="550"/>
      <c r="H193" s="550"/>
      <c r="I193" s="551"/>
      <c r="J193" s="370"/>
      <c r="K193" s="371"/>
      <c r="L193" s="338"/>
      <c r="M193" s="338"/>
      <c r="N193" s="338"/>
      <c r="O193" s="338"/>
      <c r="P193" s="338"/>
      <c r="Q193" s="338"/>
      <c r="R193" s="338"/>
      <c r="S193" s="371"/>
    </row>
    <row r="194" spans="1:19" s="64" customFormat="1" x14ac:dyDescent="0.25">
      <c r="A194" s="255"/>
      <c r="B194" s="611"/>
      <c r="C194" s="562"/>
      <c r="D194" s="562"/>
      <c r="E194" s="562"/>
      <c r="F194" s="562"/>
      <c r="G194" s="562"/>
      <c r="H194" s="562"/>
      <c r="I194" s="563"/>
    </row>
    <row r="195" spans="1:19" s="64" customFormat="1" x14ac:dyDescent="0.25">
      <c r="A195" s="255"/>
      <c r="B195" s="611"/>
      <c r="C195" s="562"/>
      <c r="D195" s="562"/>
      <c r="E195" s="562"/>
      <c r="F195" s="562"/>
      <c r="G195" s="562"/>
      <c r="H195" s="562"/>
      <c r="I195" s="563"/>
    </row>
    <row r="196" spans="1:19" s="64" customFormat="1" x14ac:dyDescent="0.25">
      <c r="A196" s="255"/>
      <c r="B196" s="611"/>
      <c r="C196" s="562"/>
      <c r="D196" s="562"/>
      <c r="E196" s="562"/>
      <c r="F196" s="562"/>
      <c r="G196" s="562"/>
      <c r="H196" s="562"/>
      <c r="I196" s="563"/>
    </row>
    <row r="197" spans="1:19" s="64" customFormat="1" x14ac:dyDescent="0.25">
      <c r="A197" s="255"/>
      <c r="B197" s="611"/>
      <c r="C197" s="562"/>
      <c r="D197" s="562"/>
      <c r="E197" s="562"/>
      <c r="F197" s="562"/>
      <c r="G197" s="562"/>
      <c r="H197" s="562"/>
      <c r="I197" s="563"/>
    </row>
    <row r="198" spans="1:19" s="64" customFormat="1" x14ac:dyDescent="0.25">
      <c r="A198" s="255"/>
      <c r="B198" s="611"/>
      <c r="C198" s="562"/>
      <c r="D198" s="562"/>
      <c r="E198" s="562"/>
      <c r="F198" s="562"/>
      <c r="G198" s="562"/>
      <c r="H198" s="562"/>
      <c r="I198" s="563"/>
    </row>
    <row r="199" spans="1:19" s="64" customFormat="1" x14ac:dyDescent="0.25">
      <c r="A199" s="255"/>
      <c r="B199" s="611"/>
      <c r="C199" s="562"/>
      <c r="D199" s="562"/>
      <c r="E199" s="562"/>
      <c r="F199" s="562"/>
      <c r="G199" s="562"/>
      <c r="H199" s="562"/>
      <c r="I199" s="563"/>
    </row>
    <row r="200" spans="1:19" s="64" customFormat="1" x14ac:dyDescent="0.25">
      <c r="A200" s="255"/>
      <c r="B200" s="611"/>
      <c r="C200" s="562"/>
      <c r="D200" s="562"/>
      <c r="E200" s="562"/>
      <c r="F200" s="562"/>
      <c r="G200" s="562"/>
      <c r="H200" s="562"/>
      <c r="I200" s="563"/>
    </row>
    <row r="201" spans="1:19" s="64" customFormat="1" x14ac:dyDescent="0.25">
      <c r="A201" s="255"/>
      <c r="B201" s="611"/>
      <c r="C201" s="562"/>
      <c r="D201" s="562"/>
      <c r="E201" s="562"/>
      <c r="F201" s="562"/>
      <c r="G201" s="562"/>
      <c r="H201" s="562"/>
      <c r="I201" s="563"/>
    </row>
    <row r="202" spans="1:19" s="64" customFormat="1" x14ac:dyDescent="0.25">
      <c r="A202" s="255"/>
      <c r="B202" s="611"/>
      <c r="C202" s="562"/>
      <c r="D202" s="562"/>
      <c r="E202" s="562"/>
      <c r="F202" s="562"/>
      <c r="G202" s="562"/>
      <c r="H202" s="562"/>
      <c r="I202" s="563"/>
    </row>
    <row r="203" spans="1:19" s="64" customFormat="1" x14ac:dyDescent="0.25">
      <c r="A203" s="255"/>
      <c r="B203" s="611"/>
      <c r="C203" s="562"/>
      <c r="D203" s="562"/>
      <c r="E203" s="562"/>
      <c r="F203" s="562"/>
      <c r="G203" s="562"/>
      <c r="H203" s="562"/>
      <c r="I203" s="563"/>
    </row>
    <row r="204" spans="1:19" s="64" customFormat="1" x14ac:dyDescent="0.25">
      <c r="A204" s="255"/>
      <c r="B204" s="611"/>
      <c r="C204" s="562"/>
      <c r="D204" s="562"/>
      <c r="E204" s="562"/>
      <c r="F204" s="562"/>
      <c r="G204" s="562"/>
      <c r="H204" s="562"/>
      <c r="I204" s="563"/>
    </row>
    <row r="205" spans="1:19" s="64" customFormat="1" x14ac:dyDescent="0.25">
      <c r="A205" s="255"/>
      <c r="B205" s="611"/>
      <c r="C205" s="562"/>
      <c r="D205" s="562"/>
      <c r="E205" s="562"/>
      <c r="F205" s="562"/>
      <c r="G205" s="562"/>
      <c r="H205" s="562"/>
      <c r="I205" s="563"/>
    </row>
    <row r="206" spans="1:19" s="64" customFormat="1" x14ac:dyDescent="0.25">
      <c r="A206" s="255"/>
      <c r="B206" s="611"/>
      <c r="C206" s="562"/>
      <c r="D206" s="562"/>
      <c r="E206" s="562"/>
      <c r="F206" s="562"/>
      <c r="G206" s="562"/>
      <c r="H206" s="562"/>
      <c r="I206" s="563"/>
    </row>
    <row r="207" spans="1:19" s="64" customFormat="1" ht="13.8" thickBot="1" x14ac:dyDescent="0.3">
      <c r="A207" s="256"/>
      <c r="B207" s="615"/>
      <c r="C207" s="616"/>
      <c r="D207" s="616"/>
      <c r="E207" s="616"/>
      <c r="F207" s="616"/>
      <c r="G207" s="616"/>
      <c r="H207" s="616"/>
      <c r="I207" s="617"/>
    </row>
    <row r="209" spans="1:14" s="64" customFormat="1" x14ac:dyDescent="0.25">
      <c r="F209" s="66"/>
      <c r="G209" s="66"/>
      <c r="H209" s="66"/>
      <c r="I209" s="66"/>
    </row>
    <row r="210" spans="1:14" s="64" customFormat="1" ht="13.8" thickBot="1" x14ac:dyDescent="0.3">
      <c r="F210" s="66"/>
      <c r="G210" s="66"/>
      <c r="H210" s="66"/>
      <c r="I210" s="66"/>
    </row>
    <row r="211" spans="1:14" s="64" customFormat="1" ht="13.8" thickBot="1" x14ac:dyDescent="0.3">
      <c r="A211" s="636" t="s">
        <v>3</v>
      </c>
      <c r="B211" s="637"/>
      <c r="F211" s="66"/>
      <c r="G211" s="66"/>
      <c r="H211" s="66"/>
      <c r="I211" s="66"/>
    </row>
    <row r="212" spans="1:14" s="258" customFormat="1" ht="13.8" thickBot="1" x14ac:dyDescent="0.3">
      <c r="A212" s="257"/>
      <c r="B212" s="257"/>
      <c r="F212" s="259"/>
      <c r="G212" s="259"/>
      <c r="H212" s="259"/>
      <c r="I212" s="259"/>
    </row>
    <row r="213" spans="1:14" s="64" customFormat="1" ht="15.75" customHeight="1" thickBot="1" x14ac:dyDescent="0.3">
      <c r="A213" s="582" t="s">
        <v>2</v>
      </c>
      <c r="B213" s="583"/>
      <c r="C213" s="583"/>
      <c r="D213" s="583"/>
      <c r="E213" s="583"/>
      <c r="F213" s="583"/>
      <c r="G213" s="584"/>
      <c r="H213" s="66"/>
      <c r="I213" s="66"/>
    </row>
    <row r="214" spans="1:14" s="258" customFormat="1" ht="15.75" customHeight="1" thickBot="1" x14ac:dyDescent="0.3">
      <c r="A214" s="257"/>
      <c r="B214" s="257"/>
      <c r="C214" s="257"/>
      <c r="D214" s="257"/>
      <c r="E214" s="257"/>
      <c r="F214" s="257"/>
      <c r="G214" s="257"/>
      <c r="H214" s="259"/>
      <c r="I214" s="259"/>
    </row>
    <row r="215" spans="1:14" s="64" customFormat="1" ht="15.75" customHeight="1" thickBot="1" x14ac:dyDescent="0.3">
      <c r="A215" s="627" t="s">
        <v>1</v>
      </c>
      <c r="B215" s="628"/>
      <c r="C215" s="628"/>
      <c r="D215" s="628"/>
      <c r="E215" s="629"/>
      <c r="F215" s="260"/>
      <c r="G215" s="260"/>
      <c r="H215" s="66"/>
      <c r="I215" s="66"/>
    </row>
    <row r="216" spans="1:14" s="64" customFormat="1" x14ac:dyDescent="0.25">
      <c r="A216" s="630" t="s">
        <v>558</v>
      </c>
      <c r="B216" s="613" t="s">
        <v>1649</v>
      </c>
      <c r="C216" s="576" t="s">
        <v>0</v>
      </c>
      <c r="D216" s="576" t="s">
        <v>541</v>
      </c>
      <c r="E216" s="613" t="s">
        <v>1650</v>
      </c>
      <c r="F216" s="576" t="s">
        <v>410</v>
      </c>
      <c r="G216" s="576" t="s">
        <v>397</v>
      </c>
      <c r="H216" s="576" t="s">
        <v>559</v>
      </c>
      <c r="I216" s="576" t="s">
        <v>11</v>
      </c>
      <c r="J216" s="576" t="s">
        <v>12</v>
      </c>
      <c r="K216" s="576" t="s">
        <v>13</v>
      </c>
      <c r="L216" s="576" t="s">
        <v>423</v>
      </c>
      <c r="M216" s="576" t="s">
        <v>542</v>
      </c>
      <c r="N216" s="580"/>
    </row>
    <row r="217" spans="1:14" s="64" customFormat="1" ht="32.25" customHeight="1" thickBot="1" x14ac:dyDescent="0.3">
      <c r="A217" s="631"/>
      <c r="B217" s="614"/>
      <c r="C217" s="607"/>
      <c r="D217" s="607"/>
      <c r="E217" s="614"/>
      <c r="F217" s="607"/>
      <c r="G217" s="607"/>
      <c r="H217" s="607"/>
      <c r="I217" s="607"/>
      <c r="J217" s="607"/>
      <c r="K217" s="607"/>
      <c r="L217" s="607"/>
      <c r="M217" s="607"/>
      <c r="N217" s="608"/>
    </row>
    <row r="218" spans="1:14" s="64" customFormat="1" x14ac:dyDescent="0.25">
      <c r="A218" s="336"/>
      <c r="B218" s="337"/>
      <c r="C218" s="364"/>
      <c r="D218" s="337"/>
      <c r="E218" s="337"/>
      <c r="F218" s="337"/>
      <c r="G218" s="337"/>
      <c r="H218" s="337"/>
      <c r="I218" s="337"/>
      <c r="J218" s="337"/>
      <c r="K218" s="337"/>
      <c r="L218" s="368"/>
      <c r="M218" s="632"/>
      <c r="N218" s="633"/>
    </row>
    <row r="219" spans="1:14" s="64" customFormat="1" x14ac:dyDescent="0.25">
      <c r="A219" s="65"/>
      <c r="B219" s="61"/>
      <c r="C219" s="23"/>
      <c r="D219" s="61"/>
      <c r="E219" s="61"/>
      <c r="F219" s="61"/>
      <c r="G219" s="61"/>
      <c r="H219" s="61"/>
      <c r="I219" s="61"/>
      <c r="J219" s="61"/>
      <c r="K219" s="61"/>
      <c r="L219" s="261"/>
      <c r="M219" s="625"/>
      <c r="N219" s="626"/>
    </row>
    <row r="220" spans="1:14" s="64" customFormat="1" x14ac:dyDescent="0.25">
      <c r="A220" s="65"/>
      <c r="B220" s="61"/>
      <c r="C220" s="23"/>
      <c r="D220" s="61"/>
      <c r="E220" s="61"/>
      <c r="F220" s="61"/>
      <c r="G220" s="61"/>
      <c r="H220" s="61"/>
      <c r="I220" s="61"/>
      <c r="J220" s="61"/>
      <c r="K220" s="61"/>
      <c r="L220" s="261"/>
      <c r="M220" s="625"/>
      <c r="N220" s="626"/>
    </row>
    <row r="221" spans="1:14" s="64" customFormat="1" x14ac:dyDescent="0.25">
      <c r="A221" s="65"/>
      <c r="B221" s="61"/>
      <c r="C221" s="23"/>
      <c r="D221" s="61"/>
      <c r="E221" s="61"/>
      <c r="F221" s="61"/>
      <c r="G221" s="61"/>
      <c r="H221" s="61"/>
      <c r="I221" s="61"/>
      <c r="J221" s="61"/>
      <c r="K221" s="61"/>
      <c r="L221" s="261"/>
      <c r="M221" s="625"/>
      <c r="N221" s="626"/>
    </row>
    <row r="222" spans="1:14" s="64" customFormat="1" x14ac:dyDescent="0.25">
      <c r="A222" s="65"/>
      <c r="B222" s="61"/>
      <c r="C222" s="23"/>
      <c r="D222" s="61"/>
      <c r="E222" s="61"/>
      <c r="F222" s="61"/>
      <c r="G222" s="61"/>
      <c r="H222" s="61"/>
      <c r="I222" s="61"/>
      <c r="J222" s="61"/>
      <c r="K222" s="61"/>
      <c r="L222" s="261"/>
      <c r="M222" s="625"/>
      <c r="N222" s="626"/>
    </row>
    <row r="223" spans="1:14" s="64" customFormat="1" ht="13.8" thickBot="1" x14ac:dyDescent="0.3">
      <c r="A223" s="127"/>
      <c r="B223" s="195"/>
      <c r="C223" s="24"/>
      <c r="D223" s="195"/>
      <c r="E223" s="195"/>
      <c r="F223" s="195"/>
      <c r="G223" s="195"/>
      <c r="H223" s="195"/>
      <c r="I223" s="195"/>
      <c r="J223" s="195"/>
      <c r="K223" s="195"/>
      <c r="L223" s="262"/>
      <c r="M223" s="601"/>
      <c r="N223" s="602"/>
    </row>
    <row r="224" spans="1:14" s="64" customFormat="1" x14ac:dyDescent="0.25">
      <c r="F224" s="66"/>
      <c r="G224" s="66"/>
      <c r="H224" s="66"/>
      <c r="I224" s="66"/>
    </row>
    <row r="225" spans="1:23" s="64" customFormat="1" ht="13.8" thickBot="1" x14ac:dyDescent="0.3">
      <c r="F225" s="66"/>
      <c r="G225" s="66"/>
      <c r="H225" s="66"/>
      <c r="I225" s="66"/>
    </row>
    <row r="226" spans="1:23" s="64" customFormat="1" ht="13.8" thickBot="1" x14ac:dyDescent="0.3">
      <c r="A226" s="582" t="s">
        <v>709</v>
      </c>
      <c r="B226" s="583"/>
      <c r="C226" s="583"/>
      <c r="D226" s="583"/>
      <c r="E226" s="583"/>
      <c r="F226" s="583"/>
      <c r="G226" s="584"/>
      <c r="H226" s="66"/>
      <c r="I226" s="66"/>
    </row>
    <row r="227" spans="1:23" s="64" customFormat="1" ht="13.8" thickBot="1" x14ac:dyDescent="0.3">
      <c r="F227" s="66"/>
      <c r="G227" s="66"/>
      <c r="H227" s="66"/>
      <c r="I227" s="66"/>
    </row>
    <row r="228" spans="1:23" s="64" customFormat="1" ht="13.8" thickBot="1" x14ac:dyDescent="0.3">
      <c r="A228" s="627" t="s">
        <v>1</v>
      </c>
      <c r="B228" s="628"/>
      <c r="C228" s="628"/>
      <c r="D228" s="628"/>
      <c r="E228" s="628"/>
      <c r="F228" s="628"/>
      <c r="G228" s="628"/>
      <c r="H228" s="629"/>
      <c r="I228" s="66"/>
    </row>
    <row r="229" spans="1:23" s="64" customFormat="1" ht="16.5" customHeight="1" thickBot="1" x14ac:dyDescent="0.3">
      <c r="A229" s="630" t="s">
        <v>558</v>
      </c>
      <c r="B229" s="613" t="s">
        <v>1649</v>
      </c>
      <c r="C229" s="576" t="s">
        <v>0</v>
      </c>
      <c r="D229" s="576" t="s">
        <v>541</v>
      </c>
      <c r="E229" s="613" t="s">
        <v>1650</v>
      </c>
      <c r="F229" s="576" t="s">
        <v>41</v>
      </c>
      <c r="G229" s="609" t="s">
        <v>708</v>
      </c>
      <c r="H229" s="609"/>
      <c r="I229" s="609"/>
      <c r="J229" s="609"/>
      <c r="K229" s="609"/>
      <c r="L229" s="609"/>
      <c r="M229" s="609"/>
      <c r="N229" s="609"/>
      <c r="O229" s="576" t="s">
        <v>410</v>
      </c>
      <c r="P229" s="576" t="s">
        <v>397</v>
      </c>
      <c r="Q229" s="576" t="s">
        <v>559</v>
      </c>
      <c r="R229" s="576" t="s">
        <v>11</v>
      </c>
      <c r="S229" s="576" t="s">
        <v>12</v>
      </c>
      <c r="T229" s="576" t="s">
        <v>13</v>
      </c>
      <c r="U229" s="576" t="s">
        <v>423</v>
      </c>
      <c r="V229" s="576" t="s">
        <v>542</v>
      </c>
      <c r="W229" s="580"/>
    </row>
    <row r="230" spans="1:23" s="64" customFormat="1" ht="13.8" thickBot="1" x14ac:dyDescent="0.3">
      <c r="A230" s="631"/>
      <c r="B230" s="614"/>
      <c r="C230" s="607"/>
      <c r="D230" s="607"/>
      <c r="E230" s="614"/>
      <c r="F230" s="607"/>
      <c r="G230" s="54" t="s">
        <v>406</v>
      </c>
      <c r="H230" s="54" t="s">
        <v>42</v>
      </c>
      <c r="I230" s="54" t="s">
        <v>407</v>
      </c>
      <c r="J230" s="54" t="s">
        <v>43</v>
      </c>
      <c r="K230" s="54" t="s">
        <v>408</v>
      </c>
      <c r="L230" s="54" t="s">
        <v>44</v>
      </c>
      <c r="M230" s="54" t="s">
        <v>409</v>
      </c>
      <c r="N230" s="54" t="s">
        <v>45</v>
      </c>
      <c r="O230" s="607"/>
      <c r="P230" s="607"/>
      <c r="Q230" s="607"/>
      <c r="R230" s="607"/>
      <c r="S230" s="607"/>
      <c r="T230" s="607"/>
      <c r="U230" s="607"/>
      <c r="V230" s="607"/>
      <c r="W230" s="608"/>
    </row>
    <row r="231" spans="1:23" s="64" customFormat="1" x14ac:dyDescent="0.25">
      <c r="A231" s="336"/>
      <c r="B231" s="337"/>
      <c r="C231" s="364"/>
      <c r="D231" s="337"/>
      <c r="E231" s="337"/>
      <c r="F231" s="367"/>
      <c r="G231" s="337"/>
      <c r="H231" s="337"/>
      <c r="I231" s="337"/>
      <c r="J231" s="337"/>
      <c r="K231" s="337"/>
      <c r="L231" s="337"/>
      <c r="M231" s="337"/>
      <c r="N231" s="337"/>
      <c r="O231" s="337"/>
      <c r="P231" s="337"/>
      <c r="Q231" s="337"/>
      <c r="R231" s="337"/>
      <c r="S231" s="337"/>
      <c r="T231" s="337"/>
      <c r="U231" s="368"/>
      <c r="V231" s="603"/>
      <c r="W231" s="604"/>
    </row>
    <row r="232" spans="1:23" s="64" customFormat="1" x14ac:dyDescent="0.25">
      <c r="A232" s="65"/>
      <c r="B232" s="61"/>
      <c r="C232" s="23"/>
      <c r="D232" s="61"/>
      <c r="E232" s="61"/>
      <c r="F232" s="60"/>
      <c r="G232" s="61"/>
      <c r="H232" s="61"/>
      <c r="I232" s="61"/>
      <c r="J232" s="61"/>
      <c r="K232" s="61"/>
      <c r="L232" s="61"/>
      <c r="M232" s="61"/>
      <c r="N232" s="61"/>
      <c r="O232" s="61"/>
      <c r="P232" s="61"/>
      <c r="Q232" s="61"/>
      <c r="R232" s="61"/>
      <c r="S232" s="61"/>
      <c r="T232" s="61"/>
      <c r="U232" s="261"/>
      <c r="V232" s="605"/>
      <c r="W232" s="606"/>
    </row>
    <row r="233" spans="1:23" s="64" customFormat="1" x14ac:dyDescent="0.25">
      <c r="A233" s="65"/>
      <c r="B233" s="61"/>
      <c r="C233" s="23"/>
      <c r="D233" s="61"/>
      <c r="E233" s="61"/>
      <c r="F233" s="60"/>
      <c r="G233" s="61"/>
      <c r="H233" s="61"/>
      <c r="I233" s="61"/>
      <c r="J233" s="61"/>
      <c r="K233" s="61"/>
      <c r="L233" s="61"/>
      <c r="M233" s="61"/>
      <c r="N233" s="61"/>
      <c r="O233" s="61"/>
      <c r="P233" s="61"/>
      <c r="Q233" s="61"/>
      <c r="R233" s="61"/>
      <c r="S233" s="61"/>
      <c r="T233" s="61"/>
      <c r="U233" s="261"/>
      <c r="V233" s="605"/>
      <c r="W233" s="606"/>
    </row>
    <row r="234" spans="1:23" s="64" customFormat="1" x14ac:dyDescent="0.25">
      <c r="A234" s="65"/>
      <c r="B234" s="61"/>
      <c r="C234" s="23"/>
      <c r="D234" s="61"/>
      <c r="E234" s="61"/>
      <c r="F234" s="60"/>
      <c r="G234" s="61"/>
      <c r="H234" s="61"/>
      <c r="I234" s="61"/>
      <c r="J234" s="61"/>
      <c r="K234" s="61"/>
      <c r="L234" s="61"/>
      <c r="M234" s="61"/>
      <c r="N234" s="61"/>
      <c r="O234" s="61"/>
      <c r="P234" s="61"/>
      <c r="Q234" s="61"/>
      <c r="R234" s="61"/>
      <c r="S234" s="61"/>
      <c r="T234" s="61"/>
      <c r="U234" s="261"/>
      <c r="V234" s="605"/>
      <c r="W234" s="606"/>
    </row>
    <row r="235" spans="1:23" s="64" customFormat="1" x14ac:dyDescent="0.25">
      <c r="A235" s="65"/>
      <c r="B235" s="61"/>
      <c r="C235" s="23"/>
      <c r="D235" s="61"/>
      <c r="E235" s="61"/>
      <c r="F235" s="60"/>
      <c r="G235" s="61"/>
      <c r="H235" s="61"/>
      <c r="I235" s="61"/>
      <c r="J235" s="61"/>
      <c r="K235" s="61"/>
      <c r="L235" s="61"/>
      <c r="M235" s="61"/>
      <c r="N235" s="61"/>
      <c r="O235" s="61"/>
      <c r="P235" s="61"/>
      <c r="Q235" s="61"/>
      <c r="R235" s="61"/>
      <c r="S235" s="61"/>
      <c r="T235" s="61"/>
      <c r="U235" s="261"/>
      <c r="V235" s="605"/>
      <c r="W235" s="606"/>
    </row>
    <row r="236" spans="1:23" s="64" customFormat="1" ht="13.8" thickBot="1" x14ac:dyDescent="0.3">
      <c r="A236" s="127"/>
      <c r="B236" s="195"/>
      <c r="C236" s="24"/>
      <c r="D236" s="195"/>
      <c r="E236" s="195"/>
      <c r="F236" s="263"/>
      <c r="G236" s="195"/>
      <c r="H236" s="195"/>
      <c r="I236" s="195"/>
      <c r="J236" s="195"/>
      <c r="K236" s="195"/>
      <c r="L236" s="195"/>
      <c r="M236" s="195"/>
      <c r="N236" s="195"/>
      <c r="O236" s="195"/>
      <c r="P236" s="195"/>
      <c r="Q236" s="195"/>
      <c r="R236" s="195"/>
      <c r="S236" s="195"/>
      <c r="T236" s="195"/>
      <c r="U236" s="262"/>
      <c r="V236" s="599"/>
      <c r="W236" s="600"/>
    </row>
    <row r="237" spans="1:23" s="64" customFormat="1" x14ac:dyDescent="0.25">
      <c r="F237" s="66"/>
      <c r="G237" s="66"/>
      <c r="H237" s="66"/>
      <c r="I237" s="66"/>
    </row>
    <row r="238" spans="1:23" s="64" customFormat="1" x14ac:dyDescent="0.25">
      <c r="F238" s="66"/>
      <c r="G238" s="66"/>
      <c r="H238" s="66"/>
      <c r="I238" s="66"/>
    </row>
    <row r="239" spans="1:23" s="64" customFormat="1" ht="13.8" thickBot="1" x14ac:dyDescent="0.3">
      <c r="F239" s="66"/>
      <c r="G239" s="66"/>
      <c r="H239" s="66"/>
      <c r="I239" s="66"/>
    </row>
    <row r="240" spans="1:23" ht="13.8" thickBot="1" x14ac:dyDescent="0.3">
      <c r="A240" s="143" t="s">
        <v>427</v>
      </c>
      <c r="B240" s="264" t="s">
        <v>428</v>
      </c>
    </row>
    <row r="241" spans="1:9" x14ac:dyDescent="0.25">
      <c r="A241" s="146" t="s">
        <v>429</v>
      </c>
      <c r="B241" s="366" t="s">
        <v>50</v>
      </c>
    </row>
    <row r="242" spans="1:9" x14ac:dyDescent="0.25">
      <c r="A242" s="265" t="s">
        <v>64</v>
      </c>
      <c r="B242" s="63" t="s">
        <v>50</v>
      </c>
    </row>
    <row r="243" spans="1:9" x14ac:dyDescent="0.25">
      <c r="A243" s="265" t="s">
        <v>243</v>
      </c>
      <c r="B243" s="63" t="s">
        <v>50</v>
      </c>
      <c r="F243" s="20"/>
      <c r="G243" s="20"/>
      <c r="H243" s="20"/>
      <c r="I243" s="20"/>
    </row>
    <row r="244" spans="1:9" x14ac:dyDescent="0.25">
      <c r="A244" s="265" t="s">
        <v>244</v>
      </c>
      <c r="B244" s="63" t="s">
        <v>50</v>
      </c>
      <c r="F244" s="20"/>
      <c r="G244" s="20"/>
      <c r="H244" s="20"/>
      <c r="I244" s="20"/>
    </row>
    <row r="245" spans="1:9" x14ac:dyDescent="0.25">
      <c r="A245" s="265" t="s">
        <v>245</v>
      </c>
      <c r="B245" s="63" t="s">
        <v>52</v>
      </c>
      <c r="F245" s="20"/>
      <c r="G245" s="20"/>
      <c r="H245" s="20"/>
      <c r="I245" s="20"/>
    </row>
    <row r="246" spans="1:9" x14ac:dyDescent="0.25">
      <c r="A246" s="265" t="s">
        <v>267</v>
      </c>
      <c r="B246" s="63" t="s">
        <v>52</v>
      </c>
      <c r="F246" s="20"/>
      <c r="G246" s="20"/>
      <c r="H246" s="20"/>
      <c r="I246" s="20"/>
    </row>
    <row r="247" spans="1:9" x14ac:dyDescent="0.25">
      <c r="A247" s="266" t="s">
        <v>265</v>
      </c>
      <c r="B247" s="63" t="s">
        <v>52</v>
      </c>
      <c r="F247" s="20"/>
      <c r="G247" s="20"/>
      <c r="H247" s="20"/>
      <c r="I247" s="20"/>
    </row>
    <row r="248" spans="1:9" x14ac:dyDescent="0.25">
      <c r="A248" s="266" t="s">
        <v>430</v>
      </c>
      <c r="B248" s="63" t="s">
        <v>52</v>
      </c>
      <c r="F248" s="20"/>
      <c r="G248" s="20"/>
      <c r="H248" s="20"/>
      <c r="I248" s="20"/>
    </row>
    <row r="249" spans="1:9" ht="13.8" thickBot="1" x14ac:dyDescent="0.3">
      <c r="A249" s="267" t="s">
        <v>433</v>
      </c>
      <c r="B249" s="129" t="s">
        <v>50</v>
      </c>
      <c r="F249" s="20"/>
      <c r="G249" s="20"/>
      <c r="H249" s="20"/>
      <c r="I249" s="20"/>
    </row>
  </sheetData>
  <sheetProtection formatCells="0" formatColumns="0" formatRows="0" insertColumns="0" insertRows="0" deleteColumns="0" deleteRows="0" sort="0" autoFilter="0"/>
  <dataConsolidate>
    <dataRefs count="2">
      <dataRef ref="B9" sheet="APPENDIX B-1  (FE - USWC)" r:id="rId1"/>
      <dataRef ref="A14:A18" sheet="APPENDIX B-1  (FE - USWC)" r:id="rId2"/>
    </dataRefs>
  </dataConsolidate>
  <mergeCells count="273">
    <mergeCell ref="A1:B1"/>
    <mergeCell ref="C1:F1"/>
    <mergeCell ref="A2:B2"/>
    <mergeCell ref="C2:F2"/>
    <mergeCell ref="A3:B3"/>
    <mergeCell ref="C3:F3"/>
    <mergeCell ref="A7:B7"/>
    <mergeCell ref="C7:F7"/>
    <mergeCell ref="A8:B8"/>
    <mergeCell ref="C8:F8"/>
    <mergeCell ref="A12:J12"/>
    <mergeCell ref="B13:I13"/>
    <mergeCell ref="J13:K13"/>
    <mergeCell ref="A4:B4"/>
    <mergeCell ref="C4:F4"/>
    <mergeCell ref="A5:B5"/>
    <mergeCell ref="C5:F5"/>
    <mergeCell ref="A6:B6"/>
    <mergeCell ref="C6:F6"/>
    <mergeCell ref="B16:I16"/>
    <mergeCell ref="J16:K16"/>
    <mergeCell ref="L16:M16"/>
    <mergeCell ref="B17:I17"/>
    <mergeCell ref="J17:K17"/>
    <mergeCell ref="L17:M17"/>
    <mergeCell ref="L13:M13"/>
    <mergeCell ref="B14:I14"/>
    <mergeCell ref="J14:K14"/>
    <mergeCell ref="L14:M14"/>
    <mergeCell ref="B15:I15"/>
    <mergeCell ref="J15:K15"/>
    <mergeCell ref="L15:M15"/>
    <mergeCell ref="B20:H20"/>
    <mergeCell ref="B21:H21"/>
    <mergeCell ref="B22:H22"/>
    <mergeCell ref="B23:H23"/>
    <mergeCell ref="B24:H24"/>
    <mergeCell ref="A30:A31"/>
    <mergeCell ref="B30:B31"/>
    <mergeCell ref="C30:C31"/>
    <mergeCell ref="D30:D31"/>
    <mergeCell ref="E30:E31"/>
    <mergeCell ref="L30:L31"/>
    <mergeCell ref="X30:X31"/>
    <mergeCell ref="Y30:Y31"/>
    <mergeCell ref="Z30:Z31"/>
    <mergeCell ref="AA30:AA31"/>
    <mergeCell ref="A71:A72"/>
    <mergeCell ref="B71:B72"/>
    <mergeCell ref="C71:C72"/>
    <mergeCell ref="D71:D72"/>
    <mergeCell ref="E71:E72"/>
    <mergeCell ref="F30:F31"/>
    <mergeCell ref="G30:G31"/>
    <mergeCell ref="H30:H31"/>
    <mergeCell ref="I30:I31"/>
    <mergeCell ref="J30:J31"/>
    <mergeCell ref="K30:K31"/>
    <mergeCell ref="X71:X72"/>
    <mergeCell ref="Y71:Y72"/>
    <mergeCell ref="Z71:Z72"/>
    <mergeCell ref="AA71:AA72"/>
    <mergeCell ref="I71:I72"/>
    <mergeCell ref="J71:J72"/>
    <mergeCell ref="K71:K72"/>
    <mergeCell ref="A79:D79"/>
    <mergeCell ref="A80:A81"/>
    <mergeCell ref="B80:B81"/>
    <mergeCell ref="C80:C81"/>
    <mergeCell ref="D80:D81"/>
    <mergeCell ref="E80:E81"/>
    <mergeCell ref="F71:F72"/>
    <mergeCell ref="G71:G72"/>
    <mergeCell ref="H71:H72"/>
    <mergeCell ref="AA80:AA81"/>
    <mergeCell ref="AB80:AB81"/>
    <mergeCell ref="AC80:AC81"/>
    <mergeCell ref="F80:F81"/>
    <mergeCell ref="G80:G81"/>
    <mergeCell ref="H80:H81"/>
    <mergeCell ref="I80:I81"/>
    <mergeCell ref="J80:J81"/>
    <mergeCell ref="K80:K81"/>
    <mergeCell ref="A89:C89"/>
    <mergeCell ref="A90:C90"/>
    <mergeCell ref="B97:D97"/>
    <mergeCell ref="B98:D98"/>
    <mergeCell ref="B99:D99"/>
    <mergeCell ref="B100:D100"/>
    <mergeCell ref="L80:L81"/>
    <mergeCell ref="M80:M81"/>
    <mergeCell ref="Z80:Z81"/>
    <mergeCell ref="B115:D115"/>
    <mergeCell ref="B116:D116"/>
    <mergeCell ref="A118:I118"/>
    <mergeCell ref="A119:I119"/>
    <mergeCell ref="B120:I120"/>
    <mergeCell ref="B121:I121"/>
    <mergeCell ref="B101:D101"/>
    <mergeCell ref="A104:C104"/>
    <mergeCell ref="A105:C105"/>
    <mergeCell ref="B112:D112"/>
    <mergeCell ref="B113:D113"/>
    <mergeCell ref="B114:D114"/>
    <mergeCell ref="M123:M125"/>
    <mergeCell ref="A124:G124"/>
    <mergeCell ref="A125:G125"/>
    <mergeCell ref="B126:D126"/>
    <mergeCell ref="E126:G126"/>
    <mergeCell ref="B127:D127"/>
    <mergeCell ref="E127:G127"/>
    <mergeCell ref="A123:G123"/>
    <mergeCell ref="H123:H125"/>
    <mergeCell ref="I123:I125"/>
    <mergeCell ref="J123:J125"/>
    <mergeCell ref="K123:K125"/>
    <mergeCell ref="L123:L125"/>
    <mergeCell ref="B131:D131"/>
    <mergeCell ref="E131:G131"/>
    <mergeCell ref="B132:D132"/>
    <mergeCell ref="E132:G132"/>
    <mergeCell ref="B133:D133"/>
    <mergeCell ref="E133:G133"/>
    <mergeCell ref="B128:D128"/>
    <mergeCell ref="E128:G128"/>
    <mergeCell ref="B129:D129"/>
    <mergeCell ref="E129:G129"/>
    <mergeCell ref="B130:D130"/>
    <mergeCell ref="E130:G130"/>
    <mergeCell ref="B137:D137"/>
    <mergeCell ref="E137:G137"/>
    <mergeCell ref="B138:D138"/>
    <mergeCell ref="E138:G138"/>
    <mergeCell ref="B139:D139"/>
    <mergeCell ref="E139:G139"/>
    <mergeCell ref="B134:D134"/>
    <mergeCell ref="E134:G134"/>
    <mergeCell ref="B135:D135"/>
    <mergeCell ref="E135:G135"/>
    <mergeCell ref="B136:D136"/>
    <mergeCell ref="E136:G136"/>
    <mergeCell ref="B143:D143"/>
    <mergeCell ref="E143:G143"/>
    <mergeCell ref="B144:D144"/>
    <mergeCell ref="E144:G144"/>
    <mergeCell ref="B145:D145"/>
    <mergeCell ref="E145:G145"/>
    <mergeCell ref="B140:D140"/>
    <mergeCell ref="E140:G140"/>
    <mergeCell ref="B141:D141"/>
    <mergeCell ref="E141:G141"/>
    <mergeCell ref="B142:D142"/>
    <mergeCell ref="E142:G142"/>
    <mergeCell ref="B149:D149"/>
    <mergeCell ref="E149:G149"/>
    <mergeCell ref="B150:D150"/>
    <mergeCell ref="E150:G150"/>
    <mergeCell ref="B151:D151"/>
    <mergeCell ref="E151:G151"/>
    <mergeCell ref="B146:D146"/>
    <mergeCell ref="E146:G146"/>
    <mergeCell ref="B147:D147"/>
    <mergeCell ref="E147:G147"/>
    <mergeCell ref="B148:D148"/>
    <mergeCell ref="E148:G148"/>
    <mergeCell ref="B155:D155"/>
    <mergeCell ref="E155:G155"/>
    <mergeCell ref="B156:D156"/>
    <mergeCell ref="E156:G156"/>
    <mergeCell ref="B157:D157"/>
    <mergeCell ref="E157:G157"/>
    <mergeCell ref="B152:D152"/>
    <mergeCell ref="E152:G152"/>
    <mergeCell ref="B153:D153"/>
    <mergeCell ref="E153:G153"/>
    <mergeCell ref="B154:D154"/>
    <mergeCell ref="E154:G154"/>
    <mergeCell ref="B161:D161"/>
    <mergeCell ref="E161:G161"/>
    <mergeCell ref="B162:D162"/>
    <mergeCell ref="E162:G162"/>
    <mergeCell ref="A163:I163"/>
    <mergeCell ref="A164:I164"/>
    <mergeCell ref="B158:D158"/>
    <mergeCell ref="E158:G158"/>
    <mergeCell ref="B159:D159"/>
    <mergeCell ref="E159:G159"/>
    <mergeCell ref="B160:D160"/>
    <mergeCell ref="E160:G160"/>
    <mergeCell ref="J166:J167"/>
    <mergeCell ref="K166:K167"/>
    <mergeCell ref="L166:L167"/>
    <mergeCell ref="A173:D173"/>
    <mergeCell ref="E173:E174"/>
    <mergeCell ref="F173:F174"/>
    <mergeCell ref="G173:G174"/>
    <mergeCell ref="H173:H174"/>
    <mergeCell ref="I173:I174"/>
    <mergeCell ref="J173:J174"/>
    <mergeCell ref="A166:D166"/>
    <mergeCell ref="E166:E167"/>
    <mergeCell ref="F166:F167"/>
    <mergeCell ref="G166:G167"/>
    <mergeCell ref="H166:H167"/>
    <mergeCell ref="I166:I167"/>
    <mergeCell ref="A185:F185"/>
    <mergeCell ref="A191:I191"/>
    <mergeCell ref="B193:I193"/>
    <mergeCell ref="B194:I194"/>
    <mergeCell ref="B195:I195"/>
    <mergeCell ref="B196:I196"/>
    <mergeCell ref="K173:K174"/>
    <mergeCell ref="L173:L174"/>
    <mergeCell ref="M173:M174"/>
    <mergeCell ref="A181:E181"/>
    <mergeCell ref="A183:F183"/>
    <mergeCell ref="A184:F184"/>
    <mergeCell ref="B203:I203"/>
    <mergeCell ref="B204:I204"/>
    <mergeCell ref="B205:I205"/>
    <mergeCell ref="B206:I206"/>
    <mergeCell ref="B207:I207"/>
    <mergeCell ref="A211:B211"/>
    <mergeCell ref="B197:I197"/>
    <mergeCell ref="B198:I198"/>
    <mergeCell ref="B199:I199"/>
    <mergeCell ref="B200:I200"/>
    <mergeCell ref="B201:I201"/>
    <mergeCell ref="B202:I202"/>
    <mergeCell ref="A213:G213"/>
    <mergeCell ref="A215:E215"/>
    <mergeCell ref="A216:A217"/>
    <mergeCell ref="B216:B217"/>
    <mergeCell ref="C216:C217"/>
    <mergeCell ref="D216:D217"/>
    <mergeCell ref="E216:E217"/>
    <mergeCell ref="F216:F217"/>
    <mergeCell ref="G216:G217"/>
    <mergeCell ref="M218:N218"/>
    <mergeCell ref="M219:N219"/>
    <mergeCell ref="M220:N220"/>
    <mergeCell ref="M221:N221"/>
    <mergeCell ref="M222:N222"/>
    <mergeCell ref="M223:N223"/>
    <mergeCell ref="H216:H217"/>
    <mergeCell ref="I216:I217"/>
    <mergeCell ref="J216:J217"/>
    <mergeCell ref="K216:K217"/>
    <mergeCell ref="L216:L217"/>
    <mergeCell ref="M216:N217"/>
    <mergeCell ref="A226:G226"/>
    <mergeCell ref="A228:H228"/>
    <mergeCell ref="A229:A230"/>
    <mergeCell ref="B229:B230"/>
    <mergeCell ref="C229:C230"/>
    <mergeCell ref="D229:D230"/>
    <mergeCell ref="E229:E230"/>
    <mergeCell ref="F229:F230"/>
    <mergeCell ref="G229:N229"/>
    <mergeCell ref="V235:W235"/>
    <mergeCell ref="V236:W236"/>
    <mergeCell ref="U229:U230"/>
    <mergeCell ref="V229:W230"/>
    <mergeCell ref="V231:W231"/>
    <mergeCell ref="V232:W232"/>
    <mergeCell ref="V233:W233"/>
    <mergeCell ref="V234:W234"/>
    <mergeCell ref="O229:O230"/>
    <mergeCell ref="P229:P230"/>
    <mergeCell ref="Q229:Q230"/>
    <mergeCell ref="R229:R230"/>
    <mergeCell ref="S229:S230"/>
    <mergeCell ref="T229:T230"/>
  </mergeCells>
  <dataValidations count="34">
    <dataValidation type="list" allowBlank="1" showInputMessage="1" showErrorMessage="1" errorTitle="Pick up the list" promptTitle="Blank = ALL" sqref="H126:H162" xr:uid="{E0F9A9BB-9458-4CFD-8B65-D99835CA4D8C}">
      <formula1>Type_note2</formula1>
    </dataValidation>
    <dataValidation allowBlank="1" showInputMessage="1" showErrorMessage="1" promptTitle="Acceptable Values:" prompt="- Applicable _x000a_- Not applicable _x000a_- Included_x000a_- Amount and OSPF for cases of fixed per D40 OSPF_x000a_    (example-  &quot;375 OSPF&quot;)" sqref="E126:G162" xr:uid="{1672A7F6-49FE-4880-A2EE-7762C75A7801}"/>
    <dataValidation type="list" allowBlank="1" showErrorMessage="1" sqref="A126:A162" xr:uid="{C1D0B406-6953-4602-9B95-072680CC1A71}">
      <formula1>Charges</formula1>
    </dataValidation>
    <dataValidation type="list" allowBlank="1" showInputMessage="1" showErrorMessage="1" sqref="I126:I162" xr:uid="{6FDE3E37-A0A9-4A24-8E03-54E241A9B591}">
      <formula1>$A$14:$A$18</formula1>
    </dataValidation>
    <dataValidation type="list" allowBlank="1" showInputMessage="1" showErrorMessage="1" sqref="AA73:AA76 AC82:AC85 AA66:AA67" xr:uid="{3403A882-CDB3-4F1C-9155-C247F47F6864}">
      <formula1>CST</formula1>
    </dataValidation>
    <dataValidation type="list" allowBlank="1" showErrorMessage="1" sqref="O71:W71 Q80:Y80 M30:W30" xr:uid="{0BE77C31-068E-4D99-B70E-F57D03F568F9}">
      <formula1>Exceptions</formula1>
    </dataValidation>
    <dataValidation type="list" allowBlank="1" showInputMessage="1" showErrorMessage="1" sqref="N82:N85" xr:uid="{42EC4205-A166-4282-A81F-E033A43EDA93}">
      <formula1>OOG</formula1>
    </dataValidation>
    <dataValidation type="list" allowBlank="1" showInputMessage="1" showErrorMessage="1" sqref="M73:M76 O82:O85" xr:uid="{C85363D7-99DF-43CC-BB0B-160015B00454}">
      <formula1>ShipperOwn</formula1>
    </dataValidation>
    <dataValidation type="list" allowBlank="1" showInputMessage="1" showErrorMessage="1" sqref="F73:F76 F82:F85 F32:F67" xr:uid="{998E7CC8-54CD-4E7D-8F64-5D1115ED3BFF}">
      <formula1>Mode</formula1>
    </dataValidation>
    <dataValidation type="list" allowBlank="1" showInputMessage="1" showErrorMessage="1" sqref="O72:W72" xr:uid="{A3F5CB82-E158-490E-8A57-A1D925A26B51}">
      <formula1>Reefer</formula1>
    </dataValidation>
    <dataValidation type="list" allowBlank="1" showInputMessage="1" showErrorMessage="1" sqref="Q81:Y81 M31:W31" xr:uid="{E6D87BE3-14E4-4D57-95E1-EFBB1246B4B3}">
      <formula1>Container</formula1>
    </dataValidation>
    <dataValidation type="list" allowBlank="1" showInputMessage="1" showErrorMessage="1" sqref="G73:G76 G82:G85 G32:G67" xr:uid="{75DA5A3F-95A3-4D69-B819-DF9DCBCFD9ED}">
      <formula1>SDD</formula1>
    </dataValidation>
    <dataValidation type="list" allowBlank="1" showInputMessage="1" showErrorMessage="1" sqref="F98:F101 F113:F116" xr:uid="{4E9B13AD-4CCE-404A-8DC4-D35AEB0A0B9E}">
      <formula1>ArbMode</formula1>
    </dataValidation>
    <dataValidation type="list" allowBlank="1" showInputMessage="1" showErrorMessage="1" sqref="M82:M85" xr:uid="{C70ADBF6-97EF-4E04-81BA-977B03DE8130}">
      <formula1>Equip</formula1>
    </dataValidation>
    <dataValidation type="list" allowBlank="1" showInputMessage="1" showErrorMessage="1" sqref="L73:L76 G98:G101 P82:P85 N73:N76 G113:G116" xr:uid="{0AE8FAE5-0C13-4449-8CBE-BFAEEAEA74E3}">
      <formula1>YesNo</formula1>
    </dataValidation>
    <dataValidation type="list" allowBlank="1" showInputMessage="1" showErrorMessage="1" sqref="O98:O101 O113:O116" xr:uid="{F6E2EB04-4647-4CB8-8449-008346F43F67}">
      <formula1 xml:space="preserve"> droppull</formula1>
    </dataValidation>
    <dataValidation type="list" showDropDown="1" showErrorMessage="1" sqref="O97 O112" xr:uid="{405ADF9A-E25E-4DA0-A20E-0282BD79E09F}">
      <formula1>Charges</formula1>
    </dataValidation>
    <dataValidation type="date" allowBlank="1" showInputMessage="1" showErrorMessage="1" sqref="J126:K162 X66:Y67" xr:uid="{86055A7C-D081-498F-8A8F-31A39A651874}">
      <formula1>10101</formula1>
      <formula2>311299</formula2>
    </dataValidation>
    <dataValidation type="list" showInputMessage="1" showErrorMessage="1" sqref="A231:A236 A218:A223" xr:uid="{420AD6CE-E9E4-4971-9E32-25D59A0D0E18}">
      <formula1>BULLET</formula1>
    </dataValidation>
    <dataValidation type="list" allowBlank="1" showInputMessage="1" showErrorMessage="1" sqref="E168:E171 E175:E178" xr:uid="{134E83CC-679C-40E7-AD77-17648B7CB712}">
      <formula1>GRIPSS_EQ</formula1>
    </dataValidation>
    <dataValidation type="decimal" allowBlank="1" showInputMessage="1" showErrorMessage="1" sqref="F175:I178 F168:I171 I82:L85 I73:K76 J113:M116 I32:L67" xr:uid="{0874710C-D426-4EBE-BA5C-C98B37ACF522}">
      <formula1>0</formula1>
      <formula2>999999999999999</formula2>
    </dataValidation>
    <dataValidation type="list" allowBlank="1" showInputMessage="1" showErrorMessage="1" sqref="J168:J171 J175:J178" xr:uid="{6EAAD0CC-D8D5-4D81-B50A-2C14B48C2B94}">
      <formula1>GRIPSS</formula1>
    </dataValidation>
    <dataValidation type="list" showInputMessage="1" showErrorMessage="1" sqref="K168:K171 K175:K178 N98:N101 A73:A76 A82:A85 N113:N116 A66:A67" xr:uid="{906875C9-640D-46F8-A73E-8DF2F6930E26}">
      <formula1>$A$14:$A$18</formula1>
    </dataValidation>
    <dataValidation type="decimal" allowBlank="1" showInputMessage="1" showErrorMessage="1" error="Only numbers may be entered into this field" sqref="H231:H236 N231:N236 L231:L236 J231:J236" xr:uid="{DE72DCAA-BF5B-4655-B3F7-22DD04DE96D2}">
      <formula1>1</formula1>
      <formula2>1000000000</formula2>
    </dataValidation>
    <dataValidation type="whole" allowBlank="1" showInputMessage="1" showErrorMessage="1" error="Only whole numbers may be entered into this field_x000a_" sqref="G231:G236 M231:M236 K231:K236 I231:I236" xr:uid="{593D55E5-798E-4E4C-AEF1-2D6A95E85707}">
      <formula1>1</formula1>
      <formula2>99</formula2>
    </dataValidation>
    <dataValidation type="list" showInputMessage="1" showErrorMessage="1" sqref="E231:E236 E218:E223" xr:uid="{4BED6FB1-7152-43DD-8C89-BD7AB7AD41AC}">
      <formula1>DAYS</formula1>
    </dataValidation>
    <dataValidation type="whole" allowBlank="1" showInputMessage="1" showErrorMessage="1" error="Only whole numbers can be entered into this field" sqref="D231:D236 D218:D223" xr:uid="{D6912BF9-5019-4D4E-B6CA-B6AD15B0DFB4}">
      <formula1>1</formula1>
      <formula2>99</formula2>
    </dataValidation>
    <dataValidation type="list" allowBlank="1" showInputMessage="1" showErrorMessage="1" sqref="F231:F236" xr:uid="{EE57398D-540D-48E9-B7C9-540D7313DB78}">
      <formula1>CURRENCY</formula1>
    </dataValidation>
    <dataValidation type="list" allowBlank="1" showInputMessage="1" showErrorMessage="1" sqref="P231:P236 G218:G223" xr:uid="{467311D9-06E2-4701-860B-EBC7F2467E0E}">
      <formula1>OPREEFER</formula1>
    </dataValidation>
    <dataValidation type="list" allowBlank="1" showInputMessage="1" showErrorMessage="1" sqref="O231:O236 F218:F223" xr:uid="{67EA57A5-5D9A-4B08-A16C-7AACCE2719F0}">
      <formula1>EQTYPE</formula1>
    </dataValidation>
    <dataValidation type="list" allowBlank="1" showInputMessage="1" showErrorMessage="1" sqref="B231:B236 B218:B223" xr:uid="{F73F4D04-6E8A-42B1-92EC-E04AAA88ECA8}">
      <formula1>EXPIMP</formula1>
    </dataValidation>
    <dataValidation type="list" showInputMessage="1" showErrorMessage="1" sqref="C231:C236 C218:C223" xr:uid="{AC686D96-35FA-4B69-B561-8065C244FD95}">
      <formula1>IF($B218="I",DDTARIFFUS,DDTARIFF)</formula1>
    </dataValidation>
    <dataValidation type="list" allowBlank="1" showInputMessage="1" showErrorMessage="1" sqref="B241:B249" xr:uid="{4F7F5E2A-A84D-44B4-BEE2-3E8671342C2D}">
      <formula1>Autom</formula1>
    </dataValidation>
    <dataValidation type="list" allowBlank="1" showInputMessage="1" showErrorMessage="1" sqref="A32:A65" xr:uid="{2773AD80-B351-4DBF-B0A4-CEF32BC0A464}">
      <formula1>$A$14:$A$16</formula1>
    </dataValidation>
  </dataValidations>
  <pageMargins left="0.25" right="0.25" top="0.25" bottom="0.25" header="0.5" footer="0"/>
  <pageSetup scale="26" fitToHeight="0" orientation="landscape" r:id="rId3"/>
  <headerFooter alignWithMargins="0"/>
  <rowBreaks count="1" manualBreakCount="1">
    <brk id="121" max="16383" man="1"/>
  </rowBreaks>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B1EAB-7C4B-4BC1-8858-05B4F04A5D88}">
  <sheetPr>
    <pageSetUpPr fitToPage="1"/>
  </sheetPr>
  <dimension ref="A1:BB323"/>
  <sheetViews>
    <sheetView showGridLines="0" zoomScaleNormal="100" zoomScaleSheetLayoutView="75" workbookViewId="0">
      <selection sqref="A1:B1"/>
    </sheetView>
  </sheetViews>
  <sheetFormatPr defaultColWidth="9.109375" defaultRowHeight="13.2" x14ac:dyDescent="0.25"/>
  <cols>
    <col min="1" max="1" width="33.44140625" style="20" customWidth="1"/>
    <col min="2" max="2" width="18.5546875" style="20" customWidth="1"/>
    <col min="3" max="3" width="18.44140625" style="20" customWidth="1"/>
    <col min="4" max="4" width="17.44140625" style="20" customWidth="1"/>
    <col min="5" max="5" width="19.44140625" style="20" customWidth="1"/>
    <col min="6" max="6" width="12.109375" style="199" customWidth="1"/>
    <col min="7" max="8" width="17.44140625" style="199" customWidth="1"/>
    <col min="9" max="9" width="17.5546875" style="199" customWidth="1"/>
    <col min="10" max="10" width="17.88671875" style="20" customWidth="1"/>
    <col min="11" max="11" width="16.5546875" style="20" customWidth="1"/>
    <col min="12" max="12" width="18.5546875" style="20" customWidth="1"/>
    <col min="13" max="13" width="17.44140625" style="20" customWidth="1"/>
    <col min="14" max="14" width="17.5546875" style="20" customWidth="1"/>
    <col min="15" max="16" width="16.5546875" style="20" customWidth="1"/>
    <col min="17" max="17" width="17.5546875" style="20" customWidth="1"/>
    <col min="18" max="18" width="15.88671875" style="20" customWidth="1"/>
    <col min="19" max="21" width="16.5546875" style="20" customWidth="1"/>
    <col min="22" max="22" width="17.5546875" style="20" customWidth="1"/>
    <col min="23" max="23" width="18" style="20" customWidth="1"/>
    <col min="24" max="24" width="12.5546875" style="20" customWidth="1"/>
    <col min="25" max="25" width="16.88671875" style="20" customWidth="1"/>
    <col min="26" max="26" width="9.5546875" style="20" customWidth="1"/>
    <col min="27" max="27" width="14.109375" style="20" customWidth="1"/>
    <col min="28" max="28" width="9.5546875" style="20" customWidth="1"/>
    <col min="29" max="29" width="14.109375" style="20" customWidth="1"/>
    <col min="30" max="16384" width="9.109375" style="20"/>
  </cols>
  <sheetData>
    <row r="1" spans="1:54" x14ac:dyDescent="0.25">
      <c r="A1" s="547" t="s">
        <v>455</v>
      </c>
      <c r="B1" s="548"/>
      <c r="C1" s="549" t="str">
        <f>Cover!B1</f>
        <v>25-3117</v>
      </c>
      <c r="D1" s="550"/>
      <c r="E1" s="550"/>
      <c r="F1" s="551"/>
      <c r="G1" s="20"/>
      <c r="H1" s="20"/>
      <c r="I1" s="20"/>
    </row>
    <row r="2" spans="1:54" x14ac:dyDescent="0.25">
      <c r="A2" s="552" t="s">
        <v>1024</v>
      </c>
      <c r="B2" s="553"/>
      <c r="C2" s="554"/>
      <c r="D2" s="418"/>
      <c r="E2" s="418"/>
      <c r="F2" s="555"/>
      <c r="G2" s="20"/>
      <c r="H2" s="20"/>
      <c r="I2" s="20"/>
    </row>
    <row r="3" spans="1:54" x14ac:dyDescent="0.25">
      <c r="A3" s="552" t="s">
        <v>466</v>
      </c>
      <c r="B3" s="553"/>
      <c r="C3" s="558">
        <f>Cover!B2</f>
        <v>58</v>
      </c>
      <c r="D3" s="559"/>
      <c r="E3" s="559"/>
      <c r="F3" s="560"/>
      <c r="G3" s="20"/>
      <c r="H3" s="20"/>
      <c r="I3" s="20"/>
    </row>
    <row r="4" spans="1:54" ht="13.35" customHeight="1" x14ac:dyDescent="0.25">
      <c r="A4" s="552" t="s">
        <v>1019</v>
      </c>
      <c r="B4" s="553"/>
      <c r="C4" s="561" t="str">
        <f>Cover!B7</f>
        <v>LOGISTIQUE PRIME FREIGHT INC</v>
      </c>
      <c r="D4" s="562"/>
      <c r="E4" s="562"/>
      <c r="F4" s="563"/>
      <c r="G4" s="20"/>
      <c r="H4" s="20"/>
      <c r="I4" s="20"/>
    </row>
    <row r="5" spans="1:54" x14ac:dyDescent="0.25">
      <c r="A5" s="552" t="s">
        <v>472</v>
      </c>
      <c r="B5" s="553"/>
      <c r="C5" s="554" t="s">
        <v>509</v>
      </c>
      <c r="D5" s="418"/>
      <c r="E5" s="418"/>
      <c r="F5" s="555"/>
      <c r="G5" s="20"/>
      <c r="H5" s="20"/>
      <c r="I5" s="20"/>
    </row>
    <row r="6" spans="1:54" ht="15.75" customHeight="1" x14ac:dyDescent="0.25">
      <c r="A6" s="552" t="s">
        <v>456</v>
      </c>
      <c r="B6" s="553"/>
      <c r="C6" s="554" t="s">
        <v>507</v>
      </c>
      <c r="D6" s="418"/>
      <c r="E6" s="418"/>
      <c r="F6" s="555"/>
      <c r="G6" s="20"/>
      <c r="H6" s="20"/>
      <c r="I6" s="20"/>
    </row>
    <row r="7" spans="1:54" ht="15.75" customHeight="1" x14ac:dyDescent="0.25">
      <c r="A7" s="552" t="s">
        <v>544</v>
      </c>
      <c r="B7" s="553"/>
      <c r="C7" s="554" t="s">
        <v>179</v>
      </c>
      <c r="D7" s="418"/>
      <c r="E7" s="418"/>
      <c r="F7" s="555"/>
      <c r="G7" s="20"/>
      <c r="H7" s="20"/>
      <c r="I7" s="20"/>
    </row>
    <row r="8" spans="1:54" ht="2.25" customHeight="1" thickBot="1" x14ac:dyDescent="0.3">
      <c r="A8" s="556"/>
      <c r="B8" s="557"/>
      <c r="C8" s="564"/>
      <c r="D8" s="565"/>
      <c r="E8" s="565"/>
      <c r="F8" s="566"/>
      <c r="G8" s="20"/>
      <c r="H8" s="20"/>
      <c r="I8" s="20"/>
    </row>
    <row r="9" spans="1:54" x14ac:dyDescent="0.25">
      <c r="A9" s="138">
        <v>43</v>
      </c>
      <c r="B9" s="138" t="s">
        <v>546</v>
      </c>
      <c r="D9" s="139"/>
      <c r="E9" s="139"/>
      <c r="F9" s="140"/>
      <c r="G9" s="20"/>
      <c r="H9" s="20"/>
      <c r="I9" s="20"/>
    </row>
    <row r="10" spans="1:54" ht="13.8" thickBot="1" x14ac:dyDescent="0.3">
      <c r="A10" s="141"/>
      <c r="D10" s="139"/>
      <c r="E10" s="139"/>
      <c r="F10" s="140"/>
      <c r="G10" s="142"/>
      <c r="H10" s="139"/>
      <c r="I10" s="139"/>
      <c r="J10" s="139"/>
    </row>
    <row r="11" spans="1:54" ht="13.8" thickBot="1" x14ac:dyDescent="0.3">
      <c r="A11" s="143" t="s">
        <v>545</v>
      </c>
      <c r="B11" s="144"/>
      <c r="D11" s="139"/>
      <c r="E11" s="139"/>
      <c r="F11" s="140"/>
      <c r="G11" s="142"/>
      <c r="H11" s="139"/>
      <c r="I11" s="139"/>
      <c r="J11" s="139"/>
    </row>
    <row r="12" spans="1:54" s="145" customFormat="1" ht="13.8" thickBot="1" x14ac:dyDescent="0.3">
      <c r="A12" s="567" t="s">
        <v>547</v>
      </c>
      <c r="B12" s="568"/>
      <c r="C12" s="568"/>
      <c r="D12" s="568"/>
      <c r="E12" s="568"/>
      <c r="F12" s="568"/>
      <c r="G12" s="568"/>
      <c r="H12" s="568"/>
      <c r="I12" s="568"/>
      <c r="J12" s="569"/>
    </row>
    <row r="13" spans="1:54" ht="17.25" customHeight="1" x14ac:dyDescent="0.25">
      <c r="A13" s="146" t="s">
        <v>548</v>
      </c>
      <c r="B13" s="539" t="s">
        <v>549</v>
      </c>
      <c r="C13" s="539"/>
      <c r="D13" s="539"/>
      <c r="E13" s="539"/>
      <c r="F13" s="539"/>
      <c r="G13" s="539"/>
      <c r="H13" s="539"/>
      <c r="I13" s="539"/>
      <c r="J13" s="521" t="s">
        <v>553</v>
      </c>
      <c r="K13" s="522"/>
      <c r="L13" s="535" t="s">
        <v>554</v>
      </c>
      <c r="M13" s="536"/>
      <c r="N13" s="138" t="s">
        <v>4</v>
      </c>
    </row>
    <row r="14" spans="1:54" s="335" customFormat="1" x14ac:dyDescent="0.25">
      <c r="A14" s="358" t="s">
        <v>454</v>
      </c>
      <c r="B14" s="661" t="s">
        <v>454</v>
      </c>
      <c r="C14" s="662"/>
      <c r="D14" s="662"/>
      <c r="E14" s="662"/>
      <c r="F14" s="662"/>
      <c r="G14" s="662"/>
      <c r="H14" s="662"/>
      <c r="I14" s="663"/>
      <c r="J14" s="524"/>
      <c r="K14" s="514"/>
      <c r="L14" s="524"/>
      <c r="M14" s="647"/>
      <c r="N14" s="356" t="str">
        <f>IF($A14&gt;0,$A14,"")</f>
        <v>FAK</v>
      </c>
    </row>
    <row r="15" spans="1:54" s="357" customFormat="1" x14ac:dyDescent="0.25">
      <c r="A15" s="358"/>
      <c r="B15" s="534"/>
      <c r="C15" s="534"/>
      <c r="D15" s="534"/>
      <c r="E15" s="534"/>
      <c r="F15" s="534"/>
      <c r="G15" s="534"/>
      <c r="H15" s="534"/>
      <c r="I15" s="534"/>
      <c r="J15" s="524"/>
      <c r="K15" s="514"/>
      <c r="L15" s="524"/>
      <c r="M15" s="530"/>
      <c r="N15" s="356" t="str">
        <f>IF($A15&gt;0,$A15,"")</f>
        <v/>
      </c>
      <c r="BB15" s="335"/>
    </row>
    <row r="16" spans="1:54" s="357" customFormat="1" x14ac:dyDescent="0.25">
      <c r="A16" s="358"/>
      <c r="B16" s="534"/>
      <c r="C16" s="534"/>
      <c r="D16" s="534"/>
      <c r="E16" s="534"/>
      <c r="F16" s="534"/>
      <c r="G16" s="534"/>
      <c r="H16" s="534"/>
      <c r="I16" s="534"/>
      <c r="J16" s="524"/>
      <c r="K16" s="514"/>
      <c r="L16" s="524"/>
      <c r="M16" s="530"/>
      <c r="N16" s="356" t="str">
        <f>IF($A16&gt;0,$A16,"")</f>
        <v/>
      </c>
      <c r="BB16" s="335"/>
    </row>
    <row r="17" spans="1:54" s="357" customFormat="1" ht="13.8" thickBot="1" x14ac:dyDescent="0.3">
      <c r="A17" s="359"/>
      <c r="B17" s="523"/>
      <c r="C17" s="523"/>
      <c r="D17" s="523"/>
      <c r="E17" s="523"/>
      <c r="F17" s="523"/>
      <c r="G17" s="523"/>
      <c r="H17" s="523"/>
      <c r="I17" s="523"/>
      <c r="J17" s="540"/>
      <c r="K17" s="519"/>
      <c r="L17" s="537"/>
      <c r="M17" s="538"/>
      <c r="N17" s="356" t="str">
        <f>IF($A17&gt;0,$A17,"")</f>
        <v/>
      </c>
      <c r="BB17" s="335"/>
    </row>
    <row r="18" spans="1:54" s="151" customFormat="1" ht="13.8" thickBot="1" x14ac:dyDescent="0.3">
      <c r="A18" s="139"/>
      <c r="B18" s="20"/>
      <c r="C18" s="20"/>
      <c r="D18" s="139"/>
      <c r="E18" s="139"/>
      <c r="F18" s="140"/>
      <c r="G18" s="140"/>
      <c r="H18" s="360"/>
      <c r="I18" s="361"/>
      <c r="J18" s="361"/>
      <c r="K18" s="20"/>
      <c r="L18" s="20"/>
      <c r="N18" s="356" t="str">
        <f>IF($A18&gt;0,$A18,"")</f>
        <v/>
      </c>
      <c r="O18" s="149"/>
      <c r="P18" s="149"/>
      <c r="Q18" s="149"/>
      <c r="BB18" s="335"/>
    </row>
    <row r="19" spans="1:54" s="151" customFormat="1" ht="13.8" thickBot="1" x14ac:dyDescent="0.3">
      <c r="A19" s="143" t="s">
        <v>396</v>
      </c>
      <c r="B19" s="152"/>
      <c r="I19" s="150"/>
      <c r="J19" s="150"/>
      <c r="K19" s="149"/>
      <c r="L19" s="149"/>
      <c r="M19" s="149"/>
      <c r="N19" s="149"/>
      <c r="O19" s="149"/>
      <c r="P19" s="149"/>
      <c r="Q19" s="149"/>
    </row>
    <row r="20" spans="1:54" s="151" customFormat="1" x14ac:dyDescent="0.25">
      <c r="A20" s="153" t="s">
        <v>396</v>
      </c>
      <c r="B20" s="512" t="s">
        <v>549</v>
      </c>
      <c r="C20" s="512"/>
      <c r="D20" s="512"/>
      <c r="E20" s="512"/>
      <c r="F20" s="512"/>
      <c r="G20" s="512"/>
      <c r="H20" s="513"/>
      <c r="I20" s="150"/>
      <c r="J20" s="150"/>
      <c r="K20" s="149"/>
      <c r="L20" s="149"/>
      <c r="M20" s="149"/>
      <c r="N20" s="149"/>
      <c r="O20" s="149"/>
      <c r="P20" s="149"/>
      <c r="Q20" s="149"/>
    </row>
    <row r="21" spans="1:54" s="58" customFormat="1" ht="15.75" customHeight="1" x14ac:dyDescent="0.25">
      <c r="A21" s="398" t="s">
        <v>1114</v>
      </c>
      <c r="B21" s="661" t="s">
        <v>1691</v>
      </c>
      <c r="C21" s="662"/>
      <c r="D21" s="662"/>
      <c r="E21" s="662"/>
      <c r="F21" s="662"/>
      <c r="G21" s="662"/>
      <c r="H21" s="664"/>
      <c r="I21" s="392"/>
      <c r="J21" s="56"/>
      <c r="K21" s="57"/>
      <c r="L21" s="57"/>
      <c r="M21" s="57"/>
      <c r="N21" s="57"/>
      <c r="O21" s="57"/>
      <c r="P21" s="57"/>
      <c r="Q21" s="57"/>
    </row>
    <row r="22" spans="1:54" s="58" customFormat="1" x14ac:dyDescent="0.25">
      <c r="A22" s="702"/>
      <c r="B22" s="659"/>
      <c r="C22" s="659"/>
      <c r="D22" s="659"/>
      <c r="E22" s="659"/>
      <c r="F22" s="659"/>
      <c r="G22" s="659"/>
      <c r="H22" s="660"/>
      <c r="I22" s="56"/>
      <c r="J22" s="56"/>
      <c r="K22" s="57"/>
      <c r="L22" s="57"/>
      <c r="M22" s="57"/>
      <c r="N22" s="57"/>
      <c r="O22" s="57"/>
      <c r="P22" s="57"/>
      <c r="Q22" s="57"/>
    </row>
    <row r="23" spans="1:54" s="58" customFormat="1" x14ac:dyDescent="0.25">
      <c r="A23" s="702"/>
      <c r="B23" s="700"/>
      <c r="C23" s="514"/>
      <c r="D23" s="514"/>
      <c r="E23" s="514"/>
      <c r="F23" s="514"/>
      <c r="G23" s="514"/>
      <c r="H23" s="515"/>
      <c r="I23" s="56"/>
      <c r="J23" s="56"/>
      <c r="K23" s="57"/>
      <c r="L23" s="57"/>
      <c r="M23" s="57"/>
      <c r="N23" s="57"/>
      <c r="O23" s="57"/>
      <c r="P23" s="57"/>
      <c r="Q23" s="57"/>
    </row>
    <row r="24" spans="1:54" s="58" customFormat="1" ht="13.8" thickBot="1" x14ac:dyDescent="0.3">
      <c r="A24" s="709"/>
      <c r="B24" s="710"/>
      <c r="C24" s="519"/>
      <c r="D24" s="519"/>
      <c r="E24" s="519"/>
      <c r="F24" s="519"/>
      <c r="G24" s="519"/>
      <c r="H24" s="520"/>
      <c r="I24" s="56"/>
      <c r="J24" s="56"/>
      <c r="K24" s="57"/>
      <c r="L24" s="57"/>
      <c r="M24" s="57"/>
      <c r="N24" s="57"/>
      <c r="O24" s="57"/>
      <c r="P24" s="57"/>
      <c r="Q24" s="57"/>
    </row>
    <row r="25" spans="1:54" s="151" customFormat="1" ht="13.8" thickBot="1" x14ac:dyDescent="0.3">
      <c r="A25" s="20"/>
      <c r="B25" s="154"/>
      <c r="C25" s="154"/>
      <c r="D25" s="154"/>
      <c r="E25" s="154"/>
      <c r="F25" s="154"/>
      <c r="G25" s="154"/>
      <c r="H25" s="154"/>
      <c r="I25" s="150"/>
      <c r="J25" s="150"/>
      <c r="K25" s="149"/>
      <c r="L25" s="149"/>
      <c r="M25" s="149"/>
      <c r="N25" s="149"/>
      <c r="O25" s="149"/>
      <c r="P25" s="149"/>
      <c r="Q25" s="149"/>
      <c r="R25" s="149"/>
      <c r="S25" s="149"/>
      <c r="T25" s="149"/>
      <c r="U25" s="149"/>
    </row>
    <row r="26" spans="1:54" s="151" customFormat="1" ht="13.8" thickBot="1" x14ac:dyDescent="0.3">
      <c r="A26" s="143" t="s">
        <v>555</v>
      </c>
      <c r="B26" s="144"/>
      <c r="I26" s="150"/>
      <c r="J26" s="150"/>
      <c r="K26" s="149"/>
      <c r="L26" s="149"/>
      <c r="M26" s="149"/>
      <c r="N26" s="149"/>
      <c r="O26" s="149"/>
      <c r="P26" s="149"/>
      <c r="Q26" s="149"/>
      <c r="R26" s="149"/>
      <c r="S26" s="149"/>
      <c r="T26" s="149"/>
      <c r="U26" s="149"/>
    </row>
    <row r="27" spans="1:54" s="151" customFormat="1" x14ac:dyDescent="0.25">
      <c r="A27" s="155" t="s">
        <v>1647</v>
      </c>
      <c r="B27" s="156"/>
      <c r="C27" s="157"/>
      <c r="D27" s="158"/>
      <c r="E27" s="158"/>
      <c r="F27" s="159"/>
      <c r="G27" s="159"/>
      <c r="H27" s="159"/>
      <c r="I27" s="160"/>
      <c r="J27" s="161"/>
      <c r="K27" s="162"/>
      <c r="L27" s="149"/>
      <c r="M27" s="149"/>
      <c r="N27" s="149"/>
      <c r="O27" s="149"/>
      <c r="P27" s="149"/>
      <c r="Q27" s="149"/>
      <c r="R27" s="149"/>
      <c r="S27" s="149"/>
      <c r="T27" s="149"/>
      <c r="U27" s="149"/>
      <c r="V27" s="149"/>
    </row>
    <row r="28" spans="1:54" s="151" customFormat="1" x14ac:dyDescent="0.25">
      <c r="A28" s="163" t="s">
        <v>557</v>
      </c>
      <c r="B28" s="133"/>
      <c r="C28" s="164"/>
      <c r="D28" s="165"/>
      <c r="E28" s="165"/>
      <c r="F28" s="166"/>
      <c r="G28" s="166"/>
      <c r="H28" s="166"/>
      <c r="I28" s="167"/>
      <c r="J28" s="168"/>
      <c r="K28" s="169"/>
      <c r="L28" s="149"/>
      <c r="M28" s="149"/>
      <c r="N28" s="149"/>
      <c r="O28" s="149"/>
      <c r="P28" s="149"/>
      <c r="Q28" s="149"/>
      <c r="R28" s="149"/>
    </row>
    <row r="29" spans="1:54" s="151" customFormat="1" ht="13.8" thickBot="1" x14ac:dyDescent="0.3">
      <c r="A29" s="137" t="s">
        <v>164</v>
      </c>
      <c r="B29" s="170"/>
      <c r="C29" s="171"/>
      <c r="D29" s="172"/>
      <c r="E29" s="172"/>
      <c r="F29" s="173"/>
      <c r="G29" s="173"/>
      <c r="H29" s="173"/>
      <c r="I29" s="174"/>
      <c r="J29" s="175"/>
      <c r="K29" s="176"/>
      <c r="L29" s="149"/>
      <c r="M29" s="149"/>
      <c r="N29" s="149"/>
      <c r="O29" s="149"/>
      <c r="P29" s="149"/>
      <c r="Q29" s="149"/>
      <c r="R29" s="149"/>
      <c r="S29" s="177"/>
      <c r="T29" s="177"/>
      <c r="U29" s="177"/>
      <c r="V29" s="149"/>
      <c r="W29" s="149"/>
      <c r="X29" s="149"/>
    </row>
    <row r="30" spans="1:54" s="181" customFormat="1" ht="32.25" customHeight="1" x14ac:dyDescent="0.25">
      <c r="A30" s="509" t="s">
        <v>558</v>
      </c>
      <c r="B30" s="499" t="s">
        <v>559</v>
      </c>
      <c r="C30" s="499" t="s">
        <v>11</v>
      </c>
      <c r="D30" s="499" t="s">
        <v>12</v>
      </c>
      <c r="E30" s="499" t="s">
        <v>13</v>
      </c>
      <c r="F30" s="499" t="s">
        <v>14</v>
      </c>
      <c r="G30" s="499" t="s">
        <v>15</v>
      </c>
      <c r="H30" s="499" t="s">
        <v>16</v>
      </c>
      <c r="I30" s="499" t="s">
        <v>17</v>
      </c>
      <c r="J30" s="499" t="s">
        <v>18</v>
      </c>
      <c r="K30" s="499" t="s">
        <v>19</v>
      </c>
      <c r="L30" s="499" t="s">
        <v>20</v>
      </c>
      <c r="M30" s="179" t="s">
        <v>87</v>
      </c>
      <c r="N30" s="179"/>
      <c r="O30" s="179"/>
      <c r="P30" s="179"/>
      <c r="Q30" s="179"/>
      <c r="R30" s="179"/>
      <c r="S30" s="179"/>
      <c r="T30" s="179"/>
      <c r="U30" s="179"/>
      <c r="V30" s="179"/>
      <c r="W30" s="179"/>
      <c r="X30" s="499" t="s">
        <v>22</v>
      </c>
      <c r="Y30" s="499" t="s">
        <v>23</v>
      </c>
      <c r="Z30" s="499" t="s">
        <v>24</v>
      </c>
      <c r="AA30" s="497" t="s">
        <v>330</v>
      </c>
    </row>
    <row r="31" spans="1:54" s="181" customFormat="1" ht="13.8" thickBot="1" x14ac:dyDescent="0.3">
      <c r="A31" s="510"/>
      <c r="B31" s="504"/>
      <c r="C31" s="504"/>
      <c r="D31" s="504"/>
      <c r="E31" s="504"/>
      <c r="F31" s="504"/>
      <c r="G31" s="500"/>
      <c r="H31" s="504"/>
      <c r="I31" s="504"/>
      <c r="J31" s="504"/>
      <c r="K31" s="504"/>
      <c r="L31" s="504"/>
      <c r="M31" s="184" t="s">
        <v>82</v>
      </c>
      <c r="N31" s="184"/>
      <c r="O31" s="184"/>
      <c r="P31" s="184"/>
      <c r="Q31" s="184"/>
      <c r="R31" s="184"/>
      <c r="S31" s="184"/>
      <c r="T31" s="184"/>
      <c r="U31" s="184"/>
      <c r="V31" s="184"/>
      <c r="W31" s="184"/>
      <c r="X31" s="504"/>
      <c r="Y31" s="504"/>
      <c r="Z31" s="504"/>
      <c r="AA31" s="498"/>
    </row>
    <row r="32" spans="1:54" s="725" customFormat="1" x14ac:dyDescent="0.25">
      <c r="A32" s="718" t="s">
        <v>454</v>
      </c>
      <c r="B32" s="719"/>
      <c r="C32" s="720" t="s">
        <v>1692</v>
      </c>
      <c r="D32" s="720" t="s">
        <v>1114</v>
      </c>
      <c r="E32" s="720"/>
      <c r="F32" s="721" t="s">
        <v>51</v>
      </c>
      <c r="G32" s="720" t="s">
        <v>47</v>
      </c>
      <c r="H32" s="721" t="s">
        <v>1366</v>
      </c>
      <c r="I32" s="722">
        <v>1600</v>
      </c>
      <c r="J32" s="722">
        <v>2000</v>
      </c>
      <c r="K32" s="722">
        <v>2000</v>
      </c>
      <c r="L32" s="722">
        <v>2530</v>
      </c>
      <c r="M32" s="720"/>
      <c r="N32" s="720"/>
      <c r="O32" s="720"/>
      <c r="P32" s="720"/>
      <c r="Q32" s="720"/>
      <c r="R32" s="720"/>
      <c r="S32" s="720"/>
      <c r="T32" s="720"/>
      <c r="U32" s="720"/>
      <c r="V32" s="720"/>
      <c r="W32" s="720"/>
      <c r="X32" s="723"/>
      <c r="Y32" s="723"/>
      <c r="Z32" s="720" t="s">
        <v>1367</v>
      </c>
      <c r="AA32" s="724" t="s">
        <v>304</v>
      </c>
    </row>
    <row r="33" spans="1:27" s="725" customFormat="1" x14ac:dyDescent="0.25">
      <c r="A33" s="718" t="s">
        <v>454</v>
      </c>
      <c r="B33" s="719"/>
      <c r="C33" s="720" t="s">
        <v>1693</v>
      </c>
      <c r="D33" s="720" t="s">
        <v>1114</v>
      </c>
      <c r="E33" s="720"/>
      <c r="F33" s="721" t="s">
        <v>51</v>
      </c>
      <c r="G33" s="720" t="s">
        <v>47</v>
      </c>
      <c r="H33" s="721" t="s">
        <v>1366</v>
      </c>
      <c r="I33" s="722">
        <v>1520</v>
      </c>
      <c r="J33" s="722">
        <v>1900</v>
      </c>
      <c r="K33" s="722">
        <v>1900</v>
      </c>
      <c r="L33" s="722">
        <v>2405</v>
      </c>
      <c r="M33" s="720"/>
      <c r="N33" s="720"/>
      <c r="O33" s="720"/>
      <c r="P33" s="720"/>
      <c r="Q33" s="720"/>
      <c r="R33" s="720"/>
      <c r="S33" s="720"/>
      <c r="T33" s="720"/>
      <c r="U33" s="720"/>
      <c r="V33" s="720"/>
      <c r="W33" s="720"/>
      <c r="X33" s="723"/>
      <c r="Y33" s="723"/>
      <c r="Z33" s="720" t="s">
        <v>1367</v>
      </c>
      <c r="AA33" s="724" t="s">
        <v>304</v>
      </c>
    </row>
    <row r="34" spans="1:27" s="725" customFormat="1" x14ac:dyDescent="0.25">
      <c r="A34" s="718" t="s">
        <v>454</v>
      </c>
      <c r="B34" s="719"/>
      <c r="C34" s="720" t="s">
        <v>1684</v>
      </c>
      <c r="D34" s="720" t="s">
        <v>1114</v>
      </c>
      <c r="E34" s="720"/>
      <c r="F34" s="721" t="s">
        <v>51</v>
      </c>
      <c r="G34" s="720" t="s">
        <v>47</v>
      </c>
      <c r="H34" s="721" t="s">
        <v>1366</v>
      </c>
      <c r="I34" s="722">
        <v>1760</v>
      </c>
      <c r="J34" s="722">
        <v>2200</v>
      </c>
      <c r="K34" s="722">
        <v>2200</v>
      </c>
      <c r="L34" s="722">
        <v>2785</v>
      </c>
      <c r="M34" s="720" t="s">
        <v>52</v>
      </c>
      <c r="N34" s="720"/>
      <c r="O34" s="720"/>
      <c r="P34" s="720"/>
      <c r="Q34" s="720"/>
      <c r="R34" s="720"/>
      <c r="S34" s="720"/>
      <c r="T34" s="720"/>
      <c r="U34" s="720"/>
      <c r="V34" s="720"/>
      <c r="W34" s="720"/>
      <c r="X34" s="723"/>
      <c r="Y34" s="723"/>
      <c r="Z34" s="720" t="s">
        <v>1367</v>
      </c>
      <c r="AA34" s="724" t="s">
        <v>304</v>
      </c>
    </row>
    <row r="35" spans="1:27" s="725" customFormat="1" x14ac:dyDescent="0.25">
      <c r="A35" s="718" t="s">
        <v>454</v>
      </c>
      <c r="B35" s="719"/>
      <c r="C35" s="720" t="s">
        <v>1694</v>
      </c>
      <c r="D35" s="720" t="s">
        <v>1114</v>
      </c>
      <c r="E35" s="720"/>
      <c r="F35" s="721" t="s">
        <v>51</v>
      </c>
      <c r="G35" s="720" t="s">
        <v>47</v>
      </c>
      <c r="H35" s="721" t="s">
        <v>1366</v>
      </c>
      <c r="I35" s="722">
        <v>1730</v>
      </c>
      <c r="J35" s="722">
        <v>2160</v>
      </c>
      <c r="K35" s="722">
        <v>2160</v>
      </c>
      <c r="L35" s="722">
        <v>2735</v>
      </c>
      <c r="M35" s="720"/>
      <c r="N35" s="720"/>
      <c r="O35" s="720"/>
      <c r="P35" s="720"/>
      <c r="Q35" s="720"/>
      <c r="R35" s="720"/>
      <c r="S35" s="720"/>
      <c r="T35" s="720"/>
      <c r="U35" s="720"/>
      <c r="V35" s="720"/>
      <c r="W35" s="720"/>
      <c r="X35" s="723"/>
      <c r="Y35" s="723"/>
      <c r="Z35" s="720" t="s">
        <v>1367</v>
      </c>
      <c r="AA35" s="724" t="s">
        <v>304</v>
      </c>
    </row>
    <row r="36" spans="1:27" s="725" customFormat="1" x14ac:dyDescent="0.25">
      <c r="A36" s="718" t="s">
        <v>454</v>
      </c>
      <c r="B36" s="719"/>
      <c r="C36" s="720" t="s">
        <v>1695</v>
      </c>
      <c r="D36" s="720" t="s">
        <v>1114</v>
      </c>
      <c r="E36" s="720"/>
      <c r="F36" s="721" t="s">
        <v>51</v>
      </c>
      <c r="G36" s="720" t="s">
        <v>47</v>
      </c>
      <c r="H36" s="721" t="s">
        <v>1366</v>
      </c>
      <c r="I36" s="722">
        <v>1680</v>
      </c>
      <c r="J36" s="722">
        <v>2100</v>
      </c>
      <c r="K36" s="722">
        <v>2100</v>
      </c>
      <c r="L36" s="722">
        <v>2660</v>
      </c>
      <c r="M36" s="720"/>
      <c r="N36" s="720"/>
      <c r="O36" s="720"/>
      <c r="P36" s="720"/>
      <c r="Q36" s="720"/>
      <c r="R36" s="720"/>
      <c r="S36" s="720"/>
      <c r="T36" s="720"/>
      <c r="U36" s="720"/>
      <c r="V36" s="720"/>
      <c r="W36" s="720"/>
      <c r="X36" s="723"/>
      <c r="Y36" s="723"/>
      <c r="Z36" s="720" t="s">
        <v>1367</v>
      </c>
      <c r="AA36" s="724" t="s">
        <v>304</v>
      </c>
    </row>
    <row r="37" spans="1:27" s="725" customFormat="1" x14ac:dyDescent="0.25">
      <c r="A37" s="718" t="s">
        <v>454</v>
      </c>
      <c r="B37" s="719" t="s">
        <v>1687</v>
      </c>
      <c r="C37" s="720" t="s">
        <v>1684</v>
      </c>
      <c r="D37" s="720" t="s">
        <v>1114</v>
      </c>
      <c r="E37" s="720"/>
      <c r="F37" s="721" t="s">
        <v>319</v>
      </c>
      <c r="G37" s="720" t="s">
        <v>47</v>
      </c>
      <c r="H37" s="721" t="s">
        <v>1366</v>
      </c>
      <c r="I37" s="722">
        <v>2000</v>
      </c>
      <c r="J37" s="722">
        <v>2500</v>
      </c>
      <c r="K37" s="722">
        <v>2500</v>
      </c>
      <c r="L37" s="722">
        <v>3165</v>
      </c>
      <c r="M37" s="720" t="s">
        <v>52</v>
      </c>
      <c r="N37" s="720"/>
      <c r="O37" s="720"/>
      <c r="P37" s="720"/>
      <c r="Q37" s="720"/>
      <c r="R37" s="720"/>
      <c r="S37" s="720"/>
      <c r="T37" s="720"/>
      <c r="U37" s="720"/>
      <c r="V37" s="720"/>
      <c r="W37" s="720"/>
      <c r="X37" s="723"/>
      <c r="Y37" s="723"/>
      <c r="Z37" s="720" t="s">
        <v>1367</v>
      </c>
      <c r="AA37" s="724" t="s">
        <v>304</v>
      </c>
    </row>
    <row r="38" spans="1:27" s="725" customFormat="1" x14ac:dyDescent="0.25">
      <c r="A38" s="718" t="s">
        <v>454</v>
      </c>
      <c r="B38" s="719"/>
      <c r="C38" s="720" t="s">
        <v>1696</v>
      </c>
      <c r="D38" s="720" t="s">
        <v>1114</v>
      </c>
      <c r="E38" s="720"/>
      <c r="F38" s="721" t="s">
        <v>51</v>
      </c>
      <c r="G38" s="720" t="s">
        <v>47</v>
      </c>
      <c r="H38" s="721" t="s">
        <v>1366</v>
      </c>
      <c r="I38" s="722">
        <v>1680</v>
      </c>
      <c r="J38" s="722">
        <v>2100</v>
      </c>
      <c r="K38" s="722">
        <v>2100</v>
      </c>
      <c r="L38" s="722">
        <v>2660</v>
      </c>
      <c r="M38" s="720"/>
      <c r="N38" s="720"/>
      <c r="O38" s="720"/>
      <c r="P38" s="720"/>
      <c r="Q38" s="720"/>
      <c r="R38" s="720"/>
      <c r="S38" s="720"/>
      <c r="T38" s="720"/>
      <c r="U38" s="720"/>
      <c r="V38" s="720"/>
      <c r="W38" s="720"/>
      <c r="X38" s="723"/>
      <c r="Y38" s="723"/>
      <c r="Z38" s="720" t="s">
        <v>1367</v>
      </c>
      <c r="AA38" s="724" t="s">
        <v>304</v>
      </c>
    </row>
    <row r="39" spans="1:27" s="725" customFormat="1" x14ac:dyDescent="0.25">
      <c r="A39" s="718" t="s">
        <v>454</v>
      </c>
      <c r="B39" s="719"/>
      <c r="C39" s="720" t="s">
        <v>1697</v>
      </c>
      <c r="D39" s="720" t="s">
        <v>1114</v>
      </c>
      <c r="E39" s="720"/>
      <c r="F39" s="721" t="s">
        <v>51</v>
      </c>
      <c r="G39" s="720" t="s">
        <v>47</v>
      </c>
      <c r="H39" s="721" t="s">
        <v>1366</v>
      </c>
      <c r="I39" s="722">
        <v>1520</v>
      </c>
      <c r="J39" s="722">
        <v>1900</v>
      </c>
      <c r="K39" s="722">
        <v>1900</v>
      </c>
      <c r="L39" s="722">
        <v>2405</v>
      </c>
      <c r="M39" s="720"/>
      <c r="N39" s="720"/>
      <c r="O39" s="720"/>
      <c r="P39" s="720"/>
      <c r="Q39" s="720"/>
      <c r="R39" s="720"/>
      <c r="S39" s="720"/>
      <c r="T39" s="720"/>
      <c r="U39" s="720"/>
      <c r="V39" s="720"/>
      <c r="W39" s="720"/>
      <c r="X39" s="723"/>
      <c r="Y39" s="723"/>
      <c r="Z39" s="720" t="s">
        <v>1367</v>
      </c>
      <c r="AA39" s="724" t="s">
        <v>304</v>
      </c>
    </row>
    <row r="40" spans="1:27" s="725" customFormat="1" x14ac:dyDescent="0.25">
      <c r="A40" s="718" t="s">
        <v>454</v>
      </c>
      <c r="B40" s="719"/>
      <c r="C40" s="720" t="s">
        <v>1698</v>
      </c>
      <c r="D40" s="720" t="s">
        <v>1114</v>
      </c>
      <c r="E40" s="720"/>
      <c r="F40" s="721" t="s">
        <v>51</v>
      </c>
      <c r="G40" s="720" t="s">
        <v>47</v>
      </c>
      <c r="H40" s="721" t="s">
        <v>1366</v>
      </c>
      <c r="I40" s="722">
        <v>1520</v>
      </c>
      <c r="J40" s="722">
        <v>1900</v>
      </c>
      <c r="K40" s="722">
        <v>1900</v>
      </c>
      <c r="L40" s="722">
        <v>2405</v>
      </c>
      <c r="M40" s="720"/>
      <c r="N40" s="720"/>
      <c r="O40" s="720"/>
      <c r="P40" s="720"/>
      <c r="Q40" s="720"/>
      <c r="R40" s="720"/>
      <c r="S40" s="720"/>
      <c r="T40" s="720"/>
      <c r="U40" s="720"/>
      <c r="V40" s="720"/>
      <c r="W40" s="720"/>
      <c r="X40" s="723"/>
      <c r="Y40" s="723"/>
      <c r="Z40" s="720" t="s">
        <v>1367</v>
      </c>
      <c r="AA40" s="724" t="s">
        <v>304</v>
      </c>
    </row>
    <row r="41" spans="1:27" s="725" customFormat="1" x14ac:dyDescent="0.25">
      <c r="A41" s="718" t="s">
        <v>454</v>
      </c>
      <c r="B41" s="719"/>
      <c r="C41" s="720" t="s">
        <v>1699</v>
      </c>
      <c r="D41" s="720" t="s">
        <v>1114</v>
      </c>
      <c r="E41" s="720"/>
      <c r="F41" s="721" t="s">
        <v>51</v>
      </c>
      <c r="G41" s="720" t="s">
        <v>47</v>
      </c>
      <c r="H41" s="721" t="s">
        <v>1366</v>
      </c>
      <c r="I41" s="722">
        <v>1680</v>
      </c>
      <c r="J41" s="722">
        <v>2100</v>
      </c>
      <c r="K41" s="722">
        <v>2100</v>
      </c>
      <c r="L41" s="722">
        <v>2660</v>
      </c>
      <c r="M41" s="720"/>
      <c r="N41" s="720"/>
      <c r="O41" s="720"/>
      <c r="P41" s="720"/>
      <c r="Q41" s="720"/>
      <c r="R41" s="720"/>
      <c r="S41" s="720"/>
      <c r="T41" s="720"/>
      <c r="U41" s="720"/>
      <c r="V41" s="720"/>
      <c r="W41" s="720"/>
      <c r="X41" s="723"/>
      <c r="Y41" s="723"/>
      <c r="Z41" s="720" t="s">
        <v>1367</v>
      </c>
      <c r="AA41" s="724" t="s">
        <v>304</v>
      </c>
    </row>
    <row r="42" spans="1:27" s="725" customFormat="1" x14ac:dyDescent="0.25">
      <c r="A42" s="718" t="s">
        <v>454</v>
      </c>
      <c r="B42" s="719"/>
      <c r="C42" s="720" t="s">
        <v>1700</v>
      </c>
      <c r="D42" s="720" t="s">
        <v>1114</v>
      </c>
      <c r="E42" s="720"/>
      <c r="F42" s="721" t="s">
        <v>51</v>
      </c>
      <c r="G42" s="720" t="s">
        <v>47</v>
      </c>
      <c r="H42" s="721" t="s">
        <v>1366</v>
      </c>
      <c r="I42" s="722">
        <v>1600</v>
      </c>
      <c r="J42" s="722">
        <v>2000</v>
      </c>
      <c r="K42" s="722">
        <v>2000</v>
      </c>
      <c r="L42" s="722">
        <v>2530</v>
      </c>
      <c r="M42" s="720"/>
      <c r="N42" s="720"/>
      <c r="O42" s="720"/>
      <c r="P42" s="720"/>
      <c r="Q42" s="720"/>
      <c r="R42" s="720"/>
      <c r="S42" s="720"/>
      <c r="T42" s="720"/>
      <c r="U42" s="720"/>
      <c r="V42" s="720"/>
      <c r="W42" s="720"/>
      <c r="X42" s="723"/>
      <c r="Y42" s="723"/>
      <c r="Z42" s="720" t="s">
        <v>1367</v>
      </c>
      <c r="AA42" s="724" t="s">
        <v>304</v>
      </c>
    </row>
    <row r="43" spans="1:27" s="725" customFormat="1" x14ac:dyDescent="0.25">
      <c r="A43" s="718" t="s">
        <v>454</v>
      </c>
      <c r="B43" s="719"/>
      <c r="C43" s="720" t="s">
        <v>1701</v>
      </c>
      <c r="D43" s="720" t="s">
        <v>1114</v>
      </c>
      <c r="E43" s="720"/>
      <c r="F43" s="721" t="s">
        <v>51</v>
      </c>
      <c r="G43" s="720" t="s">
        <v>47</v>
      </c>
      <c r="H43" s="721" t="s">
        <v>1366</v>
      </c>
      <c r="I43" s="722">
        <v>1520</v>
      </c>
      <c r="J43" s="722">
        <v>1900</v>
      </c>
      <c r="K43" s="722">
        <v>1900</v>
      </c>
      <c r="L43" s="722">
        <v>2405</v>
      </c>
      <c r="M43" s="720"/>
      <c r="N43" s="720"/>
      <c r="O43" s="720"/>
      <c r="P43" s="720"/>
      <c r="Q43" s="720"/>
      <c r="R43" s="720"/>
      <c r="S43" s="720"/>
      <c r="T43" s="720"/>
      <c r="U43" s="720"/>
      <c r="V43" s="720"/>
      <c r="W43" s="720"/>
      <c r="X43" s="723"/>
      <c r="Y43" s="723"/>
      <c r="Z43" s="720" t="s">
        <v>1367</v>
      </c>
      <c r="AA43" s="724" t="s">
        <v>304</v>
      </c>
    </row>
    <row r="44" spans="1:27" s="725" customFormat="1" x14ac:dyDescent="0.25">
      <c r="A44" s="718" t="s">
        <v>454</v>
      </c>
      <c r="B44" s="719"/>
      <c r="C44" s="720" t="s">
        <v>1702</v>
      </c>
      <c r="D44" s="720" t="s">
        <v>1114</v>
      </c>
      <c r="E44" s="720"/>
      <c r="F44" s="721" t="s">
        <v>51</v>
      </c>
      <c r="G44" s="720" t="s">
        <v>47</v>
      </c>
      <c r="H44" s="721" t="s">
        <v>1366</v>
      </c>
      <c r="I44" s="722">
        <v>1520</v>
      </c>
      <c r="J44" s="722">
        <v>1900</v>
      </c>
      <c r="K44" s="722">
        <v>1900</v>
      </c>
      <c r="L44" s="722">
        <v>2405</v>
      </c>
      <c r="M44" s="720"/>
      <c r="N44" s="720"/>
      <c r="O44" s="720"/>
      <c r="P44" s="720"/>
      <c r="Q44" s="720"/>
      <c r="R44" s="720"/>
      <c r="S44" s="720"/>
      <c r="T44" s="720"/>
      <c r="U44" s="720"/>
      <c r="V44" s="720"/>
      <c r="W44" s="720"/>
      <c r="X44" s="723"/>
      <c r="Y44" s="723"/>
      <c r="Z44" s="720" t="s">
        <v>1367</v>
      </c>
      <c r="AA44" s="724" t="s">
        <v>304</v>
      </c>
    </row>
    <row r="45" spans="1:27" s="725" customFormat="1" x14ac:dyDescent="0.25">
      <c r="A45" s="718" t="s">
        <v>454</v>
      </c>
      <c r="B45" s="719"/>
      <c r="C45" s="720" t="s">
        <v>1703</v>
      </c>
      <c r="D45" s="720" t="s">
        <v>1114</v>
      </c>
      <c r="E45" s="720"/>
      <c r="F45" s="721" t="s">
        <v>51</v>
      </c>
      <c r="G45" s="720" t="s">
        <v>47</v>
      </c>
      <c r="H45" s="721" t="s">
        <v>1366</v>
      </c>
      <c r="I45" s="722">
        <v>1520</v>
      </c>
      <c r="J45" s="722">
        <v>1900</v>
      </c>
      <c r="K45" s="722">
        <v>1900</v>
      </c>
      <c r="L45" s="722">
        <v>2405</v>
      </c>
      <c r="M45" s="720"/>
      <c r="N45" s="720"/>
      <c r="O45" s="720"/>
      <c r="P45" s="720"/>
      <c r="Q45" s="720"/>
      <c r="R45" s="720"/>
      <c r="S45" s="720"/>
      <c r="T45" s="720"/>
      <c r="U45" s="720"/>
      <c r="V45" s="720"/>
      <c r="W45" s="720"/>
      <c r="X45" s="723"/>
      <c r="Y45" s="723"/>
      <c r="Z45" s="720" t="s">
        <v>1367</v>
      </c>
      <c r="AA45" s="724" t="s">
        <v>304</v>
      </c>
    </row>
    <row r="46" spans="1:27" s="725" customFormat="1" x14ac:dyDescent="0.25">
      <c r="A46" s="718" t="s">
        <v>454</v>
      </c>
      <c r="B46" s="719"/>
      <c r="C46" s="720" t="s">
        <v>1704</v>
      </c>
      <c r="D46" s="720" t="s">
        <v>1114</v>
      </c>
      <c r="E46" s="720"/>
      <c r="F46" s="721" t="s">
        <v>51</v>
      </c>
      <c r="G46" s="720" t="s">
        <v>47</v>
      </c>
      <c r="H46" s="721" t="s">
        <v>1366</v>
      </c>
      <c r="I46" s="722">
        <v>1520</v>
      </c>
      <c r="J46" s="722">
        <v>1900</v>
      </c>
      <c r="K46" s="722">
        <v>1900</v>
      </c>
      <c r="L46" s="722">
        <v>2405</v>
      </c>
      <c r="M46" s="720"/>
      <c r="N46" s="720"/>
      <c r="O46" s="720"/>
      <c r="P46" s="720"/>
      <c r="Q46" s="720"/>
      <c r="R46" s="720"/>
      <c r="S46" s="720"/>
      <c r="T46" s="720"/>
      <c r="U46" s="720"/>
      <c r="V46" s="720"/>
      <c r="W46" s="720"/>
      <c r="X46" s="723"/>
      <c r="Y46" s="723"/>
      <c r="Z46" s="720" t="s">
        <v>1367</v>
      </c>
      <c r="AA46" s="724" t="s">
        <v>304</v>
      </c>
    </row>
    <row r="47" spans="1:27" s="725" customFormat="1" x14ac:dyDescent="0.25">
      <c r="A47" s="718" t="s">
        <v>454</v>
      </c>
      <c r="B47" s="719"/>
      <c r="C47" s="720" t="s">
        <v>1705</v>
      </c>
      <c r="D47" s="720" t="s">
        <v>1114</v>
      </c>
      <c r="E47" s="720"/>
      <c r="F47" s="721" t="s">
        <v>51</v>
      </c>
      <c r="G47" s="720" t="s">
        <v>47</v>
      </c>
      <c r="H47" s="721" t="s">
        <v>1366</v>
      </c>
      <c r="I47" s="722">
        <v>1520</v>
      </c>
      <c r="J47" s="722">
        <v>1900</v>
      </c>
      <c r="K47" s="722">
        <v>1900</v>
      </c>
      <c r="L47" s="722">
        <v>2405</v>
      </c>
      <c r="M47" s="720"/>
      <c r="N47" s="720"/>
      <c r="O47" s="720"/>
      <c r="P47" s="720"/>
      <c r="Q47" s="720"/>
      <c r="R47" s="720"/>
      <c r="S47" s="720"/>
      <c r="T47" s="720"/>
      <c r="U47" s="720"/>
      <c r="V47" s="720"/>
      <c r="W47" s="720"/>
      <c r="X47" s="723"/>
      <c r="Y47" s="723"/>
      <c r="Z47" s="720" t="s">
        <v>1367</v>
      </c>
      <c r="AA47" s="724" t="s">
        <v>304</v>
      </c>
    </row>
    <row r="48" spans="1:27" s="725" customFormat="1" x14ac:dyDescent="0.25">
      <c r="A48" s="718" t="s">
        <v>454</v>
      </c>
      <c r="B48" s="719"/>
      <c r="C48" s="720" t="s">
        <v>1692</v>
      </c>
      <c r="D48" s="720" t="s">
        <v>1368</v>
      </c>
      <c r="E48" s="720"/>
      <c r="F48" s="721" t="s">
        <v>51</v>
      </c>
      <c r="G48" s="720" t="s">
        <v>47</v>
      </c>
      <c r="H48" s="721" t="s">
        <v>1366</v>
      </c>
      <c r="I48" s="722">
        <v>1600</v>
      </c>
      <c r="J48" s="722">
        <v>2000</v>
      </c>
      <c r="K48" s="722">
        <v>2000</v>
      </c>
      <c r="L48" s="722">
        <v>2530</v>
      </c>
      <c r="M48" s="720"/>
      <c r="N48" s="720"/>
      <c r="O48" s="720"/>
      <c r="P48" s="720"/>
      <c r="Q48" s="720"/>
      <c r="R48" s="720"/>
      <c r="S48" s="720"/>
      <c r="T48" s="720"/>
      <c r="U48" s="720"/>
      <c r="V48" s="720"/>
      <c r="W48" s="720"/>
      <c r="X48" s="723"/>
      <c r="Y48" s="723"/>
      <c r="Z48" s="720" t="s">
        <v>1367</v>
      </c>
      <c r="AA48" s="724" t="s">
        <v>304</v>
      </c>
    </row>
    <row r="49" spans="1:27" s="725" customFormat="1" x14ac:dyDescent="0.25">
      <c r="A49" s="718" t="s">
        <v>454</v>
      </c>
      <c r="B49" s="719"/>
      <c r="C49" s="720" t="s">
        <v>1693</v>
      </c>
      <c r="D49" s="720" t="s">
        <v>1368</v>
      </c>
      <c r="E49" s="720"/>
      <c r="F49" s="721" t="s">
        <v>51</v>
      </c>
      <c r="G49" s="720" t="s">
        <v>47</v>
      </c>
      <c r="H49" s="721" t="s">
        <v>1366</v>
      </c>
      <c r="I49" s="722">
        <v>1520</v>
      </c>
      <c r="J49" s="722">
        <v>1900</v>
      </c>
      <c r="K49" s="722">
        <v>1900</v>
      </c>
      <c r="L49" s="722">
        <v>2405</v>
      </c>
      <c r="M49" s="720"/>
      <c r="N49" s="720"/>
      <c r="O49" s="720"/>
      <c r="P49" s="720"/>
      <c r="Q49" s="720"/>
      <c r="R49" s="720"/>
      <c r="S49" s="720"/>
      <c r="T49" s="720"/>
      <c r="U49" s="720"/>
      <c r="V49" s="720"/>
      <c r="W49" s="720"/>
      <c r="X49" s="723"/>
      <c r="Y49" s="723"/>
      <c r="Z49" s="720" t="s">
        <v>1367</v>
      </c>
      <c r="AA49" s="724" t="s">
        <v>304</v>
      </c>
    </row>
    <row r="50" spans="1:27" s="725" customFormat="1" x14ac:dyDescent="0.25">
      <c r="A50" s="718" t="s">
        <v>454</v>
      </c>
      <c r="B50" s="719"/>
      <c r="C50" s="720" t="s">
        <v>1684</v>
      </c>
      <c r="D50" s="720" t="s">
        <v>1368</v>
      </c>
      <c r="E50" s="720"/>
      <c r="F50" s="721" t="s">
        <v>51</v>
      </c>
      <c r="G50" s="720" t="s">
        <v>47</v>
      </c>
      <c r="H50" s="721" t="s">
        <v>1366</v>
      </c>
      <c r="I50" s="722">
        <v>1760</v>
      </c>
      <c r="J50" s="722">
        <v>2200</v>
      </c>
      <c r="K50" s="722">
        <v>2200</v>
      </c>
      <c r="L50" s="722">
        <v>2785</v>
      </c>
      <c r="M50" s="720" t="s">
        <v>52</v>
      </c>
      <c r="N50" s="720"/>
      <c r="O50" s="720"/>
      <c r="P50" s="720"/>
      <c r="Q50" s="720"/>
      <c r="R50" s="720"/>
      <c r="S50" s="720"/>
      <c r="T50" s="720"/>
      <c r="U50" s="720"/>
      <c r="V50" s="720"/>
      <c r="W50" s="720"/>
      <c r="X50" s="723"/>
      <c r="Y50" s="723"/>
      <c r="Z50" s="720" t="s">
        <v>1367</v>
      </c>
      <c r="AA50" s="724" t="s">
        <v>304</v>
      </c>
    </row>
    <row r="51" spans="1:27" s="725" customFormat="1" x14ac:dyDescent="0.25">
      <c r="A51" s="718" t="s">
        <v>454</v>
      </c>
      <c r="B51" s="719"/>
      <c r="C51" s="720" t="s">
        <v>1694</v>
      </c>
      <c r="D51" s="720" t="s">
        <v>1368</v>
      </c>
      <c r="E51" s="720"/>
      <c r="F51" s="721" t="s">
        <v>51</v>
      </c>
      <c r="G51" s="720" t="s">
        <v>47</v>
      </c>
      <c r="H51" s="721" t="s">
        <v>1366</v>
      </c>
      <c r="I51" s="722">
        <v>1730</v>
      </c>
      <c r="J51" s="722">
        <v>2160</v>
      </c>
      <c r="K51" s="722">
        <v>2160</v>
      </c>
      <c r="L51" s="722">
        <v>2735</v>
      </c>
      <c r="M51" s="720"/>
      <c r="N51" s="720"/>
      <c r="O51" s="720"/>
      <c r="P51" s="720"/>
      <c r="Q51" s="720"/>
      <c r="R51" s="720"/>
      <c r="S51" s="720"/>
      <c r="T51" s="720"/>
      <c r="U51" s="720"/>
      <c r="V51" s="720"/>
      <c r="W51" s="720"/>
      <c r="X51" s="723"/>
      <c r="Y51" s="723"/>
      <c r="Z51" s="720" t="s">
        <v>1367</v>
      </c>
      <c r="AA51" s="724" t="s">
        <v>304</v>
      </c>
    </row>
    <row r="52" spans="1:27" s="725" customFormat="1" x14ac:dyDescent="0.25">
      <c r="A52" s="718" t="s">
        <v>454</v>
      </c>
      <c r="B52" s="719"/>
      <c r="C52" s="720" t="s">
        <v>1695</v>
      </c>
      <c r="D52" s="720" t="s">
        <v>1368</v>
      </c>
      <c r="E52" s="720"/>
      <c r="F52" s="721" t="s">
        <v>51</v>
      </c>
      <c r="G52" s="720" t="s">
        <v>47</v>
      </c>
      <c r="H52" s="721" t="s">
        <v>1366</v>
      </c>
      <c r="I52" s="722">
        <v>1680</v>
      </c>
      <c r="J52" s="722">
        <v>2100</v>
      </c>
      <c r="K52" s="722">
        <v>2100</v>
      </c>
      <c r="L52" s="722">
        <v>2660</v>
      </c>
      <c r="M52" s="720"/>
      <c r="N52" s="720"/>
      <c r="O52" s="720"/>
      <c r="P52" s="720"/>
      <c r="Q52" s="720"/>
      <c r="R52" s="720"/>
      <c r="S52" s="720"/>
      <c r="T52" s="720"/>
      <c r="U52" s="720"/>
      <c r="V52" s="720"/>
      <c r="W52" s="720"/>
      <c r="X52" s="723"/>
      <c r="Y52" s="723"/>
      <c r="Z52" s="720" t="s">
        <v>1367</v>
      </c>
      <c r="AA52" s="724" t="s">
        <v>304</v>
      </c>
    </row>
    <row r="53" spans="1:27" s="725" customFormat="1" x14ac:dyDescent="0.25">
      <c r="A53" s="718" t="s">
        <v>454</v>
      </c>
      <c r="B53" s="719" t="s">
        <v>1687</v>
      </c>
      <c r="C53" s="720" t="s">
        <v>1684</v>
      </c>
      <c r="D53" s="720" t="s">
        <v>1368</v>
      </c>
      <c r="E53" s="720"/>
      <c r="F53" s="721" t="s">
        <v>319</v>
      </c>
      <c r="G53" s="720" t="s">
        <v>47</v>
      </c>
      <c r="H53" s="721" t="s">
        <v>1366</v>
      </c>
      <c r="I53" s="722">
        <v>2000</v>
      </c>
      <c r="J53" s="722">
        <v>2500</v>
      </c>
      <c r="K53" s="722">
        <v>2500</v>
      </c>
      <c r="L53" s="722">
        <v>3165</v>
      </c>
      <c r="M53" s="720" t="s">
        <v>52</v>
      </c>
      <c r="N53" s="720"/>
      <c r="O53" s="720"/>
      <c r="P53" s="720"/>
      <c r="Q53" s="720"/>
      <c r="R53" s="720"/>
      <c r="S53" s="720"/>
      <c r="T53" s="720"/>
      <c r="U53" s="720"/>
      <c r="V53" s="720"/>
      <c r="W53" s="720"/>
      <c r="X53" s="723"/>
      <c r="Y53" s="723"/>
      <c r="Z53" s="720" t="s">
        <v>1367</v>
      </c>
      <c r="AA53" s="724" t="s">
        <v>304</v>
      </c>
    </row>
    <row r="54" spans="1:27" s="725" customFormat="1" x14ac:dyDescent="0.25">
      <c r="A54" s="718" t="s">
        <v>454</v>
      </c>
      <c r="B54" s="719"/>
      <c r="C54" s="720" t="s">
        <v>1696</v>
      </c>
      <c r="D54" s="720" t="s">
        <v>1368</v>
      </c>
      <c r="E54" s="720"/>
      <c r="F54" s="721" t="s">
        <v>51</v>
      </c>
      <c r="G54" s="720" t="s">
        <v>47</v>
      </c>
      <c r="H54" s="721" t="s">
        <v>1366</v>
      </c>
      <c r="I54" s="722">
        <v>1680</v>
      </c>
      <c r="J54" s="722">
        <v>2100</v>
      </c>
      <c r="K54" s="722">
        <v>2100</v>
      </c>
      <c r="L54" s="722">
        <v>2660</v>
      </c>
      <c r="M54" s="720"/>
      <c r="N54" s="720"/>
      <c r="O54" s="720"/>
      <c r="P54" s="720"/>
      <c r="Q54" s="720"/>
      <c r="R54" s="720"/>
      <c r="S54" s="720"/>
      <c r="T54" s="720"/>
      <c r="U54" s="720"/>
      <c r="V54" s="720"/>
      <c r="W54" s="720"/>
      <c r="X54" s="723"/>
      <c r="Y54" s="723"/>
      <c r="Z54" s="720" t="s">
        <v>1367</v>
      </c>
      <c r="AA54" s="724" t="s">
        <v>304</v>
      </c>
    </row>
    <row r="55" spans="1:27" s="725" customFormat="1" x14ac:dyDescent="0.25">
      <c r="A55" s="718" t="s">
        <v>454</v>
      </c>
      <c r="B55" s="719"/>
      <c r="C55" s="720" t="s">
        <v>1697</v>
      </c>
      <c r="D55" s="720" t="s">
        <v>1368</v>
      </c>
      <c r="E55" s="720"/>
      <c r="F55" s="721" t="s">
        <v>51</v>
      </c>
      <c r="G55" s="720" t="s">
        <v>47</v>
      </c>
      <c r="H55" s="721" t="s">
        <v>1366</v>
      </c>
      <c r="I55" s="722">
        <v>1520</v>
      </c>
      <c r="J55" s="722">
        <v>1900</v>
      </c>
      <c r="K55" s="722">
        <v>1900</v>
      </c>
      <c r="L55" s="722">
        <v>2405</v>
      </c>
      <c r="M55" s="720"/>
      <c r="N55" s="720"/>
      <c r="O55" s="720"/>
      <c r="P55" s="720"/>
      <c r="Q55" s="720"/>
      <c r="R55" s="720"/>
      <c r="S55" s="720"/>
      <c r="T55" s="720"/>
      <c r="U55" s="720"/>
      <c r="V55" s="720"/>
      <c r="W55" s="720"/>
      <c r="X55" s="723"/>
      <c r="Y55" s="723"/>
      <c r="Z55" s="720" t="s">
        <v>1367</v>
      </c>
      <c r="AA55" s="724" t="s">
        <v>304</v>
      </c>
    </row>
    <row r="56" spans="1:27" s="725" customFormat="1" x14ac:dyDescent="0.25">
      <c r="A56" s="718" t="s">
        <v>454</v>
      </c>
      <c r="B56" s="719"/>
      <c r="C56" s="720" t="s">
        <v>1698</v>
      </c>
      <c r="D56" s="720" t="s">
        <v>1368</v>
      </c>
      <c r="E56" s="720"/>
      <c r="F56" s="721" t="s">
        <v>51</v>
      </c>
      <c r="G56" s="720" t="s">
        <v>47</v>
      </c>
      <c r="H56" s="721" t="s">
        <v>1366</v>
      </c>
      <c r="I56" s="722">
        <v>1520</v>
      </c>
      <c r="J56" s="722">
        <v>1900</v>
      </c>
      <c r="K56" s="722">
        <v>1900</v>
      </c>
      <c r="L56" s="722">
        <v>2405</v>
      </c>
      <c r="M56" s="720"/>
      <c r="N56" s="720"/>
      <c r="O56" s="720"/>
      <c r="P56" s="720"/>
      <c r="Q56" s="720"/>
      <c r="R56" s="720"/>
      <c r="S56" s="720"/>
      <c r="T56" s="720"/>
      <c r="U56" s="720"/>
      <c r="V56" s="720"/>
      <c r="W56" s="720"/>
      <c r="X56" s="723"/>
      <c r="Y56" s="723"/>
      <c r="Z56" s="720" t="s">
        <v>1367</v>
      </c>
      <c r="AA56" s="724" t="s">
        <v>304</v>
      </c>
    </row>
    <row r="57" spans="1:27" s="725" customFormat="1" x14ac:dyDescent="0.25">
      <c r="A57" s="718" t="s">
        <v>454</v>
      </c>
      <c r="B57" s="719"/>
      <c r="C57" s="720" t="s">
        <v>1699</v>
      </c>
      <c r="D57" s="720" t="s">
        <v>1368</v>
      </c>
      <c r="E57" s="720"/>
      <c r="F57" s="721" t="s">
        <v>51</v>
      </c>
      <c r="G57" s="720" t="s">
        <v>47</v>
      </c>
      <c r="H57" s="721" t="s">
        <v>1366</v>
      </c>
      <c r="I57" s="722">
        <v>1680</v>
      </c>
      <c r="J57" s="722">
        <v>2100</v>
      </c>
      <c r="K57" s="722">
        <v>2100</v>
      </c>
      <c r="L57" s="722">
        <v>2660</v>
      </c>
      <c r="M57" s="720"/>
      <c r="N57" s="720"/>
      <c r="O57" s="720"/>
      <c r="P57" s="720"/>
      <c r="Q57" s="720"/>
      <c r="R57" s="720"/>
      <c r="S57" s="720"/>
      <c r="T57" s="720"/>
      <c r="U57" s="720"/>
      <c r="V57" s="720"/>
      <c r="W57" s="720"/>
      <c r="X57" s="723"/>
      <c r="Y57" s="723"/>
      <c r="Z57" s="720" t="s">
        <v>1367</v>
      </c>
      <c r="AA57" s="724" t="s">
        <v>304</v>
      </c>
    </row>
    <row r="58" spans="1:27" s="725" customFormat="1" x14ac:dyDescent="0.25">
      <c r="A58" s="718" t="s">
        <v>454</v>
      </c>
      <c r="B58" s="719"/>
      <c r="C58" s="720" t="s">
        <v>1700</v>
      </c>
      <c r="D58" s="720" t="s">
        <v>1368</v>
      </c>
      <c r="E58" s="720"/>
      <c r="F58" s="721" t="s">
        <v>51</v>
      </c>
      <c r="G58" s="720" t="s">
        <v>47</v>
      </c>
      <c r="H58" s="721" t="s">
        <v>1366</v>
      </c>
      <c r="I58" s="722">
        <v>1600</v>
      </c>
      <c r="J58" s="722">
        <v>2000</v>
      </c>
      <c r="K58" s="722">
        <v>2000</v>
      </c>
      <c r="L58" s="722">
        <v>2530</v>
      </c>
      <c r="M58" s="720"/>
      <c r="N58" s="720"/>
      <c r="O58" s="720"/>
      <c r="P58" s="720"/>
      <c r="Q58" s="720"/>
      <c r="R58" s="720"/>
      <c r="S58" s="720"/>
      <c r="T58" s="720"/>
      <c r="U58" s="720"/>
      <c r="V58" s="720"/>
      <c r="W58" s="720"/>
      <c r="X58" s="723"/>
      <c r="Y58" s="723"/>
      <c r="Z58" s="720" t="s">
        <v>1367</v>
      </c>
      <c r="AA58" s="724" t="s">
        <v>304</v>
      </c>
    </row>
    <row r="59" spans="1:27" s="725" customFormat="1" x14ac:dyDescent="0.25">
      <c r="A59" s="718" t="s">
        <v>454</v>
      </c>
      <c r="B59" s="719"/>
      <c r="C59" s="720" t="s">
        <v>1701</v>
      </c>
      <c r="D59" s="720" t="s">
        <v>1368</v>
      </c>
      <c r="E59" s="720"/>
      <c r="F59" s="721" t="s">
        <v>51</v>
      </c>
      <c r="G59" s="720" t="s">
        <v>47</v>
      </c>
      <c r="H59" s="721" t="s">
        <v>1366</v>
      </c>
      <c r="I59" s="722">
        <v>1520</v>
      </c>
      <c r="J59" s="722">
        <v>1900</v>
      </c>
      <c r="K59" s="722">
        <v>1900</v>
      </c>
      <c r="L59" s="722">
        <v>2405</v>
      </c>
      <c r="M59" s="720"/>
      <c r="N59" s="720"/>
      <c r="O59" s="720"/>
      <c r="P59" s="720"/>
      <c r="Q59" s="720"/>
      <c r="R59" s="720"/>
      <c r="S59" s="720"/>
      <c r="T59" s="720"/>
      <c r="U59" s="720"/>
      <c r="V59" s="720"/>
      <c r="W59" s="720"/>
      <c r="X59" s="723"/>
      <c r="Y59" s="723"/>
      <c r="Z59" s="720" t="s">
        <v>1367</v>
      </c>
      <c r="AA59" s="724" t="s">
        <v>304</v>
      </c>
    </row>
    <row r="60" spans="1:27" s="725" customFormat="1" x14ac:dyDescent="0.25">
      <c r="A60" s="718" t="s">
        <v>454</v>
      </c>
      <c r="B60" s="719"/>
      <c r="C60" s="720" t="s">
        <v>1702</v>
      </c>
      <c r="D60" s="720" t="s">
        <v>1368</v>
      </c>
      <c r="E60" s="720"/>
      <c r="F60" s="721" t="s">
        <v>51</v>
      </c>
      <c r="G60" s="720" t="s">
        <v>47</v>
      </c>
      <c r="H60" s="721" t="s">
        <v>1366</v>
      </c>
      <c r="I60" s="722">
        <v>1520</v>
      </c>
      <c r="J60" s="722">
        <v>1900</v>
      </c>
      <c r="K60" s="722">
        <v>1900</v>
      </c>
      <c r="L60" s="722">
        <v>2405</v>
      </c>
      <c r="M60" s="720"/>
      <c r="N60" s="720"/>
      <c r="O60" s="720"/>
      <c r="P60" s="720"/>
      <c r="Q60" s="720"/>
      <c r="R60" s="720"/>
      <c r="S60" s="720"/>
      <c r="T60" s="720"/>
      <c r="U60" s="720"/>
      <c r="V60" s="720"/>
      <c r="W60" s="720"/>
      <c r="X60" s="723"/>
      <c r="Y60" s="723"/>
      <c r="Z60" s="720" t="s">
        <v>1367</v>
      </c>
      <c r="AA60" s="724" t="s">
        <v>304</v>
      </c>
    </row>
    <row r="61" spans="1:27" s="725" customFormat="1" x14ac:dyDescent="0.25">
      <c r="A61" s="718" t="s">
        <v>454</v>
      </c>
      <c r="B61" s="719"/>
      <c r="C61" s="720" t="s">
        <v>1703</v>
      </c>
      <c r="D61" s="720" t="s">
        <v>1368</v>
      </c>
      <c r="E61" s="720"/>
      <c r="F61" s="721" t="s">
        <v>51</v>
      </c>
      <c r="G61" s="720" t="s">
        <v>47</v>
      </c>
      <c r="H61" s="721" t="s">
        <v>1366</v>
      </c>
      <c r="I61" s="722">
        <v>1520</v>
      </c>
      <c r="J61" s="722">
        <v>1900</v>
      </c>
      <c r="K61" s="722">
        <v>1900</v>
      </c>
      <c r="L61" s="722">
        <v>2405</v>
      </c>
      <c r="M61" s="720"/>
      <c r="N61" s="720"/>
      <c r="O61" s="720"/>
      <c r="P61" s="720"/>
      <c r="Q61" s="720"/>
      <c r="R61" s="720"/>
      <c r="S61" s="720"/>
      <c r="T61" s="720"/>
      <c r="U61" s="720"/>
      <c r="V61" s="720"/>
      <c r="W61" s="720"/>
      <c r="X61" s="723"/>
      <c r="Y61" s="723"/>
      <c r="Z61" s="720" t="s">
        <v>1367</v>
      </c>
      <c r="AA61" s="724" t="s">
        <v>304</v>
      </c>
    </row>
    <row r="62" spans="1:27" s="725" customFormat="1" x14ac:dyDescent="0.25">
      <c r="A62" s="718" t="s">
        <v>454</v>
      </c>
      <c r="B62" s="719"/>
      <c r="C62" s="720" t="s">
        <v>1704</v>
      </c>
      <c r="D62" s="720" t="s">
        <v>1368</v>
      </c>
      <c r="E62" s="720"/>
      <c r="F62" s="721" t="s">
        <v>51</v>
      </c>
      <c r="G62" s="720" t="s">
        <v>47</v>
      </c>
      <c r="H62" s="721" t="s">
        <v>1366</v>
      </c>
      <c r="I62" s="722">
        <v>1520</v>
      </c>
      <c r="J62" s="722">
        <v>1900</v>
      </c>
      <c r="K62" s="722">
        <v>1900</v>
      </c>
      <c r="L62" s="722">
        <v>2405</v>
      </c>
      <c r="M62" s="720"/>
      <c r="N62" s="720"/>
      <c r="O62" s="720"/>
      <c r="P62" s="720"/>
      <c r="Q62" s="720"/>
      <c r="R62" s="720"/>
      <c r="S62" s="720"/>
      <c r="T62" s="720"/>
      <c r="U62" s="720"/>
      <c r="V62" s="720"/>
      <c r="W62" s="720"/>
      <c r="X62" s="723"/>
      <c r="Y62" s="723"/>
      <c r="Z62" s="720" t="s">
        <v>1367</v>
      </c>
      <c r="AA62" s="724" t="s">
        <v>304</v>
      </c>
    </row>
    <row r="63" spans="1:27" s="725" customFormat="1" x14ac:dyDescent="0.25">
      <c r="A63" s="718" t="s">
        <v>454</v>
      </c>
      <c r="B63" s="719"/>
      <c r="C63" s="720" t="s">
        <v>1705</v>
      </c>
      <c r="D63" s="720" t="s">
        <v>1368</v>
      </c>
      <c r="E63" s="720"/>
      <c r="F63" s="721" t="s">
        <v>51</v>
      </c>
      <c r="G63" s="720" t="s">
        <v>47</v>
      </c>
      <c r="H63" s="721" t="s">
        <v>1366</v>
      </c>
      <c r="I63" s="722">
        <v>1520</v>
      </c>
      <c r="J63" s="722">
        <v>1900</v>
      </c>
      <c r="K63" s="722">
        <v>1900</v>
      </c>
      <c r="L63" s="722">
        <v>2405</v>
      </c>
      <c r="M63" s="720"/>
      <c r="N63" s="720"/>
      <c r="O63" s="720"/>
      <c r="P63" s="720"/>
      <c r="Q63" s="720"/>
      <c r="R63" s="720"/>
      <c r="S63" s="720"/>
      <c r="T63" s="720"/>
      <c r="U63" s="720"/>
      <c r="V63" s="720"/>
      <c r="W63" s="720"/>
      <c r="X63" s="723"/>
      <c r="Y63" s="723"/>
      <c r="Z63" s="720" t="s">
        <v>1367</v>
      </c>
      <c r="AA63" s="724" t="s">
        <v>304</v>
      </c>
    </row>
    <row r="64" spans="1:27" s="725" customFormat="1" x14ac:dyDescent="0.25">
      <c r="A64" s="718" t="s">
        <v>454</v>
      </c>
      <c r="B64" s="719"/>
      <c r="C64" s="720" t="s">
        <v>1692</v>
      </c>
      <c r="D64" s="720" t="s">
        <v>1114</v>
      </c>
      <c r="E64" s="720" t="s">
        <v>1374</v>
      </c>
      <c r="F64" s="721" t="s">
        <v>53</v>
      </c>
      <c r="G64" s="720" t="s">
        <v>47</v>
      </c>
      <c r="H64" s="721" t="s">
        <v>1366</v>
      </c>
      <c r="I64" s="722">
        <v>3440</v>
      </c>
      <c r="J64" s="722">
        <v>4300</v>
      </c>
      <c r="K64" s="722">
        <v>4300</v>
      </c>
      <c r="L64" s="722">
        <v>5445</v>
      </c>
      <c r="M64" s="720"/>
      <c r="N64" s="720"/>
      <c r="O64" s="720"/>
      <c r="P64" s="720"/>
      <c r="Q64" s="720"/>
      <c r="R64" s="720"/>
      <c r="S64" s="720"/>
      <c r="T64" s="720"/>
      <c r="U64" s="720"/>
      <c r="V64" s="720"/>
      <c r="W64" s="720"/>
      <c r="X64" s="723"/>
      <c r="Y64" s="723"/>
      <c r="Z64" s="720" t="s">
        <v>1367</v>
      </c>
      <c r="AA64" s="724" t="s">
        <v>304</v>
      </c>
    </row>
    <row r="65" spans="1:27" s="725" customFormat="1" x14ac:dyDescent="0.25">
      <c r="A65" s="718" t="s">
        <v>454</v>
      </c>
      <c r="B65" s="719"/>
      <c r="C65" s="720" t="s">
        <v>1693</v>
      </c>
      <c r="D65" s="720" t="s">
        <v>1114</v>
      </c>
      <c r="E65" s="720" t="s">
        <v>1374</v>
      </c>
      <c r="F65" s="721" t="s">
        <v>53</v>
      </c>
      <c r="G65" s="720" t="s">
        <v>47</v>
      </c>
      <c r="H65" s="721" t="s">
        <v>1366</v>
      </c>
      <c r="I65" s="722">
        <v>3280</v>
      </c>
      <c r="J65" s="722">
        <v>4100</v>
      </c>
      <c r="K65" s="722">
        <v>4100</v>
      </c>
      <c r="L65" s="722">
        <v>5190</v>
      </c>
      <c r="M65" s="720"/>
      <c r="N65" s="720"/>
      <c r="O65" s="720"/>
      <c r="P65" s="720"/>
      <c r="Q65" s="720"/>
      <c r="R65" s="720"/>
      <c r="S65" s="720"/>
      <c r="T65" s="720"/>
      <c r="U65" s="720"/>
      <c r="V65" s="720"/>
      <c r="W65" s="720"/>
      <c r="X65" s="723"/>
      <c r="Y65" s="723"/>
      <c r="Z65" s="720" t="s">
        <v>1367</v>
      </c>
      <c r="AA65" s="724" t="s">
        <v>304</v>
      </c>
    </row>
    <row r="66" spans="1:27" s="725" customFormat="1" x14ac:dyDescent="0.25">
      <c r="A66" s="718" t="s">
        <v>454</v>
      </c>
      <c r="B66" s="719"/>
      <c r="C66" s="720" t="s">
        <v>1684</v>
      </c>
      <c r="D66" s="720" t="s">
        <v>1114</v>
      </c>
      <c r="E66" s="720" t="s">
        <v>1374</v>
      </c>
      <c r="F66" s="721" t="s">
        <v>53</v>
      </c>
      <c r="G66" s="720" t="s">
        <v>47</v>
      </c>
      <c r="H66" s="721" t="s">
        <v>1366</v>
      </c>
      <c r="I66" s="722">
        <v>3430</v>
      </c>
      <c r="J66" s="722">
        <v>4290</v>
      </c>
      <c r="K66" s="722">
        <v>4290</v>
      </c>
      <c r="L66" s="722">
        <v>5430</v>
      </c>
      <c r="M66" s="720" t="s">
        <v>52</v>
      </c>
      <c r="N66" s="720"/>
      <c r="O66" s="720"/>
      <c r="P66" s="720"/>
      <c r="Q66" s="720"/>
      <c r="R66" s="720"/>
      <c r="S66" s="720"/>
      <c r="T66" s="720"/>
      <c r="U66" s="720"/>
      <c r="V66" s="720"/>
      <c r="W66" s="720"/>
      <c r="X66" s="723"/>
      <c r="Y66" s="723"/>
      <c r="Z66" s="720" t="s">
        <v>1367</v>
      </c>
      <c r="AA66" s="724" t="s">
        <v>304</v>
      </c>
    </row>
    <row r="67" spans="1:27" s="725" customFormat="1" x14ac:dyDescent="0.25">
      <c r="A67" s="718" t="s">
        <v>454</v>
      </c>
      <c r="B67" s="719"/>
      <c r="C67" s="720" t="s">
        <v>1694</v>
      </c>
      <c r="D67" s="720" t="s">
        <v>1114</v>
      </c>
      <c r="E67" s="720" t="s">
        <v>1374</v>
      </c>
      <c r="F67" s="721" t="s">
        <v>53</v>
      </c>
      <c r="G67" s="720" t="s">
        <v>47</v>
      </c>
      <c r="H67" s="721" t="s">
        <v>1366</v>
      </c>
      <c r="I67" s="722">
        <v>3480</v>
      </c>
      <c r="J67" s="722">
        <v>4350</v>
      </c>
      <c r="K67" s="722">
        <v>4350</v>
      </c>
      <c r="L67" s="722">
        <v>5505</v>
      </c>
      <c r="M67" s="720"/>
      <c r="N67" s="720"/>
      <c r="O67" s="720"/>
      <c r="P67" s="720"/>
      <c r="Q67" s="720"/>
      <c r="R67" s="720"/>
      <c r="S67" s="720"/>
      <c r="T67" s="720"/>
      <c r="U67" s="720"/>
      <c r="V67" s="720"/>
      <c r="W67" s="720"/>
      <c r="X67" s="723"/>
      <c r="Y67" s="723"/>
      <c r="Z67" s="720" t="s">
        <v>1367</v>
      </c>
      <c r="AA67" s="724" t="s">
        <v>304</v>
      </c>
    </row>
    <row r="68" spans="1:27" s="725" customFormat="1" x14ac:dyDescent="0.25">
      <c r="A68" s="718" t="s">
        <v>454</v>
      </c>
      <c r="B68" s="719"/>
      <c r="C68" s="720" t="s">
        <v>1695</v>
      </c>
      <c r="D68" s="720" t="s">
        <v>1114</v>
      </c>
      <c r="E68" s="720" t="s">
        <v>1374</v>
      </c>
      <c r="F68" s="721" t="s">
        <v>53</v>
      </c>
      <c r="G68" s="720" t="s">
        <v>47</v>
      </c>
      <c r="H68" s="721" t="s">
        <v>1366</v>
      </c>
      <c r="I68" s="722">
        <v>3600</v>
      </c>
      <c r="J68" s="722">
        <v>4500</v>
      </c>
      <c r="K68" s="722">
        <v>4500</v>
      </c>
      <c r="L68" s="722">
        <v>5695</v>
      </c>
      <c r="M68" s="720"/>
      <c r="N68" s="720"/>
      <c r="O68" s="720"/>
      <c r="P68" s="720"/>
      <c r="Q68" s="720"/>
      <c r="R68" s="720"/>
      <c r="S68" s="720"/>
      <c r="T68" s="720"/>
      <c r="U68" s="720"/>
      <c r="V68" s="720"/>
      <c r="W68" s="720"/>
      <c r="X68" s="723"/>
      <c r="Y68" s="723"/>
      <c r="Z68" s="720" t="s">
        <v>1367</v>
      </c>
      <c r="AA68" s="724" t="s">
        <v>304</v>
      </c>
    </row>
    <row r="69" spans="1:27" s="725" customFormat="1" x14ac:dyDescent="0.25">
      <c r="A69" s="718" t="s">
        <v>454</v>
      </c>
      <c r="B69" s="719" t="s">
        <v>1687</v>
      </c>
      <c r="C69" s="720" t="s">
        <v>1684</v>
      </c>
      <c r="D69" s="720" t="s">
        <v>1114</v>
      </c>
      <c r="E69" s="720" t="s">
        <v>1374</v>
      </c>
      <c r="F69" s="721" t="s">
        <v>127</v>
      </c>
      <c r="G69" s="720" t="s">
        <v>47</v>
      </c>
      <c r="H69" s="721" t="s">
        <v>1366</v>
      </c>
      <c r="I69" s="722">
        <v>3670</v>
      </c>
      <c r="J69" s="722">
        <v>4590</v>
      </c>
      <c r="K69" s="722">
        <v>4590</v>
      </c>
      <c r="L69" s="722">
        <v>5810</v>
      </c>
      <c r="M69" s="720" t="s">
        <v>52</v>
      </c>
      <c r="N69" s="720"/>
      <c r="O69" s="720"/>
      <c r="P69" s="720"/>
      <c r="Q69" s="720"/>
      <c r="R69" s="720"/>
      <c r="S69" s="720"/>
      <c r="T69" s="720"/>
      <c r="U69" s="720"/>
      <c r="V69" s="720"/>
      <c r="W69" s="720"/>
      <c r="X69" s="723"/>
      <c r="Y69" s="723"/>
      <c r="Z69" s="720" t="s">
        <v>1367</v>
      </c>
      <c r="AA69" s="724" t="s">
        <v>304</v>
      </c>
    </row>
    <row r="70" spans="1:27" s="725" customFormat="1" x14ac:dyDescent="0.25">
      <c r="A70" s="718" t="s">
        <v>454</v>
      </c>
      <c r="B70" s="719"/>
      <c r="C70" s="720" t="s">
        <v>1696</v>
      </c>
      <c r="D70" s="720" t="s">
        <v>1114</v>
      </c>
      <c r="E70" s="720" t="s">
        <v>1374</v>
      </c>
      <c r="F70" s="721" t="s">
        <v>53</v>
      </c>
      <c r="G70" s="720" t="s">
        <v>47</v>
      </c>
      <c r="H70" s="721" t="s">
        <v>1366</v>
      </c>
      <c r="I70" s="722">
        <v>3440</v>
      </c>
      <c r="J70" s="722">
        <v>4300</v>
      </c>
      <c r="K70" s="722">
        <v>4300</v>
      </c>
      <c r="L70" s="722">
        <v>5445</v>
      </c>
      <c r="M70" s="720"/>
      <c r="N70" s="720"/>
      <c r="O70" s="720"/>
      <c r="P70" s="720"/>
      <c r="Q70" s="720"/>
      <c r="R70" s="720"/>
      <c r="S70" s="720"/>
      <c r="T70" s="720"/>
      <c r="U70" s="720"/>
      <c r="V70" s="720"/>
      <c r="W70" s="720"/>
      <c r="X70" s="723"/>
      <c r="Y70" s="723"/>
      <c r="Z70" s="720" t="s">
        <v>1367</v>
      </c>
      <c r="AA70" s="724" t="s">
        <v>304</v>
      </c>
    </row>
    <row r="71" spans="1:27" s="725" customFormat="1" x14ac:dyDescent="0.25">
      <c r="A71" s="718" t="s">
        <v>454</v>
      </c>
      <c r="B71" s="719"/>
      <c r="C71" s="720" t="s">
        <v>1697</v>
      </c>
      <c r="D71" s="720" t="s">
        <v>1114</v>
      </c>
      <c r="E71" s="720" t="s">
        <v>1374</v>
      </c>
      <c r="F71" s="721" t="s">
        <v>53</v>
      </c>
      <c r="G71" s="720" t="s">
        <v>47</v>
      </c>
      <c r="H71" s="721" t="s">
        <v>1366</v>
      </c>
      <c r="I71" s="722">
        <v>3280</v>
      </c>
      <c r="J71" s="722">
        <v>4100</v>
      </c>
      <c r="K71" s="722">
        <v>4100</v>
      </c>
      <c r="L71" s="722">
        <v>5190</v>
      </c>
      <c r="M71" s="720"/>
      <c r="N71" s="720"/>
      <c r="O71" s="720"/>
      <c r="P71" s="720"/>
      <c r="Q71" s="720"/>
      <c r="R71" s="720"/>
      <c r="S71" s="720"/>
      <c r="T71" s="720"/>
      <c r="U71" s="720"/>
      <c r="V71" s="720"/>
      <c r="W71" s="720"/>
      <c r="X71" s="723"/>
      <c r="Y71" s="723"/>
      <c r="Z71" s="720" t="s">
        <v>1367</v>
      </c>
      <c r="AA71" s="724" t="s">
        <v>304</v>
      </c>
    </row>
    <row r="72" spans="1:27" s="725" customFormat="1" x14ac:dyDescent="0.25">
      <c r="A72" s="718" t="s">
        <v>454</v>
      </c>
      <c r="B72" s="719"/>
      <c r="C72" s="720" t="s">
        <v>1698</v>
      </c>
      <c r="D72" s="720" t="s">
        <v>1114</v>
      </c>
      <c r="E72" s="720" t="s">
        <v>1374</v>
      </c>
      <c r="F72" s="721" t="s">
        <v>53</v>
      </c>
      <c r="G72" s="720" t="s">
        <v>47</v>
      </c>
      <c r="H72" s="721" t="s">
        <v>1366</v>
      </c>
      <c r="I72" s="722">
        <v>2960</v>
      </c>
      <c r="J72" s="722">
        <v>3700</v>
      </c>
      <c r="K72" s="722">
        <v>3700</v>
      </c>
      <c r="L72" s="722">
        <v>4685</v>
      </c>
      <c r="M72" s="720"/>
      <c r="N72" s="720"/>
      <c r="O72" s="720"/>
      <c r="P72" s="720"/>
      <c r="Q72" s="720"/>
      <c r="R72" s="720"/>
      <c r="S72" s="720"/>
      <c r="T72" s="720"/>
      <c r="U72" s="720"/>
      <c r="V72" s="720"/>
      <c r="W72" s="720"/>
      <c r="X72" s="723"/>
      <c r="Y72" s="723"/>
      <c r="Z72" s="720" t="s">
        <v>1367</v>
      </c>
      <c r="AA72" s="724" t="s">
        <v>304</v>
      </c>
    </row>
    <row r="73" spans="1:27" s="725" customFormat="1" x14ac:dyDescent="0.25">
      <c r="A73" s="718" t="s">
        <v>454</v>
      </c>
      <c r="B73" s="719"/>
      <c r="C73" s="720" t="s">
        <v>1699</v>
      </c>
      <c r="D73" s="720" t="s">
        <v>1114</v>
      </c>
      <c r="E73" s="720" t="s">
        <v>1374</v>
      </c>
      <c r="F73" s="721" t="s">
        <v>53</v>
      </c>
      <c r="G73" s="720" t="s">
        <v>47</v>
      </c>
      <c r="H73" s="721" t="s">
        <v>1366</v>
      </c>
      <c r="I73" s="722">
        <v>3480</v>
      </c>
      <c r="J73" s="722">
        <v>4350</v>
      </c>
      <c r="K73" s="722">
        <v>4350</v>
      </c>
      <c r="L73" s="722">
        <v>5505</v>
      </c>
      <c r="M73" s="720"/>
      <c r="N73" s="720"/>
      <c r="O73" s="720"/>
      <c r="P73" s="720"/>
      <c r="Q73" s="720"/>
      <c r="R73" s="720"/>
      <c r="S73" s="720"/>
      <c r="T73" s="720"/>
      <c r="U73" s="720"/>
      <c r="V73" s="720"/>
      <c r="W73" s="720"/>
      <c r="X73" s="723"/>
      <c r="Y73" s="723"/>
      <c r="Z73" s="720" t="s">
        <v>1367</v>
      </c>
      <c r="AA73" s="724" t="s">
        <v>304</v>
      </c>
    </row>
    <row r="74" spans="1:27" s="725" customFormat="1" x14ac:dyDescent="0.25">
      <c r="A74" s="718" t="s">
        <v>454</v>
      </c>
      <c r="B74" s="719"/>
      <c r="C74" s="720" t="s">
        <v>1700</v>
      </c>
      <c r="D74" s="720" t="s">
        <v>1114</v>
      </c>
      <c r="E74" s="720" t="s">
        <v>1374</v>
      </c>
      <c r="F74" s="721" t="s">
        <v>53</v>
      </c>
      <c r="G74" s="720" t="s">
        <v>47</v>
      </c>
      <c r="H74" s="721" t="s">
        <v>1366</v>
      </c>
      <c r="I74" s="722">
        <v>3520</v>
      </c>
      <c r="J74" s="722">
        <v>4400</v>
      </c>
      <c r="K74" s="722">
        <v>4400</v>
      </c>
      <c r="L74" s="722">
        <v>5570</v>
      </c>
      <c r="M74" s="720"/>
      <c r="N74" s="720"/>
      <c r="O74" s="720"/>
      <c r="P74" s="720"/>
      <c r="Q74" s="720"/>
      <c r="R74" s="720"/>
      <c r="S74" s="720"/>
      <c r="T74" s="720"/>
      <c r="U74" s="720"/>
      <c r="V74" s="720"/>
      <c r="W74" s="720"/>
      <c r="X74" s="723"/>
      <c r="Y74" s="723"/>
      <c r="Z74" s="720" t="s">
        <v>1367</v>
      </c>
      <c r="AA74" s="724" t="s">
        <v>304</v>
      </c>
    </row>
    <row r="75" spans="1:27" s="725" customFormat="1" x14ac:dyDescent="0.25">
      <c r="A75" s="718" t="s">
        <v>454</v>
      </c>
      <c r="B75" s="719"/>
      <c r="C75" s="720" t="s">
        <v>1701</v>
      </c>
      <c r="D75" s="720" t="s">
        <v>1114</v>
      </c>
      <c r="E75" s="720" t="s">
        <v>1374</v>
      </c>
      <c r="F75" s="721" t="s">
        <v>53</v>
      </c>
      <c r="G75" s="720" t="s">
        <v>47</v>
      </c>
      <c r="H75" s="721" t="s">
        <v>1366</v>
      </c>
      <c r="I75" s="722">
        <v>3280</v>
      </c>
      <c r="J75" s="722">
        <v>4100</v>
      </c>
      <c r="K75" s="722">
        <v>4100</v>
      </c>
      <c r="L75" s="722">
        <v>5190</v>
      </c>
      <c r="M75" s="720"/>
      <c r="N75" s="720"/>
      <c r="O75" s="720"/>
      <c r="P75" s="720"/>
      <c r="Q75" s="720"/>
      <c r="R75" s="720"/>
      <c r="S75" s="720"/>
      <c r="T75" s="720"/>
      <c r="U75" s="720"/>
      <c r="V75" s="720"/>
      <c r="W75" s="720"/>
      <c r="X75" s="723"/>
      <c r="Y75" s="723"/>
      <c r="Z75" s="720" t="s">
        <v>1367</v>
      </c>
      <c r="AA75" s="724" t="s">
        <v>304</v>
      </c>
    </row>
    <row r="76" spans="1:27" s="725" customFormat="1" x14ac:dyDescent="0.25">
      <c r="A76" s="718" t="s">
        <v>454</v>
      </c>
      <c r="B76" s="719"/>
      <c r="C76" s="720" t="s">
        <v>1702</v>
      </c>
      <c r="D76" s="720" t="s">
        <v>1114</v>
      </c>
      <c r="E76" s="720" t="s">
        <v>1374</v>
      </c>
      <c r="F76" s="721" t="s">
        <v>53</v>
      </c>
      <c r="G76" s="720" t="s">
        <v>47</v>
      </c>
      <c r="H76" s="721" t="s">
        <v>1366</v>
      </c>
      <c r="I76" s="722">
        <v>3280</v>
      </c>
      <c r="J76" s="722">
        <v>4100</v>
      </c>
      <c r="K76" s="722">
        <v>4100</v>
      </c>
      <c r="L76" s="722">
        <v>5190</v>
      </c>
      <c r="M76" s="720"/>
      <c r="N76" s="720"/>
      <c r="O76" s="720"/>
      <c r="P76" s="720"/>
      <c r="Q76" s="720"/>
      <c r="R76" s="720"/>
      <c r="S76" s="720"/>
      <c r="T76" s="720"/>
      <c r="U76" s="720"/>
      <c r="V76" s="720"/>
      <c r="W76" s="720"/>
      <c r="X76" s="723"/>
      <c r="Y76" s="723"/>
      <c r="Z76" s="720" t="s">
        <v>1367</v>
      </c>
      <c r="AA76" s="724" t="s">
        <v>304</v>
      </c>
    </row>
    <row r="77" spans="1:27" s="725" customFormat="1" x14ac:dyDescent="0.25">
      <c r="A77" s="718" t="s">
        <v>454</v>
      </c>
      <c r="B77" s="719"/>
      <c r="C77" s="720" t="s">
        <v>1703</v>
      </c>
      <c r="D77" s="720" t="s">
        <v>1114</v>
      </c>
      <c r="E77" s="720" t="s">
        <v>1374</v>
      </c>
      <c r="F77" s="721" t="s">
        <v>53</v>
      </c>
      <c r="G77" s="720" t="s">
        <v>47</v>
      </c>
      <c r="H77" s="721" t="s">
        <v>1366</v>
      </c>
      <c r="I77" s="722">
        <v>3360</v>
      </c>
      <c r="J77" s="722">
        <v>4200</v>
      </c>
      <c r="K77" s="722">
        <v>4200</v>
      </c>
      <c r="L77" s="722">
        <v>5315</v>
      </c>
      <c r="M77" s="720"/>
      <c r="N77" s="720"/>
      <c r="O77" s="720"/>
      <c r="P77" s="720"/>
      <c r="Q77" s="720"/>
      <c r="R77" s="720"/>
      <c r="S77" s="720"/>
      <c r="T77" s="720"/>
      <c r="U77" s="720"/>
      <c r="V77" s="720"/>
      <c r="W77" s="720"/>
      <c r="X77" s="723"/>
      <c r="Y77" s="723"/>
      <c r="Z77" s="720" t="s">
        <v>1367</v>
      </c>
      <c r="AA77" s="724" t="s">
        <v>304</v>
      </c>
    </row>
    <row r="78" spans="1:27" s="725" customFormat="1" x14ac:dyDescent="0.25">
      <c r="A78" s="718" t="s">
        <v>454</v>
      </c>
      <c r="B78" s="719"/>
      <c r="C78" s="720" t="s">
        <v>1704</v>
      </c>
      <c r="D78" s="720" t="s">
        <v>1114</v>
      </c>
      <c r="E78" s="720" t="s">
        <v>1374</v>
      </c>
      <c r="F78" s="721" t="s">
        <v>53</v>
      </c>
      <c r="G78" s="720" t="s">
        <v>47</v>
      </c>
      <c r="H78" s="721" t="s">
        <v>1366</v>
      </c>
      <c r="I78" s="722">
        <v>3375</v>
      </c>
      <c r="J78" s="722">
        <v>4220</v>
      </c>
      <c r="K78" s="722">
        <v>4220</v>
      </c>
      <c r="L78" s="722">
        <v>5345</v>
      </c>
      <c r="M78" s="720"/>
      <c r="N78" s="720"/>
      <c r="O78" s="720"/>
      <c r="P78" s="720"/>
      <c r="Q78" s="720"/>
      <c r="R78" s="720"/>
      <c r="S78" s="720"/>
      <c r="T78" s="720"/>
      <c r="U78" s="720"/>
      <c r="V78" s="720"/>
      <c r="W78" s="720"/>
      <c r="X78" s="723"/>
      <c r="Y78" s="723"/>
      <c r="Z78" s="720" t="s">
        <v>1367</v>
      </c>
      <c r="AA78" s="724" t="s">
        <v>304</v>
      </c>
    </row>
    <row r="79" spans="1:27" s="725" customFormat="1" x14ac:dyDescent="0.25">
      <c r="A79" s="718" t="s">
        <v>454</v>
      </c>
      <c r="B79" s="719"/>
      <c r="C79" s="720" t="s">
        <v>1705</v>
      </c>
      <c r="D79" s="720" t="s">
        <v>1114</v>
      </c>
      <c r="E79" s="720" t="s">
        <v>1374</v>
      </c>
      <c r="F79" s="721" t="s">
        <v>53</v>
      </c>
      <c r="G79" s="720" t="s">
        <v>47</v>
      </c>
      <c r="H79" s="721" t="s">
        <v>1366</v>
      </c>
      <c r="I79" s="722">
        <v>3240</v>
      </c>
      <c r="J79" s="722">
        <v>4050</v>
      </c>
      <c r="K79" s="722">
        <v>4050</v>
      </c>
      <c r="L79" s="722">
        <v>5125</v>
      </c>
      <c r="M79" s="720"/>
      <c r="N79" s="720"/>
      <c r="O79" s="720"/>
      <c r="P79" s="720"/>
      <c r="Q79" s="720"/>
      <c r="R79" s="720"/>
      <c r="S79" s="720"/>
      <c r="T79" s="720"/>
      <c r="U79" s="720"/>
      <c r="V79" s="720"/>
      <c r="W79" s="720"/>
      <c r="X79" s="723"/>
      <c r="Y79" s="723"/>
      <c r="Z79" s="720" t="s">
        <v>1367</v>
      </c>
      <c r="AA79" s="724" t="s">
        <v>304</v>
      </c>
    </row>
    <row r="80" spans="1:27" s="725" customFormat="1" x14ac:dyDescent="0.25">
      <c r="A80" s="718" t="s">
        <v>454</v>
      </c>
      <c r="B80" s="719"/>
      <c r="C80" s="720" t="s">
        <v>1692</v>
      </c>
      <c r="D80" s="720" t="s">
        <v>1114</v>
      </c>
      <c r="E80" s="720" t="s">
        <v>1376</v>
      </c>
      <c r="F80" s="721" t="s">
        <v>53</v>
      </c>
      <c r="G80" s="720" t="s">
        <v>47</v>
      </c>
      <c r="H80" s="721" t="s">
        <v>1366</v>
      </c>
      <c r="I80" s="722">
        <v>3120</v>
      </c>
      <c r="J80" s="722">
        <v>3900</v>
      </c>
      <c r="K80" s="722">
        <v>3900</v>
      </c>
      <c r="L80" s="722">
        <v>4935</v>
      </c>
      <c r="M80" s="720"/>
      <c r="N80" s="720"/>
      <c r="O80" s="720"/>
      <c r="P80" s="720"/>
      <c r="Q80" s="720"/>
      <c r="R80" s="720"/>
      <c r="S80" s="720"/>
      <c r="T80" s="720"/>
      <c r="U80" s="720"/>
      <c r="V80" s="720"/>
      <c r="W80" s="720"/>
      <c r="X80" s="723"/>
      <c r="Y80" s="723"/>
      <c r="Z80" s="720" t="s">
        <v>1367</v>
      </c>
      <c r="AA80" s="724" t="s">
        <v>304</v>
      </c>
    </row>
    <row r="81" spans="1:27" s="725" customFormat="1" x14ac:dyDescent="0.25">
      <c r="A81" s="718" t="s">
        <v>454</v>
      </c>
      <c r="B81" s="719"/>
      <c r="C81" s="720" t="s">
        <v>1693</v>
      </c>
      <c r="D81" s="720" t="s">
        <v>1114</v>
      </c>
      <c r="E81" s="720" t="s">
        <v>1376</v>
      </c>
      <c r="F81" s="721" t="s">
        <v>53</v>
      </c>
      <c r="G81" s="720" t="s">
        <v>47</v>
      </c>
      <c r="H81" s="721" t="s">
        <v>1366</v>
      </c>
      <c r="I81" s="722">
        <v>3120</v>
      </c>
      <c r="J81" s="722">
        <v>3900</v>
      </c>
      <c r="K81" s="722">
        <v>3900</v>
      </c>
      <c r="L81" s="722">
        <v>4935</v>
      </c>
      <c r="M81" s="720"/>
      <c r="N81" s="720"/>
      <c r="O81" s="720"/>
      <c r="P81" s="720"/>
      <c r="Q81" s="720"/>
      <c r="R81" s="720"/>
      <c r="S81" s="720"/>
      <c r="T81" s="720"/>
      <c r="U81" s="720"/>
      <c r="V81" s="720"/>
      <c r="W81" s="720"/>
      <c r="X81" s="723"/>
      <c r="Y81" s="723"/>
      <c r="Z81" s="720" t="s">
        <v>1367</v>
      </c>
      <c r="AA81" s="724" t="s">
        <v>304</v>
      </c>
    </row>
    <row r="82" spans="1:27" s="725" customFormat="1" x14ac:dyDescent="0.25">
      <c r="A82" s="718" t="s">
        <v>454</v>
      </c>
      <c r="B82" s="719"/>
      <c r="C82" s="720" t="s">
        <v>1684</v>
      </c>
      <c r="D82" s="720" t="s">
        <v>1114</v>
      </c>
      <c r="E82" s="720" t="s">
        <v>1376</v>
      </c>
      <c r="F82" s="721" t="s">
        <v>53</v>
      </c>
      <c r="G82" s="720" t="s">
        <v>47</v>
      </c>
      <c r="H82" s="721" t="s">
        <v>1366</v>
      </c>
      <c r="I82" s="722">
        <v>3110</v>
      </c>
      <c r="J82" s="722">
        <v>3890</v>
      </c>
      <c r="K82" s="722">
        <v>3890</v>
      </c>
      <c r="L82" s="722">
        <v>4925</v>
      </c>
      <c r="M82" s="720" t="s">
        <v>52</v>
      </c>
      <c r="N82" s="720"/>
      <c r="O82" s="720"/>
      <c r="P82" s="720"/>
      <c r="Q82" s="720"/>
      <c r="R82" s="720"/>
      <c r="S82" s="720"/>
      <c r="T82" s="720"/>
      <c r="U82" s="720"/>
      <c r="V82" s="720"/>
      <c r="W82" s="720"/>
      <c r="X82" s="723"/>
      <c r="Y82" s="723"/>
      <c r="Z82" s="720" t="s">
        <v>1367</v>
      </c>
      <c r="AA82" s="724" t="s">
        <v>304</v>
      </c>
    </row>
    <row r="83" spans="1:27" s="725" customFormat="1" x14ac:dyDescent="0.25">
      <c r="A83" s="718" t="s">
        <v>454</v>
      </c>
      <c r="B83" s="719"/>
      <c r="C83" s="720" t="s">
        <v>1694</v>
      </c>
      <c r="D83" s="720" t="s">
        <v>1114</v>
      </c>
      <c r="E83" s="720" t="s">
        <v>1376</v>
      </c>
      <c r="F83" s="721" t="s">
        <v>53</v>
      </c>
      <c r="G83" s="720" t="s">
        <v>47</v>
      </c>
      <c r="H83" s="721" t="s">
        <v>1366</v>
      </c>
      <c r="I83" s="722">
        <v>3200</v>
      </c>
      <c r="J83" s="722">
        <v>4000</v>
      </c>
      <c r="K83" s="722">
        <v>4000</v>
      </c>
      <c r="L83" s="722">
        <v>5065</v>
      </c>
      <c r="M83" s="720"/>
      <c r="N83" s="720"/>
      <c r="O83" s="720"/>
      <c r="P83" s="720"/>
      <c r="Q83" s="720"/>
      <c r="R83" s="720"/>
      <c r="S83" s="720"/>
      <c r="T83" s="720"/>
      <c r="U83" s="720"/>
      <c r="V83" s="720"/>
      <c r="W83" s="720"/>
      <c r="X83" s="723"/>
      <c r="Y83" s="723"/>
      <c r="Z83" s="720" t="s">
        <v>1367</v>
      </c>
      <c r="AA83" s="724" t="s">
        <v>304</v>
      </c>
    </row>
    <row r="84" spans="1:27" s="725" customFormat="1" x14ac:dyDescent="0.25">
      <c r="A84" s="718" t="s">
        <v>454</v>
      </c>
      <c r="B84" s="719"/>
      <c r="C84" s="720" t="s">
        <v>1695</v>
      </c>
      <c r="D84" s="720" t="s">
        <v>1114</v>
      </c>
      <c r="E84" s="720" t="s">
        <v>1376</v>
      </c>
      <c r="F84" s="721" t="s">
        <v>53</v>
      </c>
      <c r="G84" s="720" t="s">
        <v>47</v>
      </c>
      <c r="H84" s="721" t="s">
        <v>1366</v>
      </c>
      <c r="I84" s="722">
        <v>3280</v>
      </c>
      <c r="J84" s="722">
        <v>4100</v>
      </c>
      <c r="K84" s="722">
        <v>4100</v>
      </c>
      <c r="L84" s="722">
        <v>5190</v>
      </c>
      <c r="M84" s="720"/>
      <c r="N84" s="720"/>
      <c r="O84" s="720"/>
      <c r="P84" s="720"/>
      <c r="Q84" s="720"/>
      <c r="R84" s="720"/>
      <c r="S84" s="720"/>
      <c r="T84" s="720"/>
      <c r="U84" s="720"/>
      <c r="V84" s="720"/>
      <c r="W84" s="720"/>
      <c r="X84" s="723"/>
      <c r="Y84" s="723"/>
      <c r="Z84" s="720" t="s">
        <v>1367</v>
      </c>
      <c r="AA84" s="724" t="s">
        <v>304</v>
      </c>
    </row>
    <row r="85" spans="1:27" s="725" customFormat="1" x14ac:dyDescent="0.25">
      <c r="A85" s="718" t="s">
        <v>454</v>
      </c>
      <c r="B85" s="719" t="s">
        <v>1687</v>
      </c>
      <c r="C85" s="720" t="s">
        <v>1684</v>
      </c>
      <c r="D85" s="720" t="s">
        <v>1114</v>
      </c>
      <c r="E85" s="720" t="s">
        <v>1376</v>
      </c>
      <c r="F85" s="721" t="s">
        <v>127</v>
      </c>
      <c r="G85" s="720" t="s">
        <v>47</v>
      </c>
      <c r="H85" s="721" t="s">
        <v>1366</v>
      </c>
      <c r="I85" s="722">
        <v>3350</v>
      </c>
      <c r="J85" s="722">
        <v>4190</v>
      </c>
      <c r="K85" s="722">
        <v>4190</v>
      </c>
      <c r="L85" s="722">
        <v>5305</v>
      </c>
      <c r="M85" s="720" t="s">
        <v>52</v>
      </c>
      <c r="N85" s="720"/>
      <c r="O85" s="720"/>
      <c r="P85" s="720"/>
      <c r="Q85" s="720"/>
      <c r="R85" s="720"/>
      <c r="S85" s="720"/>
      <c r="T85" s="720"/>
      <c r="U85" s="720"/>
      <c r="V85" s="720"/>
      <c r="W85" s="720"/>
      <c r="X85" s="723"/>
      <c r="Y85" s="723"/>
      <c r="Z85" s="720" t="s">
        <v>1367</v>
      </c>
      <c r="AA85" s="724" t="s">
        <v>304</v>
      </c>
    </row>
    <row r="86" spans="1:27" s="725" customFormat="1" x14ac:dyDescent="0.25">
      <c r="A86" s="718" t="s">
        <v>454</v>
      </c>
      <c r="B86" s="719"/>
      <c r="C86" s="720" t="s">
        <v>1696</v>
      </c>
      <c r="D86" s="720" t="s">
        <v>1114</v>
      </c>
      <c r="E86" s="720" t="s">
        <v>1376</v>
      </c>
      <c r="F86" s="721" t="s">
        <v>53</v>
      </c>
      <c r="G86" s="720" t="s">
        <v>47</v>
      </c>
      <c r="H86" s="721" t="s">
        <v>1366</v>
      </c>
      <c r="I86" s="722">
        <v>3120</v>
      </c>
      <c r="J86" s="722">
        <v>3900</v>
      </c>
      <c r="K86" s="722">
        <v>3900</v>
      </c>
      <c r="L86" s="722">
        <v>4935</v>
      </c>
      <c r="M86" s="720"/>
      <c r="N86" s="720"/>
      <c r="O86" s="720"/>
      <c r="P86" s="720"/>
      <c r="Q86" s="720"/>
      <c r="R86" s="720"/>
      <c r="S86" s="720"/>
      <c r="T86" s="720"/>
      <c r="U86" s="720"/>
      <c r="V86" s="720"/>
      <c r="W86" s="720"/>
      <c r="X86" s="723"/>
      <c r="Y86" s="723"/>
      <c r="Z86" s="720" t="s">
        <v>1367</v>
      </c>
      <c r="AA86" s="724" t="s">
        <v>304</v>
      </c>
    </row>
    <row r="87" spans="1:27" s="725" customFormat="1" x14ac:dyDescent="0.25">
      <c r="A87" s="718" t="s">
        <v>454</v>
      </c>
      <c r="B87" s="719"/>
      <c r="C87" s="720" t="s">
        <v>1697</v>
      </c>
      <c r="D87" s="720" t="s">
        <v>1114</v>
      </c>
      <c r="E87" s="720" t="s">
        <v>1376</v>
      </c>
      <c r="F87" s="721" t="s">
        <v>53</v>
      </c>
      <c r="G87" s="720" t="s">
        <v>47</v>
      </c>
      <c r="H87" s="721" t="s">
        <v>1366</v>
      </c>
      <c r="I87" s="722">
        <v>3120</v>
      </c>
      <c r="J87" s="722">
        <v>3900</v>
      </c>
      <c r="K87" s="722">
        <v>3900</v>
      </c>
      <c r="L87" s="722">
        <v>4935</v>
      </c>
      <c r="M87" s="720"/>
      <c r="N87" s="720"/>
      <c r="O87" s="720"/>
      <c r="P87" s="720"/>
      <c r="Q87" s="720"/>
      <c r="R87" s="720"/>
      <c r="S87" s="720"/>
      <c r="T87" s="720"/>
      <c r="U87" s="720"/>
      <c r="V87" s="720"/>
      <c r="W87" s="720"/>
      <c r="X87" s="723"/>
      <c r="Y87" s="723"/>
      <c r="Z87" s="720" t="s">
        <v>1367</v>
      </c>
      <c r="AA87" s="724" t="s">
        <v>304</v>
      </c>
    </row>
    <row r="88" spans="1:27" s="725" customFormat="1" x14ac:dyDescent="0.25">
      <c r="A88" s="718" t="s">
        <v>454</v>
      </c>
      <c r="B88" s="719"/>
      <c r="C88" s="720" t="s">
        <v>1698</v>
      </c>
      <c r="D88" s="720" t="s">
        <v>1114</v>
      </c>
      <c r="E88" s="720" t="s">
        <v>1376</v>
      </c>
      <c r="F88" s="721" t="s">
        <v>53</v>
      </c>
      <c r="G88" s="720" t="s">
        <v>47</v>
      </c>
      <c r="H88" s="721" t="s">
        <v>1366</v>
      </c>
      <c r="I88" s="722">
        <v>2440</v>
      </c>
      <c r="J88" s="722">
        <v>3050</v>
      </c>
      <c r="K88" s="722">
        <v>3050</v>
      </c>
      <c r="L88" s="722">
        <v>3860</v>
      </c>
      <c r="M88" s="720"/>
      <c r="N88" s="720"/>
      <c r="O88" s="720"/>
      <c r="P88" s="720"/>
      <c r="Q88" s="720"/>
      <c r="R88" s="720"/>
      <c r="S88" s="720"/>
      <c r="T88" s="720"/>
      <c r="U88" s="720"/>
      <c r="V88" s="720"/>
      <c r="W88" s="720"/>
      <c r="X88" s="723"/>
      <c r="Y88" s="723"/>
      <c r="Z88" s="720" t="s">
        <v>1367</v>
      </c>
      <c r="AA88" s="724" t="s">
        <v>304</v>
      </c>
    </row>
    <row r="89" spans="1:27" s="725" customFormat="1" x14ac:dyDescent="0.25">
      <c r="A89" s="718" t="s">
        <v>454</v>
      </c>
      <c r="B89" s="719"/>
      <c r="C89" s="720" t="s">
        <v>1699</v>
      </c>
      <c r="D89" s="720" t="s">
        <v>1114</v>
      </c>
      <c r="E89" s="720" t="s">
        <v>1376</v>
      </c>
      <c r="F89" s="721" t="s">
        <v>53</v>
      </c>
      <c r="G89" s="720" t="s">
        <v>47</v>
      </c>
      <c r="H89" s="721" t="s">
        <v>1366</v>
      </c>
      <c r="I89" s="722">
        <v>3160</v>
      </c>
      <c r="J89" s="722">
        <v>3950</v>
      </c>
      <c r="K89" s="722">
        <v>3950</v>
      </c>
      <c r="L89" s="722">
        <v>5000</v>
      </c>
      <c r="M89" s="720"/>
      <c r="N89" s="720"/>
      <c r="O89" s="720"/>
      <c r="P89" s="720"/>
      <c r="Q89" s="720"/>
      <c r="R89" s="720"/>
      <c r="S89" s="720"/>
      <c r="T89" s="720"/>
      <c r="U89" s="720"/>
      <c r="V89" s="720"/>
      <c r="W89" s="720"/>
      <c r="X89" s="723"/>
      <c r="Y89" s="723"/>
      <c r="Z89" s="720" t="s">
        <v>1367</v>
      </c>
      <c r="AA89" s="724" t="s">
        <v>304</v>
      </c>
    </row>
    <row r="90" spans="1:27" s="725" customFormat="1" x14ac:dyDescent="0.25">
      <c r="A90" s="718" t="s">
        <v>454</v>
      </c>
      <c r="B90" s="719"/>
      <c r="C90" s="720" t="s">
        <v>1700</v>
      </c>
      <c r="D90" s="720" t="s">
        <v>1114</v>
      </c>
      <c r="E90" s="720" t="s">
        <v>1376</v>
      </c>
      <c r="F90" s="721" t="s">
        <v>53</v>
      </c>
      <c r="G90" s="720" t="s">
        <v>47</v>
      </c>
      <c r="H90" s="721" t="s">
        <v>1366</v>
      </c>
      <c r="I90" s="722">
        <v>3240</v>
      </c>
      <c r="J90" s="722">
        <v>4050</v>
      </c>
      <c r="K90" s="722">
        <v>4050</v>
      </c>
      <c r="L90" s="722">
        <v>5125</v>
      </c>
      <c r="M90" s="720"/>
      <c r="N90" s="720"/>
      <c r="O90" s="720"/>
      <c r="P90" s="720"/>
      <c r="Q90" s="720"/>
      <c r="R90" s="720"/>
      <c r="S90" s="720"/>
      <c r="T90" s="720"/>
      <c r="U90" s="720"/>
      <c r="V90" s="720"/>
      <c r="W90" s="720"/>
      <c r="X90" s="723"/>
      <c r="Y90" s="723"/>
      <c r="Z90" s="720" t="s">
        <v>1367</v>
      </c>
      <c r="AA90" s="724" t="s">
        <v>304</v>
      </c>
    </row>
    <row r="91" spans="1:27" s="725" customFormat="1" x14ac:dyDescent="0.25">
      <c r="A91" s="718" t="s">
        <v>454</v>
      </c>
      <c r="B91" s="719"/>
      <c r="C91" s="720" t="s">
        <v>1701</v>
      </c>
      <c r="D91" s="720" t="s">
        <v>1114</v>
      </c>
      <c r="E91" s="720" t="s">
        <v>1376</v>
      </c>
      <c r="F91" s="721" t="s">
        <v>53</v>
      </c>
      <c r="G91" s="720" t="s">
        <v>47</v>
      </c>
      <c r="H91" s="721" t="s">
        <v>1366</v>
      </c>
      <c r="I91" s="722">
        <v>3120</v>
      </c>
      <c r="J91" s="722">
        <v>3900</v>
      </c>
      <c r="K91" s="722">
        <v>3900</v>
      </c>
      <c r="L91" s="722">
        <v>4935</v>
      </c>
      <c r="M91" s="720"/>
      <c r="N91" s="720"/>
      <c r="O91" s="720"/>
      <c r="P91" s="720"/>
      <c r="Q91" s="720"/>
      <c r="R91" s="720"/>
      <c r="S91" s="720"/>
      <c r="T91" s="720"/>
      <c r="U91" s="720"/>
      <c r="V91" s="720"/>
      <c r="W91" s="720"/>
      <c r="X91" s="723"/>
      <c r="Y91" s="723"/>
      <c r="Z91" s="720" t="s">
        <v>1367</v>
      </c>
      <c r="AA91" s="724" t="s">
        <v>304</v>
      </c>
    </row>
    <row r="92" spans="1:27" s="725" customFormat="1" x14ac:dyDescent="0.25">
      <c r="A92" s="718" t="s">
        <v>454</v>
      </c>
      <c r="B92" s="719"/>
      <c r="C92" s="720" t="s">
        <v>1702</v>
      </c>
      <c r="D92" s="720" t="s">
        <v>1114</v>
      </c>
      <c r="E92" s="720" t="s">
        <v>1376</v>
      </c>
      <c r="F92" s="721" t="s">
        <v>53</v>
      </c>
      <c r="G92" s="720" t="s">
        <v>47</v>
      </c>
      <c r="H92" s="721" t="s">
        <v>1366</v>
      </c>
      <c r="I92" s="722">
        <v>3120</v>
      </c>
      <c r="J92" s="722">
        <v>3900</v>
      </c>
      <c r="K92" s="722">
        <v>3900</v>
      </c>
      <c r="L92" s="722">
        <v>4935</v>
      </c>
      <c r="M92" s="720"/>
      <c r="N92" s="720"/>
      <c r="O92" s="720"/>
      <c r="P92" s="720"/>
      <c r="Q92" s="720"/>
      <c r="R92" s="720"/>
      <c r="S92" s="720"/>
      <c r="T92" s="720"/>
      <c r="U92" s="720"/>
      <c r="V92" s="720"/>
      <c r="W92" s="720"/>
      <c r="X92" s="723"/>
      <c r="Y92" s="723"/>
      <c r="Z92" s="720" t="s">
        <v>1367</v>
      </c>
      <c r="AA92" s="724" t="s">
        <v>304</v>
      </c>
    </row>
    <row r="93" spans="1:27" s="725" customFormat="1" x14ac:dyDescent="0.25">
      <c r="A93" s="718" t="s">
        <v>454</v>
      </c>
      <c r="B93" s="719"/>
      <c r="C93" s="720" t="s">
        <v>1703</v>
      </c>
      <c r="D93" s="720" t="s">
        <v>1114</v>
      </c>
      <c r="E93" s="720" t="s">
        <v>1376</v>
      </c>
      <c r="F93" s="721" t="s">
        <v>53</v>
      </c>
      <c r="G93" s="720" t="s">
        <v>47</v>
      </c>
      <c r="H93" s="721" t="s">
        <v>1366</v>
      </c>
      <c r="I93" s="722">
        <v>3120</v>
      </c>
      <c r="J93" s="722">
        <v>3900</v>
      </c>
      <c r="K93" s="722">
        <v>3900</v>
      </c>
      <c r="L93" s="722">
        <v>4935</v>
      </c>
      <c r="M93" s="720"/>
      <c r="N93" s="720"/>
      <c r="O93" s="720"/>
      <c r="P93" s="720"/>
      <c r="Q93" s="720"/>
      <c r="R93" s="720"/>
      <c r="S93" s="720"/>
      <c r="T93" s="720"/>
      <c r="U93" s="720"/>
      <c r="V93" s="720"/>
      <c r="W93" s="720"/>
      <c r="X93" s="723"/>
      <c r="Y93" s="723"/>
      <c r="Z93" s="720" t="s">
        <v>1367</v>
      </c>
      <c r="AA93" s="724" t="s">
        <v>304</v>
      </c>
    </row>
    <row r="94" spans="1:27" s="725" customFormat="1" x14ac:dyDescent="0.25">
      <c r="A94" s="718" t="s">
        <v>454</v>
      </c>
      <c r="B94" s="719"/>
      <c r="C94" s="720" t="s">
        <v>1704</v>
      </c>
      <c r="D94" s="720" t="s">
        <v>1114</v>
      </c>
      <c r="E94" s="720" t="s">
        <v>1376</v>
      </c>
      <c r="F94" s="721" t="s">
        <v>53</v>
      </c>
      <c r="G94" s="720" t="s">
        <v>47</v>
      </c>
      <c r="H94" s="721" t="s">
        <v>1366</v>
      </c>
      <c r="I94" s="722">
        <v>3120</v>
      </c>
      <c r="J94" s="722">
        <v>3900</v>
      </c>
      <c r="K94" s="722">
        <v>3900</v>
      </c>
      <c r="L94" s="722">
        <v>4935</v>
      </c>
      <c r="M94" s="720"/>
      <c r="N94" s="720"/>
      <c r="O94" s="720"/>
      <c r="P94" s="720"/>
      <c r="Q94" s="720"/>
      <c r="R94" s="720"/>
      <c r="S94" s="720"/>
      <c r="T94" s="720"/>
      <c r="U94" s="720"/>
      <c r="V94" s="720"/>
      <c r="W94" s="720"/>
      <c r="X94" s="723"/>
      <c r="Y94" s="723"/>
      <c r="Z94" s="720" t="s">
        <v>1367</v>
      </c>
      <c r="AA94" s="724" t="s">
        <v>304</v>
      </c>
    </row>
    <row r="95" spans="1:27" s="725" customFormat="1" x14ac:dyDescent="0.25">
      <c r="A95" s="718" t="s">
        <v>454</v>
      </c>
      <c r="B95" s="719"/>
      <c r="C95" s="720" t="s">
        <v>1705</v>
      </c>
      <c r="D95" s="720" t="s">
        <v>1114</v>
      </c>
      <c r="E95" s="720" t="s">
        <v>1376</v>
      </c>
      <c r="F95" s="721" t="s">
        <v>53</v>
      </c>
      <c r="G95" s="720" t="s">
        <v>47</v>
      </c>
      <c r="H95" s="721" t="s">
        <v>1366</v>
      </c>
      <c r="I95" s="722">
        <v>3120</v>
      </c>
      <c r="J95" s="722">
        <v>3900</v>
      </c>
      <c r="K95" s="722">
        <v>3900</v>
      </c>
      <c r="L95" s="722">
        <v>4935</v>
      </c>
      <c r="M95" s="720"/>
      <c r="N95" s="720"/>
      <c r="O95" s="720"/>
      <c r="P95" s="720"/>
      <c r="Q95" s="720"/>
      <c r="R95" s="720"/>
      <c r="S95" s="720"/>
      <c r="T95" s="720"/>
      <c r="U95" s="720"/>
      <c r="V95" s="720"/>
      <c r="W95" s="720"/>
      <c r="X95" s="723"/>
      <c r="Y95" s="723"/>
      <c r="Z95" s="720" t="s">
        <v>1367</v>
      </c>
      <c r="AA95" s="724" t="s">
        <v>304</v>
      </c>
    </row>
    <row r="96" spans="1:27" s="725" customFormat="1" x14ac:dyDescent="0.25">
      <c r="A96" s="718" t="s">
        <v>454</v>
      </c>
      <c r="B96" s="719"/>
      <c r="C96" s="720" t="s">
        <v>1692</v>
      </c>
      <c r="D96" s="720" t="s">
        <v>1114</v>
      </c>
      <c r="E96" s="720" t="s">
        <v>1386</v>
      </c>
      <c r="F96" s="721" t="s">
        <v>53</v>
      </c>
      <c r="G96" s="720" t="s">
        <v>47</v>
      </c>
      <c r="H96" s="721" t="s">
        <v>1366</v>
      </c>
      <c r="I96" s="722">
        <v>3720</v>
      </c>
      <c r="J96" s="722">
        <v>4650</v>
      </c>
      <c r="K96" s="722">
        <v>4650</v>
      </c>
      <c r="L96" s="722">
        <v>5885</v>
      </c>
      <c r="M96" s="720"/>
      <c r="N96" s="720"/>
      <c r="O96" s="720"/>
      <c r="P96" s="720"/>
      <c r="Q96" s="720"/>
      <c r="R96" s="720"/>
      <c r="S96" s="720"/>
      <c r="T96" s="720"/>
      <c r="U96" s="720"/>
      <c r="V96" s="720"/>
      <c r="W96" s="720"/>
      <c r="X96" s="723"/>
      <c r="Y96" s="723"/>
      <c r="Z96" s="720" t="s">
        <v>1367</v>
      </c>
      <c r="AA96" s="724" t="s">
        <v>304</v>
      </c>
    </row>
    <row r="97" spans="1:27" s="725" customFormat="1" x14ac:dyDescent="0.25">
      <c r="A97" s="718" t="s">
        <v>454</v>
      </c>
      <c r="B97" s="719"/>
      <c r="C97" s="720" t="s">
        <v>1693</v>
      </c>
      <c r="D97" s="720" t="s">
        <v>1114</v>
      </c>
      <c r="E97" s="720" t="s">
        <v>1386</v>
      </c>
      <c r="F97" s="721" t="s">
        <v>53</v>
      </c>
      <c r="G97" s="720" t="s">
        <v>47</v>
      </c>
      <c r="H97" s="721" t="s">
        <v>1366</v>
      </c>
      <c r="I97" s="722">
        <v>3745</v>
      </c>
      <c r="J97" s="722">
        <v>4680</v>
      </c>
      <c r="K97" s="722">
        <v>4680</v>
      </c>
      <c r="L97" s="722">
        <v>5925</v>
      </c>
      <c r="M97" s="720"/>
      <c r="N97" s="720"/>
      <c r="O97" s="720"/>
      <c r="P97" s="720"/>
      <c r="Q97" s="720"/>
      <c r="R97" s="720"/>
      <c r="S97" s="720"/>
      <c r="T97" s="720"/>
      <c r="U97" s="720"/>
      <c r="V97" s="720"/>
      <c r="W97" s="720"/>
      <c r="X97" s="723"/>
      <c r="Y97" s="723"/>
      <c r="Z97" s="720" t="s">
        <v>1367</v>
      </c>
      <c r="AA97" s="724" t="s">
        <v>304</v>
      </c>
    </row>
    <row r="98" spans="1:27" s="725" customFormat="1" x14ac:dyDescent="0.25">
      <c r="A98" s="718" t="s">
        <v>454</v>
      </c>
      <c r="B98" s="719"/>
      <c r="C98" s="720" t="s">
        <v>1684</v>
      </c>
      <c r="D98" s="720" t="s">
        <v>1114</v>
      </c>
      <c r="E98" s="720" t="s">
        <v>1386</v>
      </c>
      <c r="F98" s="721" t="s">
        <v>53</v>
      </c>
      <c r="G98" s="720" t="s">
        <v>47</v>
      </c>
      <c r="H98" s="721" t="s">
        <v>1366</v>
      </c>
      <c r="I98" s="722">
        <v>3670</v>
      </c>
      <c r="J98" s="722">
        <v>4590</v>
      </c>
      <c r="K98" s="722">
        <v>4590</v>
      </c>
      <c r="L98" s="722">
        <v>5810</v>
      </c>
      <c r="M98" s="720" t="s">
        <v>52</v>
      </c>
      <c r="N98" s="720"/>
      <c r="O98" s="720"/>
      <c r="P98" s="720"/>
      <c r="Q98" s="720"/>
      <c r="R98" s="720"/>
      <c r="S98" s="720"/>
      <c r="T98" s="720"/>
      <c r="U98" s="720"/>
      <c r="V98" s="720"/>
      <c r="W98" s="720"/>
      <c r="X98" s="723"/>
      <c r="Y98" s="723"/>
      <c r="Z98" s="720" t="s">
        <v>1367</v>
      </c>
      <c r="AA98" s="724" t="s">
        <v>304</v>
      </c>
    </row>
    <row r="99" spans="1:27" s="725" customFormat="1" x14ac:dyDescent="0.25">
      <c r="A99" s="718" t="s">
        <v>454</v>
      </c>
      <c r="B99" s="719"/>
      <c r="C99" s="720" t="s">
        <v>1694</v>
      </c>
      <c r="D99" s="720" t="s">
        <v>1114</v>
      </c>
      <c r="E99" s="720" t="s">
        <v>1386</v>
      </c>
      <c r="F99" s="721" t="s">
        <v>53</v>
      </c>
      <c r="G99" s="720" t="s">
        <v>47</v>
      </c>
      <c r="H99" s="721" t="s">
        <v>1366</v>
      </c>
      <c r="I99" s="722">
        <v>3720</v>
      </c>
      <c r="J99" s="722">
        <v>4650</v>
      </c>
      <c r="K99" s="722">
        <v>4650</v>
      </c>
      <c r="L99" s="722">
        <v>5885</v>
      </c>
      <c r="M99" s="720"/>
      <c r="N99" s="720"/>
      <c r="O99" s="720"/>
      <c r="P99" s="720"/>
      <c r="Q99" s="720"/>
      <c r="R99" s="720"/>
      <c r="S99" s="720"/>
      <c r="T99" s="720"/>
      <c r="U99" s="720"/>
      <c r="V99" s="720"/>
      <c r="W99" s="720"/>
      <c r="X99" s="723"/>
      <c r="Y99" s="723"/>
      <c r="Z99" s="720" t="s">
        <v>1367</v>
      </c>
      <c r="AA99" s="724" t="s">
        <v>304</v>
      </c>
    </row>
    <row r="100" spans="1:27" s="725" customFormat="1" x14ac:dyDescent="0.25">
      <c r="A100" s="718" t="s">
        <v>454</v>
      </c>
      <c r="B100" s="719"/>
      <c r="C100" s="720" t="s">
        <v>1695</v>
      </c>
      <c r="D100" s="720" t="s">
        <v>1114</v>
      </c>
      <c r="E100" s="720" t="s">
        <v>1386</v>
      </c>
      <c r="F100" s="721" t="s">
        <v>53</v>
      </c>
      <c r="G100" s="720" t="s">
        <v>47</v>
      </c>
      <c r="H100" s="721" t="s">
        <v>1366</v>
      </c>
      <c r="I100" s="722">
        <v>3760</v>
      </c>
      <c r="J100" s="722">
        <v>4700</v>
      </c>
      <c r="K100" s="722">
        <v>4700</v>
      </c>
      <c r="L100" s="722">
        <v>5950</v>
      </c>
      <c r="M100" s="720"/>
      <c r="N100" s="720"/>
      <c r="O100" s="720"/>
      <c r="P100" s="720"/>
      <c r="Q100" s="720"/>
      <c r="R100" s="720"/>
      <c r="S100" s="720"/>
      <c r="T100" s="720"/>
      <c r="U100" s="720"/>
      <c r="V100" s="720"/>
      <c r="W100" s="720"/>
      <c r="X100" s="723"/>
      <c r="Y100" s="723"/>
      <c r="Z100" s="720" t="s">
        <v>1367</v>
      </c>
      <c r="AA100" s="724" t="s">
        <v>304</v>
      </c>
    </row>
    <row r="101" spans="1:27" s="725" customFormat="1" x14ac:dyDescent="0.25">
      <c r="A101" s="718" t="s">
        <v>454</v>
      </c>
      <c r="B101" s="719" t="s">
        <v>1687</v>
      </c>
      <c r="C101" s="720" t="s">
        <v>1684</v>
      </c>
      <c r="D101" s="720" t="s">
        <v>1114</v>
      </c>
      <c r="E101" s="720" t="s">
        <v>1386</v>
      </c>
      <c r="F101" s="721" t="s">
        <v>127</v>
      </c>
      <c r="G101" s="720" t="s">
        <v>47</v>
      </c>
      <c r="H101" s="721" t="s">
        <v>1366</v>
      </c>
      <c r="I101" s="722">
        <v>3910</v>
      </c>
      <c r="J101" s="722">
        <v>4890</v>
      </c>
      <c r="K101" s="722">
        <v>4890</v>
      </c>
      <c r="L101" s="722">
        <v>6190</v>
      </c>
      <c r="M101" s="720" t="s">
        <v>52</v>
      </c>
      <c r="N101" s="720"/>
      <c r="O101" s="720"/>
      <c r="P101" s="720"/>
      <c r="Q101" s="720"/>
      <c r="R101" s="720"/>
      <c r="S101" s="720"/>
      <c r="T101" s="720"/>
      <c r="U101" s="720"/>
      <c r="V101" s="720"/>
      <c r="W101" s="720"/>
      <c r="X101" s="723"/>
      <c r="Y101" s="723"/>
      <c r="Z101" s="720" t="s">
        <v>1367</v>
      </c>
      <c r="AA101" s="724" t="s">
        <v>304</v>
      </c>
    </row>
    <row r="102" spans="1:27" s="725" customFormat="1" x14ac:dyDescent="0.25">
      <c r="A102" s="718" t="s">
        <v>454</v>
      </c>
      <c r="B102" s="719"/>
      <c r="C102" s="720" t="s">
        <v>1696</v>
      </c>
      <c r="D102" s="720" t="s">
        <v>1114</v>
      </c>
      <c r="E102" s="720" t="s">
        <v>1386</v>
      </c>
      <c r="F102" s="721" t="s">
        <v>53</v>
      </c>
      <c r="G102" s="720" t="s">
        <v>47</v>
      </c>
      <c r="H102" s="721" t="s">
        <v>1366</v>
      </c>
      <c r="I102" s="722">
        <v>3720</v>
      </c>
      <c r="J102" s="722">
        <v>4650</v>
      </c>
      <c r="K102" s="722">
        <v>4650</v>
      </c>
      <c r="L102" s="722">
        <v>5885</v>
      </c>
      <c r="M102" s="720"/>
      <c r="N102" s="720"/>
      <c r="O102" s="720"/>
      <c r="P102" s="720"/>
      <c r="Q102" s="720"/>
      <c r="R102" s="720"/>
      <c r="S102" s="720"/>
      <c r="T102" s="720"/>
      <c r="U102" s="720"/>
      <c r="V102" s="720"/>
      <c r="W102" s="720"/>
      <c r="X102" s="723"/>
      <c r="Y102" s="723"/>
      <c r="Z102" s="720" t="s">
        <v>1367</v>
      </c>
      <c r="AA102" s="724" t="s">
        <v>304</v>
      </c>
    </row>
    <row r="103" spans="1:27" s="725" customFormat="1" x14ac:dyDescent="0.25">
      <c r="A103" s="718" t="s">
        <v>454</v>
      </c>
      <c r="B103" s="719"/>
      <c r="C103" s="720" t="s">
        <v>1697</v>
      </c>
      <c r="D103" s="720" t="s">
        <v>1114</v>
      </c>
      <c r="E103" s="720" t="s">
        <v>1386</v>
      </c>
      <c r="F103" s="721" t="s">
        <v>53</v>
      </c>
      <c r="G103" s="720" t="s">
        <v>47</v>
      </c>
      <c r="H103" s="721" t="s">
        <v>1366</v>
      </c>
      <c r="I103" s="722">
        <v>3680</v>
      </c>
      <c r="J103" s="722">
        <v>4600</v>
      </c>
      <c r="K103" s="722">
        <v>4600</v>
      </c>
      <c r="L103" s="722">
        <v>5825</v>
      </c>
      <c r="M103" s="720"/>
      <c r="N103" s="720"/>
      <c r="O103" s="720"/>
      <c r="P103" s="720"/>
      <c r="Q103" s="720"/>
      <c r="R103" s="720"/>
      <c r="S103" s="720"/>
      <c r="T103" s="720"/>
      <c r="U103" s="720"/>
      <c r="V103" s="720"/>
      <c r="W103" s="720"/>
      <c r="X103" s="723"/>
      <c r="Y103" s="723"/>
      <c r="Z103" s="720" t="s">
        <v>1367</v>
      </c>
      <c r="AA103" s="724" t="s">
        <v>304</v>
      </c>
    </row>
    <row r="104" spans="1:27" s="725" customFormat="1" x14ac:dyDescent="0.25">
      <c r="A104" s="718" t="s">
        <v>454</v>
      </c>
      <c r="B104" s="719"/>
      <c r="C104" s="720" t="s">
        <v>1698</v>
      </c>
      <c r="D104" s="720" t="s">
        <v>1114</v>
      </c>
      <c r="E104" s="720" t="s">
        <v>1386</v>
      </c>
      <c r="F104" s="721" t="s">
        <v>53</v>
      </c>
      <c r="G104" s="720" t="s">
        <v>47</v>
      </c>
      <c r="H104" s="721" t="s">
        <v>1366</v>
      </c>
      <c r="I104" s="722">
        <v>3600</v>
      </c>
      <c r="J104" s="722">
        <v>4500</v>
      </c>
      <c r="K104" s="722">
        <v>4500</v>
      </c>
      <c r="L104" s="722">
        <v>5695</v>
      </c>
      <c r="M104" s="720"/>
      <c r="N104" s="720"/>
      <c r="O104" s="720"/>
      <c r="P104" s="720"/>
      <c r="Q104" s="720"/>
      <c r="R104" s="720"/>
      <c r="S104" s="720"/>
      <c r="T104" s="720"/>
      <c r="U104" s="720"/>
      <c r="V104" s="720"/>
      <c r="W104" s="720"/>
      <c r="X104" s="723"/>
      <c r="Y104" s="723"/>
      <c r="Z104" s="720" t="s">
        <v>1367</v>
      </c>
      <c r="AA104" s="724" t="s">
        <v>304</v>
      </c>
    </row>
    <row r="105" spans="1:27" s="725" customFormat="1" x14ac:dyDescent="0.25">
      <c r="A105" s="718" t="s">
        <v>454</v>
      </c>
      <c r="B105" s="719"/>
      <c r="C105" s="720" t="s">
        <v>1699</v>
      </c>
      <c r="D105" s="720" t="s">
        <v>1114</v>
      </c>
      <c r="E105" s="720" t="s">
        <v>1386</v>
      </c>
      <c r="F105" s="721" t="s">
        <v>53</v>
      </c>
      <c r="G105" s="720" t="s">
        <v>47</v>
      </c>
      <c r="H105" s="721" t="s">
        <v>1366</v>
      </c>
      <c r="I105" s="722">
        <v>3720</v>
      </c>
      <c r="J105" s="722">
        <v>4650</v>
      </c>
      <c r="K105" s="722">
        <v>4650</v>
      </c>
      <c r="L105" s="722">
        <v>5885</v>
      </c>
      <c r="M105" s="720"/>
      <c r="N105" s="720"/>
      <c r="O105" s="720"/>
      <c r="P105" s="720"/>
      <c r="Q105" s="720"/>
      <c r="R105" s="720"/>
      <c r="S105" s="720"/>
      <c r="T105" s="720"/>
      <c r="U105" s="720"/>
      <c r="V105" s="720"/>
      <c r="W105" s="720"/>
      <c r="X105" s="723"/>
      <c r="Y105" s="723"/>
      <c r="Z105" s="720" t="s">
        <v>1367</v>
      </c>
      <c r="AA105" s="724" t="s">
        <v>304</v>
      </c>
    </row>
    <row r="106" spans="1:27" s="725" customFormat="1" x14ac:dyDescent="0.25">
      <c r="A106" s="718" t="s">
        <v>454</v>
      </c>
      <c r="B106" s="719"/>
      <c r="C106" s="720" t="s">
        <v>1700</v>
      </c>
      <c r="D106" s="720" t="s">
        <v>1114</v>
      </c>
      <c r="E106" s="720" t="s">
        <v>1386</v>
      </c>
      <c r="F106" s="721" t="s">
        <v>53</v>
      </c>
      <c r="G106" s="720" t="s">
        <v>47</v>
      </c>
      <c r="H106" s="721" t="s">
        <v>1366</v>
      </c>
      <c r="I106" s="722">
        <v>3520</v>
      </c>
      <c r="J106" s="722">
        <v>4400</v>
      </c>
      <c r="K106" s="722">
        <v>4400</v>
      </c>
      <c r="L106" s="722">
        <v>5570</v>
      </c>
      <c r="M106" s="720"/>
      <c r="N106" s="720"/>
      <c r="O106" s="720"/>
      <c r="P106" s="720"/>
      <c r="Q106" s="720"/>
      <c r="R106" s="720"/>
      <c r="S106" s="720"/>
      <c r="T106" s="720"/>
      <c r="U106" s="720"/>
      <c r="V106" s="720"/>
      <c r="W106" s="720"/>
      <c r="X106" s="723"/>
      <c r="Y106" s="723"/>
      <c r="Z106" s="720" t="s">
        <v>1367</v>
      </c>
      <c r="AA106" s="724" t="s">
        <v>304</v>
      </c>
    </row>
    <row r="107" spans="1:27" s="725" customFormat="1" x14ac:dyDescent="0.25">
      <c r="A107" s="718" t="s">
        <v>454</v>
      </c>
      <c r="B107" s="719"/>
      <c r="C107" s="720" t="s">
        <v>1701</v>
      </c>
      <c r="D107" s="720" t="s">
        <v>1114</v>
      </c>
      <c r="E107" s="720" t="s">
        <v>1386</v>
      </c>
      <c r="F107" s="721" t="s">
        <v>53</v>
      </c>
      <c r="G107" s="720" t="s">
        <v>47</v>
      </c>
      <c r="H107" s="721" t="s">
        <v>1366</v>
      </c>
      <c r="I107" s="722">
        <v>3680</v>
      </c>
      <c r="J107" s="722">
        <v>4600</v>
      </c>
      <c r="K107" s="722">
        <v>4600</v>
      </c>
      <c r="L107" s="722">
        <v>5825</v>
      </c>
      <c r="M107" s="720"/>
      <c r="N107" s="720"/>
      <c r="O107" s="720"/>
      <c r="P107" s="720"/>
      <c r="Q107" s="720"/>
      <c r="R107" s="720"/>
      <c r="S107" s="720"/>
      <c r="T107" s="720"/>
      <c r="U107" s="720"/>
      <c r="V107" s="720"/>
      <c r="W107" s="720"/>
      <c r="X107" s="723"/>
      <c r="Y107" s="723"/>
      <c r="Z107" s="720" t="s">
        <v>1367</v>
      </c>
      <c r="AA107" s="724" t="s">
        <v>304</v>
      </c>
    </row>
    <row r="108" spans="1:27" s="725" customFormat="1" x14ac:dyDescent="0.25">
      <c r="A108" s="718" t="s">
        <v>454</v>
      </c>
      <c r="B108" s="719"/>
      <c r="C108" s="720" t="s">
        <v>1702</v>
      </c>
      <c r="D108" s="720" t="s">
        <v>1114</v>
      </c>
      <c r="E108" s="720" t="s">
        <v>1386</v>
      </c>
      <c r="F108" s="721" t="s">
        <v>53</v>
      </c>
      <c r="G108" s="720" t="s">
        <v>47</v>
      </c>
      <c r="H108" s="721" t="s">
        <v>1366</v>
      </c>
      <c r="I108" s="722">
        <v>3680</v>
      </c>
      <c r="J108" s="722">
        <v>4600</v>
      </c>
      <c r="K108" s="722">
        <v>4600</v>
      </c>
      <c r="L108" s="722">
        <v>5825</v>
      </c>
      <c r="M108" s="720"/>
      <c r="N108" s="720"/>
      <c r="O108" s="720"/>
      <c r="P108" s="720"/>
      <c r="Q108" s="720"/>
      <c r="R108" s="720"/>
      <c r="S108" s="720"/>
      <c r="T108" s="720"/>
      <c r="U108" s="720"/>
      <c r="V108" s="720"/>
      <c r="W108" s="720"/>
      <c r="X108" s="723"/>
      <c r="Y108" s="723"/>
      <c r="Z108" s="720" t="s">
        <v>1367</v>
      </c>
      <c r="AA108" s="724" t="s">
        <v>304</v>
      </c>
    </row>
    <row r="109" spans="1:27" s="725" customFormat="1" x14ac:dyDescent="0.25">
      <c r="A109" s="718" t="s">
        <v>454</v>
      </c>
      <c r="B109" s="719"/>
      <c r="C109" s="720" t="s">
        <v>1703</v>
      </c>
      <c r="D109" s="720" t="s">
        <v>1114</v>
      </c>
      <c r="E109" s="720" t="s">
        <v>1386</v>
      </c>
      <c r="F109" s="721" t="s">
        <v>53</v>
      </c>
      <c r="G109" s="720" t="s">
        <v>47</v>
      </c>
      <c r="H109" s="721" t="s">
        <v>1366</v>
      </c>
      <c r="I109" s="722">
        <v>3680</v>
      </c>
      <c r="J109" s="722">
        <v>4600</v>
      </c>
      <c r="K109" s="722">
        <v>4600</v>
      </c>
      <c r="L109" s="722">
        <v>5825</v>
      </c>
      <c r="M109" s="720"/>
      <c r="N109" s="720"/>
      <c r="O109" s="720"/>
      <c r="P109" s="720"/>
      <c r="Q109" s="720"/>
      <c r="R109" s="720"/>
      <c r="S109" s="720"/>
      <c r="T109" s="720"/>
      <c r="U109" s="720"/>
      <c r="V109" s="720"/>
      <c r="W109" s="720"/>
      <c r="X109" s="723"/>
      <c r="Y109" s="723"/>
      <c r="Z109" s="720" t="s">
        <v>1367</v>
      </c>
      <c r="AA109" s="724" t="s">
        <v>304</v>
      </c>
    </row>
    <row r="110" spans="1:27" s="725" customFormat="1" x14ac:dyDescent="0.25">
      <c r="A110" s="718" t="s">
        <v>454</v>
      </c>
      <c r="B110" s="719"/>
      <c r="C110" s="720" t="s">
        <v>1704</v>
      </c>
      <c r="D110" s="720" t="s">
        <v>1114</v>
      </c>
      <c r="E110" s="720" t="s">
        <v>1386</v>
      </c>
      <c r="F110" s="721" t="s">
        <v>53</v>
      </c>
      <c r="G110" s="720" t="s">
        <v>47</v>
      </c>
      <c r="H110" s="721" t="s">
        <v>1366</v>
      </c>
      <c r="I110" s="722">
        <v>3720</v>
      </c>
      <c r="J110" s="722">
        <v>4650</v>
      </c>
      <c r="K110" s="722">
        <v>4650</v>
      </c>
      <c r="L110" s="722">
        <v>5885</v>
      </c>
      <c r="M110" s="720"/>
      <c r="N110" s="720"/>
      <c r="O110" s="720"/>
      <c r="P110" s="720"/>
      <c r="Q110" s="720"/>
      <c r="R110" s="720"/>
      <c r="S110" s="720"/>
      <c r="T110" s="720"/>
      <c r="U110" s="720"/>
      <c r="V110" s="720"/>
      <c r="W110" s="720"/>
      <c r="X110" s="723"/>
      <c r="Y110" s="723"/>
      <c r="Z110" s="720" t="s">
        <v>1367</v>
      </c>
      <c r="AA110" s="724" t="s">
        <v>304</v>
      </c>
    </row>
    <row r="111" spans="1:27" s="725" customFormat="1" x14ac:dyDescent="0.25">
      <c r="A111" s="718" t="s">
        <v>454</v>
      </c>
      <c r="B111" s="719"/>
      <c r="C111" s="720" t="s">
        <v>1705</v>
      </c>
      <c r="D111" s="720" t="s">
        <v>1114</v>
      </c>
      <c r="E111" s="720" t="s">
        <v>1386</v>
      </c>
      <c r="F111" s="721" t="s">
        <v>53</v>
      </c>
      <c r="G111" s="720" t="s">
        <v>47</v>
      </c>
      <c r="H111" s="721" t="s">
        <v>1366</v>
      </c>
      <c r="I111" s="722">
        <v>3720</v>
      </c>
      <c r="J111" s="722">
        <v>4650</v>
      </c>
      <c r="K111" s="722">
        <v>4650</v>
      </c>
      <c r="L111" s="722">
        <v>5885</v>
      </c>
      <c r="M111" s="720"/>
      <c r="N111" s="720"/>
      <c r="O111" s="720"/>
      <c r="P111" s="720"/>
      <c r="Q111" s="720"/>
      <c r="R111" s="720"/>
      <c r="S111" s="720"/>
      <c r="T111" s="720"/>
      <c r="U111" s="720"/>
      <c r="V111" s="720"/>
      <c r="W111" s="720"/>
      <c r="X111" s="723"/>
      <c r="Y111" s="723"/>
      <c r="Z111" s="720" t="s">
        <v>1367</v>
      </c>
      <c r="AA111" s="724" t="s">
        <v>304</v>
      </c>
    </row>
    <row r="112" spans="1:27" s="725" customFormat="1" x14ac:dyDescent="0.25">
      <c r="A112" s="718" t="s">
        <v>454</v>
      </c>
      <c r="B112" s="719"/>
      <c r="C112" s="720" t="s">
        <v>1692</v>
      </c>
      <c r="D112" s="720" t="s">
        <v>1114</v>
      </c>
      <c r="E112" s="720" t="s">
        <v>1384</v>
      </c>
      <c r="F112" s="721" t="s">
        <v>53</v>
      </c>
      <c r="G112" s="720" t="s">
        <v>47</v>
      </c>
      <c r="H112" s="721" t="s">
        <v>1366</v>
      </c>
      <c r="I112" s="722">
        <v>3720</v>
      </c>
      <c r="J112" s="722">
        <v>4650</v>
      </c>
      <c r="K112" s="722">
        <v>4650</v>
      </c>
      <c r="L112" s="722">
        <v>5885</v>
      </c>
      <c r="M112" s="720"/>
      <c r="N112" s="720"/>
      <c r="O112" s="720"/>
      <c r="P112" s="720"/>
      <c r="Q112" s="720"/>
      <c r="R112" s="720"/>
      <c r="S112" s="720"/>
      <c r="T112" s="720"/>
      <c r="U112" s="720"/>
      <c r="V112" s="720"/>
      <c r="W112" s="720"/>
      <c r="X112" s="723"/>
      <c r="Y112" s="723"/>
      <c r="Z112" s="720" t="s">
        <v>1367</v>
      </c>
      <c r="AA112" s="724" t="s">
        <v>304</v>
      </c>
    </row>
    <row r="113" spans="1:27" s="725" customFormat="1" x14ac:dyDescent="0.25">
      <c r="A113" s="718" t="s">
        <v>454</v>
      </c>
      <c r="B113" s="719"/>
      <c r="C113" s="720" t="s">
        <v>1693</v>
      </c>
      <c r="D113" s="720" t="s">
        <v>1114</v>
      </c>
      <c r="E113" s="720" t="s">
        <v>1384</v>
      </c>
      <c r="F113" s="721" t="s">
        <v>53</v>
      </c>
      <c r="G113" s="720" t="s">
        <v>47</v>
      </c>
      <c r="H113" s="721" t="s">
        <v>1366</v>
      </c>
      <c r="I113" s="722">
        <v>3745</v>
      </c>
      <c r="J113" s="722">
        <v>4680</v>
      </c>
      <c r="K113" s="722">
        <v>4680</v>
      </c>
      <c r="L113" s="722">
        <v>5925</v>
      </c>
      <c r="M113" s="720"/>
      <c r="N113" s="720"/>
      <c r="O113" s="720"/>
      <c r="P113" s="720"/>
      <c r="Q113" s="720"/>
      <c r="R113" s="720"/>
      <c r="S113" s="720"/>
      <c r="T113" s="720"/>
      <c r="U113" s="720"/>
      <c r="V113" s="720"/>
      <c r="W113" s="720"/>
      <c r="X113" s="723"/>
      <c r="Y113" s="723"/>
      <c r="Z113" s="720" t="s">
        <v>1367</v>
      </c>
      <c r="AA113" s="724" t="s">
        <v>304</v>
      </c>
    </row>
    <row r="114" spans="1:27" s="725" customFormat="1" x14ac:dyDescent="0.25">
      <c r="A114" s="718" t="s">
        <v>454</v>
      </c>
      <c r="B114" s="719"/>
      <c r="C114" s="720" t="s">
        <v>1684</v>
      </c>
      <c r="D114" s="720" t="s">
        <v>1114</v>
      </c>
      <c r="E114" s="720" t="s">
        <v>1384</v>
      </c>
      <c r="F114" s="721" t="s">
        <v>53</v>
      </c>
      <c r="G114" s="720" t="s">
        <v>47</v>
      </c>
      <c r="H114" s="721" t="s">
        <v>1366</v>
      </c>
      <c r="I114" s="722">
        <v>3670</v>
      </c>
      <c r="J114" s="722">
        <v>4590</v>
      </c>
      <c r="K114" s="722">
        <v>4590</v>
      </c>
      <c r="L114" s="722">
        <v>5810</v>
      </c>
      <c r="M114" s="720" t="s">
        <v>52</v>
      </c>
      <c r="N114" s="720"/>
      <c r="O114" s="720"/>
      <c r="P114" s="720"/>
      <c r="Q114" s="720"/>
      <c r="R114" s="720"/>
      <c r="S114" s="720"/>
      <c r="T114" s="720"/>
      <c r="U114" s="720"/>
      <c r="V114" s="720"/>
      <c r="W114" s="720"/>
      <c r="X114" s="723"/>
      <c r="Y114" s="723"/>
      <c r="Z114" s="720" t="s">
        <v>1367</v>
      </c>
      <c r="AA114" s="724" t="s">
        <v>304</v>
      </c>
    </row>
    <row r="115" spans="1:27" s="725" customFormat="1" x14ac:dyDescent="0.25">
      <c r="A115" s="718" t="s">
        <v>454</v>
      </c>
      <c r="B115" s="719"/>
      <c r="C115" s="720" t="s">
        <v>1694</v>
      </c>
      <c r="D115" s="720" t="s">
        <v>1114</v>
      </c>
      <c r="E115" s="720" t="s">
        <v>1384</v>
      </c>
      <c r="F115" s="721" t="s">
        <v>53</v>
      </c>
      <c r="G115" s="720" t="s">
        <v>47</v>
      </c>
      <c r="H115" s="721" t="s">
        <v>1366</v>
      </c>
      <c r="I115" s="722">
        <v>3720</v>
      </c>
      <c r="J115" s="722">
        <v>4650</v>
      </c>
      <c r="K115" s="722">
        <v>4650</v>
      </c>
      <c r="L115" s="722">
        <v>5885</v>
      </c>
      <c r="M115" s="720"/>
      <c r="N115" s="720"/>
      <c r="O115" s="720"/>
      <c r="P115" s="720"/>
      <c r="Q115" s="720"/>
      <c r="R115" s="720"/>
      <c r="S115" s="720"/>
      <c r="T115" s="720"/>
      <c r="U115" s="720"/>
      <c r="V115" s="720"/>
      <c r="W115" s="720"/>
      <c r="X115" s="723"/>
      <c r="Y115" s="723"/>
      <c r="Z115" s="720" t="s">
        <v>1367</v>
      </c>
      <c r="AA115" s="724" t="s">
        <v>304</v>
      </c>
    </row>
    <row r="116" spans="1:27" s="725" customFormat="1" x14ac:dyDescent="0.25">
      <c r="A116" s="718" t="s">
        <v>454</v>
      </c>
      <c r="B116" s="719"/>
      <c r="C116" s="720" t="s">
        <v>1695</v>
      </c>
      <c r="D116" s="720" t="s">
        <v>1114</v>
      </c>
      <c r="E116" s="720" t="s">
        <v>1384</v>
      </c>
      <c r="F116" s="721" t="s">
        <v>53</v>
      </c>
      <c r="G116" s="720" t="s">
        <v>47</v>
      </c>
      <c r="H116" s="721" t="s">
        <v>1366</v>
      </c>
      <c r="I116" s="722">
        <v>3760</v>
      </c>
      <c r="J116" s="722">
        <v>4700</v>
      </c>
      <c r="K116" s="722">
        <v>4700</v>
      </c>
      <c r="L116" s="722">
        <v>5950</v>
      </c>
      <c r="M116" s="720"/>
      <c r="N116" s="720"/>
      <c r="O116" s="720"/>
      <c r="P116" s="720"/>
      <c r="Q116" s="720"/>
      <c r="R116" s="720"/>
      <c r="S116" s="720"/>
      <c r="T116" s="720"/>
      <c r="U116" s="720"/>
      <c r="V116" s="720"/>
      <c r="W116" s="720"/>
      <c r="X116" s="723"/>
      <c r="Y116" s="723"/>
      <c r="Z116" s="720" t="s">
        <v>1367</v>
      </c>
      <c r="AA116" s="724" t="s">
        <v>304</v>
      </c>
    </row>
    <row r="117" spans="1:27" s="725" customFormat="1" x14ac:dyDescent="0.25">
      <c r="A117" s="718" t="s">
        <v>454</v>
      </c>
      <c r="B117" s="719" t="s">
        <v>1687</v>
      </c>
      <c r="C117" s="720" t="s">
        <v>1684</v>
      </c>
      <c r="D117" s="720" t="s">
        <v>1114</v>
      </c>
      <c r="E117" s="720" t="s">
        <v>1384</v>
      </c>
      <c r="F117" s="721" t="s">
        <v>127</v>
      </c>
      <c r="G117" s="720" t="s">
        <v>47</v>
      </c>
      <c r="H117" s="721" t="s">
        <v>1366</v>
      </c>
      <c r="I117" s="722">
        <v>3910</v>
      </c>
      <c r="J117" s="722">
        <v>4890</v>
      </c>
      <c r="K117" s="722">
        <v>4890</v>
      </c>
      <c r="L117" s="722">
        <v>6190</v>
      </c>
      <c r="M117" s="720" t="s">
        <v>52</v>
      </c>
      <c r="N117" s="720"/>
      <c r="O117" s="720"/>
      <c r="P117" s="720"/>
      <c r="Q117" s="720"/>
      <c r="R117" s="720"/>
      <c r="S117" s="720"/>
      <c r="T117" s="720"/>
      <c r="U117" s="720"/>
      <c r="V117" s="720"/>
      <c r="W117" s="720"/>
      <c r="X117" s="723"/>
      <c r="Y117" s="723"/>
      <c r="Z117" s="720" t="s">
        <v>1367</v>
      </c>
      <c r="AA117" s="724" t="s">
        <v>304</v>
      </c>
    </row>
    <row r="118" spans="1:27" s="725" customFormat="1" x14ac:dyDescent="0.25">
      <c r="A118" s="718" t="s">
        <v>454</v>
      </c>
      <c r="B118" s="719"/>
      <c r="C118" s="720" t="s">
        <v>1696</v>
      </c>
      <c r="D118" s="720" t="s">
        <v>1114</v>
      </c>
      <c r="E118" s="720" t="s">
        <v>1384</v>
      </c>
      <c r="F118" s="721" t="s">
        <v>53</v>
      </c>
      <c r="G118" s="720" t="s">
        <v>47</v>
      </c>
      <c r="H118" s="721" t="s">
        <v>1366</v>
      </c>
      <c r="I118" s="722">
        <v>3720</v>
      </c>
      <c r="J118" s="722">
        <v>4650</v>
      </c>
      <c r="K118" s="722">
        <v>4650</v>
      </c>
      <c r="L118" s="722">
        <v>5885</v>
      </c>
      <c r="M118" s="720"/>
      <c r="N118" s="720"/>
      <c r="O118" s="720"/>
      <c r="P118" s="720"/>
      <c r="Q118" s="720"/>
      <c r="R118" s="720"/>
      <c r="S118" s="720"/>
      <c r="T118" s="720"/>
      <c r="U118" s="720"/>
      <c r="V118" s="720"/>
      <c r="W118" s="720"/>
      <c r="X118" s="723"/>
      <c r="Y118" s="723"/>
      <c r="Z118" s="720" t="s">
        <v>1367</v>
      </c>
      <c r="AA118" s="724" t="s">
        <v>304</v>
      </c>
    </row>
    <row r="119" spans="1:27" s="725" customFormat="1" x14ac:dyDescent="0.25">
      <c r="A119" s="718" t="s">
        <v>454</v>
      </c>
      <c r="B119" s="719"/>
      <c r="C119" s="720" t="s">
        <v>1697</v>
      </c>
      <c r="D119" s="720" t="s">
        <v>1114</v>
      </c>
      <c r="E119" s="720" t="s">
        <v>1384</v>
      </c>
      <c r="F119" s="721" t="s">
        <v>53</v>
      </c>
      <c r="G119" s="720" t="s">
        <v>47</v>
      </c>
      <c r="H119" s="721" t="s">
        <v>1366</v>
      </c>
      <c r="I119" s="722">
        <v>3680</v>
      </c>
      <c r="J119" s="722">
        <v>4600</v>
      </c>
      <c r="K119" s="722">
        <v>4600</v>
      </c>
      <c r="L119" s="722">
        <v>5825</v>
      </c>
      <c r="M119" s="720"/>
      <c r="N119" s="720"/>
      <c r="O119" s="720"/>
      <c r="P119" s="720"/>
      <c r="Q119" s="720"/>
      <c r="R119" s="720"/>
      <c r="S119" s="720"/>
      <c r="T119" s="720"/>
      <c r="U119" s="720"/>
      <c r="V119" s="720"/>
      <c r="W119" s="720"/>
      <c r="X119" s="723"/>
      <c r="Y119" s="723"/>
      <c r="Z119" s="720" t="s">
        <v>1367</v>
      </c>
      <c r="AA119" s="724" t="s">
        <v>304</v>
      </c>
    </row>
    <row r="120" spans="1:27" s="725" customFormat="1" x14ac:dyDescent="0.25">
      <c r="A120" s="718" t="s">
        <v>454</v>
      </c>
      <c r="B120" s="719"/>
      <c r="C120" s="720" t="s">
        <v>1698</v>
      </c>
      <c r="D120" s="720" t="s">
        <v>1114</v>
      </c>
      <c r="E120" s="720" t="s">
        <v>1384</v>
      </c>
      <c r="F120" s="721" t="s">
        <v>53</v>
      </c>
      <c r="G120" s="720" t="s">
        <v>47</v>
      </c>
      <c r="H120" s="721" t="s">
        <v>1366</v>
      </c>
      <c r="I120" s="722">
        <v>3600</v>
      </c>
      <c r="J120" s="722">
        <v>4500</v>
      </c>
      <c r="K120" s="722">
        <v>4500</v>
      </c>
      <c r="L120" s="722">
        <v>5695</v>
      </c>
      <c r="M120" s="720"/>
      <c r="N120" s="720"/>
      <c r="O120" s="720"/>
      <c r="P120" s="720"/>
      <c r="Q120" s="720"/>
      <c r="R120" s="720"/>
      <c r="S120" s="720"/>
      <c r="T120" s="720"/>
      <c r="U120" s="720"/>
      <c r="V120" s="720"/>
      <c r="W120" s="720"/>
      <c r="X120" s="723"/>
      <c r="Y120" s="723"/>
      <c r="Z120" s="720" t="s">
        <v>1367</v>
      </c>
      <c r="AA120" s="724" t="s">
        <v>304</v>
      </c>
    </row>
    <row r="121" spans="1:27" s="725" customFormat="1" x14ac:dyDescent="0.25">
      <c r="A121" s="718" t="s">
        <v>454</v>
      </c>
      <c r="B121" s="719"/>
      <c r="C121" s="720" t="s">
        <v>1699</v>
      </c>
      <c r="D121" s="720" t="s">
        <v>1114</v>
      </c>
      <c r="E121" s="720" t="s">
        <v>1384</v>
      </c>
      <c r="F121" s="721" t="s">
        <v>53</v>
      </c>
      <c r="G121" s="720" t="s">
        <v>47</v>
      </c>
      <c r="H121" s="721" t="s">
        <v>1366</v>
      </c>
      <c r="I121" s="722">
        <v>3720</v>
      </c>
      <c r="J121" s="722">
        <v>4650</v>
      </c>
      <c r="K121" s="722">
        <v>4650</v>
      </c>
      <c r="L121" s="722">
        <v>5885</v>
      </c>
      <c r="M121" s="720"/>
      <c r="N121" s="720"/>
      <c r="O121" s="720"/>
      <c r="P121" s="720"/>
      <c r="Q121" s="720"/>
      <c r="R121" s="720"/>
      <c r="S121" s="720"/>
      <c r="T121" s="720"/>
      <c r="U121" s="720"/>
      <c r="V121" s="720"/>
      <c r="W121" s="720"/>
      <c r="X121" s="723"/>
      <c r="Y121" s="723"/>
      <c r="Z121" s="720" t="s">
        <v>1367</v>
      </c>
      <c r="AA121" s="724" t="s">
        <v>304</v>
      </c>
    </row>
    <row r="122" spans="1:27" s="725" customFormat="1" x14ac:dyDescent="0.25">
      <c r="A122" s="718" t="s">
        <v>454</v>
      </c>
      <c r="B122" s="719"/>
      <c r="C122" s="720" t="s">
        <v>1700</v>
      </c>
      <c r="D122" s="720" t="s">
        <v>1114</v>
      </c>
      <c r="E122" s="720" t="s">
        <v>1384</v>
      </c>
      <c r="F122" s="721" t="s">
        <v>53</v>
      </c>
      <c r="G122" s="720" t="s">
        <v>47</v>
      </c>
      <c r="H122" s="721" t="s">
        <v>1366</v>
      </c>
      <c r="I122" s="722">
        <v>3520</v>
      </c>
      <c r="J122" s="722">
        <v>4400</v>
      </c>
      <c r="K122" s="722">
        <v>4400</v>
      </c>
      <c r="L122" s="722">
        <v>5570</v>
      </c>
      <c r="M122" s="720"/>
      <c r="N122" s="720"/>
      <c r="O122" s="720"/>
      <c r="P122" s="720"/>
      <c r="Q122" s="720"/>
      <c r="R122" s="720"/>
      <c r="S122" s="720"/>
      <c r="T122" s="720"/>
      <c r="U122" s="720"/>
      <c r="V122" s="720"/>
      <c r="W122" s="720"/>
      <c r="X122" s="723"/>
      <c r="Y122" s="723"/>
      <c r="Z122" s="720" t="s">
        <v>1367</v>
      </c>
      <c r="AA122" s="724" t="s">
        <v>304</v>
      </c>
    </row>
    <row r="123" spans="1:27" s="725" customFormat="1" x14ac:dyDescent="0.25">
      <c r="A123" s="718" t="s">
        <v>454</v>
      </c>
      <c r="B123" s="719"/>
      <c r="C123" s="720" t="s">
        <v>1701</v>
      </c>
      <c r="D123" s="720" t="s">
        <v>1114</v>
      </c>
      <c r="E123" s="720" t="s">
        <v>1384</v>
      </c>
      <c r="F123" s="721" t="s">
        <v>53</v>
      </c>
      <c r="G123" s="720" t="s">
        <v>47</v>
      </c>
      <c r="H123" s="721" t="s">
        <v>1366</v>
      </c>
      <c r="I123" s="722">
        <v>3680</v>
      </c>
      <c r="J123" s="722">
        <v>4600</v>
      </c>
      <c r="K123" s="722">
        <v>4600</v>
      </c>
      <c r="L123" s="722">
        <v>5825</v>
      </c>
      <c r="M123" s="720"/>
      <c r="N123" s="720"/>
      <c r="O123" s="720"/>
      <c r="P123" s="720"/>
      <c r="Q123" s="720"/>
      <c r="R123" s="720"/>
      <c r="S123" s="720"/>
      <c r="T123" s="720"/>
      <c r="U123" s="720"/>
      <c r="V123" s="720"/>
      <c r="W123" s="720"/>
      <c r="X123" s="723"/>
      <c r="Y123" s="723"/>
      <c r="Z123" s="720" t="s">
        <v>1367</v>
      </c>
      <c r="AA123" s="724" t="s">
        <v>304</v>
      </c>
    </row>
    <row r="124" spans="1:27" s="725" customFormat="1" x14ac:dyDescent="0.25">
      <c r="A124" s="718" t="s">
        <v>454</v>
      </c>
      <c r="B124" s="719"/>
      <c r="C124" s="720" t="s">
        <v>1702</v>
      </c>
      <c r="D124" s="720" t="s">
        <v>1114</v>
      </c>
      <c r="E124" s="720" t="s">
        <v>1384</v>
      </c>
      <c r="F124" s="721" t="s">
        <v>53</v>
      </c>
      <c r="G124" s="720" t="s">
        <v>47</v>
      </c>
      <c r="H124" s="721" t="s">
        <v>1366</v>
      </c>
      <c r="I124" s="722">
        <v>3680</v>
      </c>
      <c r="J124" s="722">
        <v>4600</v>
      </c>
      <c r="K124" s="722">
        <v>4600</v>
      </c>
      <c r="L124" s="722">
        <v>5825</v>
      </c>
      <c r="M124" s="720"/>
      <c r="N124" s="720"/>
      <c r="O124" s="720"/>
      <c r="P124" s="720"/>
      <c r="Q124" s="720"/>
      <c r="R124" s="720"/>
      <c r="S124" s="720"/>
      <c r="T124" s="720"/>
      <c r="U124" s="720"/>
      <c r="V124" s="720"/>
      <c r="W124" s="720"/>
      <c r="X124" s="723"/>
      <c r="Y124" s="723"/>
      <c r="Z124" s="720" t="s">
        <v>1367</v>
      </c>
      <c r="AA124" s="724" t="s">
        <v>304</v>
      </c>
    </row>
    <row r="125" spans="1:27" s="725" customFormat="1" x14ac:dyDescent="0.25">
      <c r="A125" s="718" t="s">
        <v>454</v>
      </c>
      <c r="B125" s="719"/>
      <c r="C125" s="720" t="s">
        <v>1703</v>
      </c>
      <c r="D125" s="720" t="s">
        <v>1114</v>
      </c>
      <c r="E125" s="720" t="s">
        <v>1384</v>
      </c>
      <c r="F125" s="721" t="s">
        <v>53</v>
      </c>
      <c r="G125" s="720" t="s">
        <v>47</v>
      </c>
      <c r="H125" s="721" t="s">
        <v>1366</v>
      </c>
      <c r="I125" s="722">
        <v>3680</v>
      </c>
      <c r="J125" s="722">
        <v>4600</v>
      </c>
      <c r="K125" s="722">
        <v>4600</v>
      </c>
      <c r="L125" s="722">
        <v>5825</v>
      </c>
      <c r="M125" s="720"/>
      <c r="N125" s="720"/>
      <c r="O125" s="720"/>
      <c r="P125" s="720"/>
      <c r="Q125" s="720"/>
      <c r="R125" s="720"/>
      <c r="S125" s="720"/>
      <c r="T125" s="720"/>
      <c r="U125" s="720"/>
      <c r="V125" s="720"/>
      <c r="W125" s="720"/>
      <c r="X125" s="723"/>
      <c r="Y125" s="723"/>
      <c r="Z125" s="720" t="s">
        <v>1367</v>
      </c>
      <c r="AA125" s="724" t="s">
        <v>304</v>
      </c>
    </row>
    <row r="126" spans="1:27" s="725" customFormat="1" x14ac:dyDescent="0.25">
      <c r="A126" s="718" t="s">
        <v>454</v>
      </c>
      <c r="B126" s="719"/>
      <c r="C126" s="720" t="s">
        <v>1704</v>
      </c>
      <c r="D126" s="720" t="s">
        <v>1114</v>
      </c>
      <c r="E126" s="720" t="s">
        <v>1384</v>
      </c>
      <c r="F126" s="721" t="s">
        <v>53</v>
      </c>
      <c r="G126" s="720" t="s">
        <v>47</v>
      </c>
      <c r="H126" s="721" t="s">
        <v>1366</v>
      </c>
      <c r="I126" s="722">
        <v>3720</v>
      </c>
      <c r="J126" s="722">
        <v>4650</v>
      </c>
      <c r="K126" s="722">
        <v>4650</v>
      </c>
      <c r="L126" s="722">
        <v>5885</v>
      </c>
      <c r="M126" s="720"/>
      <c r="N126" s="720"/>
      <c r="O126" s="720"/>
      <c r="P126" s="720"/>
      <c r="Q126" s="720"/>
      <c r="R126" s="720"/>
      <c r="S126" s="720"/>
      <c r="T126" s="720"/>
      <c r="U126" s="720"/>
      <c r="V126" s="720"/>
      <c r="W126" s="720"/>
      <c r="X126" s="723"/>
      <c r="Y126" s="723"/>
      <c r="Z126" s="720" t="s">
        <v>1367</v>
      </c>
      <c r="AA126" s="724" t="s">
        <v>304</v>
      </c>
    </row>
    <row r="127" spans="1:27" s="725" customFormat="1" x14ac:dyDescent="0.25">
      <c r="A127" s="718" t="s">
        <v>454</v>
      </c>
      <c r="B127" s="719"/>
      <c r="C127" s="720" t="s">
        <v>1705</v>
      </c>
      <c r="D127" s="720" t="s">
        <v>1114</v>
      </c>
      <c r="E127" s="720" t="s">
        <v>1384</v>
      </c>
      <c r="F127" s="721" t="s">
        <v>53</v>
      </c>
      <c r="G127" s="720" t="s">
        <v>47</v>
      </c>
      <c r="H127" s="721" t="s">
        <v>1366</v>
      </c>
      <c r="I127" s="722">
        <v>3720</v>
      </c>
      <c r="J127" s="722">
        <v>4650</v>
      </c>
      <c r="K127" s="722">
        <v>4650</v>
      </c>
      <c r="L127" s="722">
        <v>5885</v>
      </c>
      <c r="M127" s="720"/>
      <c r="N127" s="720"/>
      <c r="O127" s="720"/>
      <c r="P127" s="720"/>
      <c r="Q127" s="720"/>
      <c r="R127" s="720"/>
      <c r="S127" s="720"/>
      <c r="T127" s="720"/>
      <c r="U127" s="720"/>
      <c r="V127" s="720"/>
      <c r="W127" s="720"/>
      <c r="X127" s="723"/>
      <c r="Y127" s="723"/>
      <c r="Z127" s="720" t="s">
        <v>1367</v>
      </c>
      <c r="AA127" s="724" t="s">
        <v>304</v>
      </c>
    </row>
    <row r="128" spans="1:27" s="725" customFormat="1" x14ac:dyDescent="0.25">
      <c r="A128" s="718" t="s">
        <v>454</v>
      </c>
      <c r="B128" s="719"/>
      <c r="C128" s="720" t="s">
        <v>1684</v>
      </c>
      <c r="D128" s="720" t="s">
        <v>1114</v>
      </c>
      <c r="E128" s="720" t="s">
        <v>1373</v>
      </c>
      <c r="F128" s="721" t="s">
        <v>53</v>
      </c>
      <c r="G128" s="720" t="s">
        <v>47</v>
      </c>
      <c r="H128" s="721" t="s">
        <v>1366</v>
      </c>
      <c r="I128" s="722">
        <v>3280</v>
      </c>
      <c r="J128" s="722">
        <v>4100</v>
      </c>
      <c r="K128" s="722">
        <v>4100</v>
      </c>
      <c r="L128" s="722">
        <v>5190</v>
      </c>
      <c r="M128" s="720" t="s">
        <v>52</v>
      </c>
      <c r="N128" s="720"/>
      <c r="O128" s="720"/>
      <c r="P128" s="720"/>
      <c r="Q128" s="720"/>
      <c r="R128" s="720"/>
      <c r="S128" s="720"/>
      <c r="T128" s="720"/>
      <c r="U128" s="720"/>
      <c r="V128" s="720"/>
      <c r="W128" s="720"/>
      <c r="X128" s="723"/>
      <c r="Y128" s="723"/>
      <c r="Z128" s="720" t="s">
        <v>1367</v>
      </c>
      <c r="AA128" s="724" t="s">
        <v>304</v>
      </c>
    </row>
    <row r="129" spans="1:27" s="725" customFormat="1" x14ac:dyDescent="0.25">
      <c r="A129" s="718" t="s">
        <v>454</v>
      </c>
      <c r="B129" s="719"/>
      <c r="C129" s="720" t="s">
        <v>1684</v>
      </c>
      <c r="D129" s="720" t="s">
        <v>1114</v>
      </c>
      <c r="E129" s="720" t="s">
        <v>1379</v>
      </c>
      <c r="F129" s="721" t="s">
        <v>53</v>
      </c>
      <c r="G129" s="720" t="s">
        <v>47</v>
      </c>
      <c r="H129" s="721" t="s">
        <v>1366</v>
      </c>
      <c r="I129" s="722">
        <v>3280</v>
      </c>
      <c r="J129" s="722">
        <v>4100</v>
      </c>
      <c r="K129" s="722">
        <v>4100</v>
      </c>
      <c r="L129" s="722">
        <v>5190</v>
      </c>
      <c r="M129" s="720" t="s">
        <v>52</v>
      </c>
      <c r="N129" s="720"/>
      <c r="O129" s="720"/>
      <c r="P129" s="720"/>
      <c r="Q129" s="720"/>
      <c r="R129" s="720"/>
      <c r="S129" s="720"/>
      <c r="T129" s="720"/>
      <c r="U129" s="720"/>
      <c r="V129" s="720"/>
      <c r="W129" s="720"/>
      <c r="X129" s="723"/>
      <c r="Y129" s="723"/>
      <c r="Z129" s="720" t="s">
        <v>1367</v>
      </c>
      <c r="AA129" s="724" t="s">
        <v>304</v>
      </c>
    </row>
    <row r="130" spans="1:27" s="725" customFormat="1" x14ac:dyDescent="0.25">
      <c r="A130" s="718" t="s">
        <v>454</v>
      </c>
      <c r="B130" s="719"/>
      <c r="C130" s="720" t="s">
        <v>1684</v>
      </c>
      <c r="D130" s="720" t="s">
        <v>1114</v>
      </c>
      <c r="E130" s="720" t="s">
        <v>1382</v>
      </c>
      <c r="F130" s="721" t="s">
        <v>53</v>
      </c>
      <c r="G130" s="720" t="s">
        <v>47</v>
      </c>
      <c r="H130" s="721" t="s">
        <v>1366</v>
      </c>
      <c r="I130" s="722">
        <v>3680</v>
      </c>
      <c r="J130" s="722">
        <v>4600</v>
      </c>
      <c r="K130" s="722">
        <v>4600</v>
      </c>
      <c r="L130" s="722">
        <v>5825</v>
      </c>
      <c r="M130" s="720" t="s">
        <v>52</v>
      </c>
      <c r="N130" s="720"/>
      <c r="O130" s="720"/>
      <c r="P130" s="720"/>
      <c r="Q130" s="720"/>
      <c r="R130" s="720"/>
      <c r="S130" s="720"/>
      <c r="T130" s="720"/>
      <c r="U130" s="720"/>
      <c r="V130" s="720"/>
      <c r="W130" s="720"/>
      <c r="X130" s="723"/>
      <c r="Y130" s="723"/>
      <c r="Z130" s="720" t="s">
        <v>1367</v>
      </c>
      <c r="AA130" s="724" t="s">
        <v>304</v>
      </c>
    </row>
    <row r="131" spans="1:27" s="725" customFormat="1" x14ac:dyDescent="0.25">
      <c r="A131" s="718" t="s">
        <v>454</v>
      </c>
      <c r="B131" s="719" t="s">
        <v>1687</v>
      </c>
      <c r="C131" s="720" t="s">
        <v>1684</v>
      </c>
      <c r="D131" s="720" t="s">
        <v>1114</v>
      </c>
      <c r="E131" s="720" t="s">
        <v>1373</v>
      </c>
      <c r="F131" s="721" t="s">
        <v>127</v>
      </c>
      <c r="G131" s="720" t="s">
        <v>47</v>
      </c>
      <c r="H131" s="721" t="s">
        <v>1366</v>
      </c>
      <c r="I131" s="722">
        <v>3520</v>
      </c>
      <c r="J131" s="722">
        <v>4400</v>
      </c>
      <c r="K131" s="722">
        <v>4400</v>
      </c>
      <c r="L131" s="722">
        <v>5570</v>
      </c>
      <c r="M131" s="720" t="s">
        <v>52</v>
      </c>
      <c r="N131" s="720"/>
      <c r="O131" s="720"/>
      <c r="P131" s="720"/>
      <c r="Q131" s="720"/>
      <c r="R131" s="720"/>
      <c r="S131" s="720"/>
      <c r="T131" s="720"/>
      <c r="U131" s="720"/>
      <c r="V131" s="720"/>
      <c r="W131" s="720"/>
      <c r="X131" s="723"/>
      <c r="Y131" s="723"/>
      <c r="Z131" s="720" t="s">
        <v>1367</v>
      </c>
      <c r="AA131" s="724" t="s">
        <v>304</v>
      </c>
    </row>
    <row r="132" spans="1:27" s="725" customFormat="1" x14ac:dyDescent="0.25">
      <c r="A132" s="718" t="s">
        <v>454</v>
      </c>
      <c r="B132" s="719" t="s">
        <v>1687</v>
      </c>
      <c r="C132" s="720" t="s">
        <v>1684</v>
      </c>
      <c r="D132" s="720" t="s">
        <v>1114</v>
      </c>
      <c r="E132" s="720" t="s">
        <v>1379</v>
      </c>
      <c r="F132" s="721" t="s">
        <v>127</v>
      </c>
      <c r="G132" s="720" t="s">
        <v>47</v>
      </c>
      <c r="H132" s="721" t="s">
        <v>1366</v>
      </c>
      <c r="I132" s="722">
        <v>3520</v>
      </c>
      <c r="J132" s="722">
        <v>4400</v>
      </c>
      <c r="K132" s="722">
        <v>4400</v>
      </c>
      <c r="L132" s="722">
        <v>5570</v>
      </c>
      <c r="M132" s="720" t="s">
        <v>52</v>
      </c>
      <c r="N132" s="720"/>
      <c r="O132" s="720"/>
      <c r="P132" s="720"/>
      <c r="Q132" s="720"/>
      <c r="R132" s="720"/>
      <c r="S132" s="720"/>
      <c r="T132" s="720"/>
      <c r="U132" s="720"/>
      <c r="V132" s="720"/>
      <c r="W132" s="720"/>
      <c r="X132" s="723"/>
      <c r="Y132" s="723"/>
      <c r="Z132" s="720" t="s">
        <v>1367</v>
      </c>
      <c r="AA132" s="724" t="s">
        <v>304</v>
      </c>
    </row>
    <row r="133" spans="1:27" s="725" customFormat="1" x14ac:dyDescent="0.25">
      <c r="A133" s="718" t="s">
        <v>454</v>
      </c>
      <c r="B133" s="719" t="s">
        <v>1687</v>
      </c>
      <c r="C133" s="720" t="s">
        <v>1684</v>
      </c>
      <c r="D133" s="720" t="s">
        <v>1114</v>
      </c>
      <c r="E133" s="720" t="s">
        <v>1382</v>
      </c>
      <c r="F133" s="721" t="s">
        <v>127</v>
      </c>
      <c r="G133" s="720" t="s">
        <v>47</v>
      </c>
      <c r="H133" s="721" t="s">
        <v>1366</v>
      </c>
      <c r="I133" s="722">
        <v>3920</v>
      </c>
      <c r="J133" s="722">
        <v>4900</v>
      </c>
      <c r="K133" s="722">
        <v>4900</v>
      </c>
      <c r="L133" s="722">
        <v>6205</v>
      </c>
      <c r="M133" s="720" t="s">
        <v>52</v>
      </c>
      <c r="N133" s="720"/>
      <c r="O133" s="720"/>
      <c r="P133" s="720"/>
      <c r="Q133" s="720"/>
      <c r="R133" s="720"/>
      <c r="S133" s="720"/>
      <c r="T133" s="720"/>
      <c r="U133" s="720"/>
      <c r="V133" s="720"/>
      <c r="W133" s="720"/>
      <c r="X133" s="723"/>
      <c r="Y133" s="723"/>
      <c r="Z133" s="720" t="s">
        <v>1367</v>
      </c>
      <c r="AA133" s="724" t="s">
        <v>304</v>
      </c>
    </row>
    <row r="134" spans="1:27" s="725" customFormat="1" x14ac:dyDescent="0.25">
      <c r="A134" s="718" t="s">
        <v>454</v>
      </c>
      <c r="B134" s="719"/>
      <c r="C134" s="720" t="s">
        <v>1692</v>
      </c>
      <c r="D134" s="720" t="s">
        <v>1393</v>
      </c>
      <c r="E134" s="720"/>
      <c r="F134" s="721" t="s">
        <v>51</v>
      </c>
      <c r="G134" s="720" t="s">
        <v>47</v>
      </c>
      <c r="H134" s="721" t="s">
        <v>1366</v>
      </c>
      <c r="I134" s="722">
        <v>1760</v>
      </c>
      <c r="J134" s="722">
        <v>2200</v>
      </c>
      <c r="K134" s="722">
        <v>2200</v>
      </c>
      <c r="L134" s="722">
        <v>2785</v>
      </c>
      <c r="M134" s="720"/>
      <c r="N134" s="720"/>
      <c r="O134" s="720"/>
      <c r="P134" s="720"/>
      <c r="Q134" s="720"/>
      <c r="R134" s="720"/>
      <c r="S134" s="720"/>
      <c r="T134" s="720"/>
      <c r="U134" s="720"/>
      <c r="V134" s="720"/>
      <c r="W134" s="720"/>
      <c r="X134" s="723"/>
      <c r="Y134" s="723"/>
      <c r="Z134" s="720" t="s">
        <v>1367</v>
      </c>
      <c r="AA134" s="724" t="s">
        <v>304</v>
      </c>
    </row>
    <row r="135" spans="1:27" s="725" customFormat="1" x14ac:dyDescent="0.25">
      <c r="A135" s="718" t="s">
        <v>454</v>
      </c>
      <c r="B135" s="719"/>
      <c r="C135" s="720" t="s">
        <v>1693</v>
      </c>
      <c r="D135" s="720" t="s">
        <v>1393</v>
      </c>
      <c r="E135" s="720"/>
      <c r="F135" s="721" t="s">
        <v>51</v>
      </c>
      <c r="G135" s="720" t="s">
        <v>47</v>
      </c>
      <c r="H135" s="721" t="s">
        <v>1366</v>
      </c>
      <c r="I135" s="722">
        <v>1520</v>
      </c>
      <c r="J135" s="722">
        <v>1900</v>
      </c>
      <c r="K135" s="722">
        <v>1900</v>
      </c>
      <c r="L135" s="722">
        <v>2405</v>
      </c>
      <c r="M135" s="720"/>
      <c r="N135" s="720"/>
      <c r="O135" s="720"/>
      <c r="P135" s="720"/>
      <c r="Q135" s="720"/>
      <c r="R135" s="720"/>
      <c r="S135" s="720"/>
      <c r="T135" s="720"/>
      <c r="U135" s="720"/>
      <c r="V135" s="720"/>
      <c r="W135" s="720"/>
      <c r="X135" s="723"/>
      <c r="Y135" s="723"/>
      <c r="Z135" s="720" t="s">
        <v>1367</v>
      </c>
      <c r="AA135" s="724" t="s">
        <v>304</v>
      </c>
    </row>
    <row r="136" spans="1:27" s="725" customFormat="1" x14ac:dyDescent="0.25">
      <c r="A136" s="718" t="s">
        <v>454</v>
      </c>
      <c r="B136" s="719"/>
      <c r="C136" s="720" t="s">
        <v>1684</v>
      </c>
      <c r="D136" s="720" t="s">
        <v>1393</v>
      </c>
      <c r="E136" s="720"/>
      <c r="F136" s="721" t="s">
        <v>51</v>
      </c>
      <c r="G136" s="720" t="s">
        <v>47</v>
      </c>
      <c r="H136" s="721" t="s">
        <v>1366</v>
      </c>
      <c r="I136" s="722">
        <v>2160</v>
      </c>
      <c r="J136" s="722">
        <v>2700</v>
      </c>
      <c r="K136" s="722">
        <v>2700</v>
      </c>
      <c r="L136" s="722">
        <v>3420</v>
      </c>
      <c r="M136" s="720" t="s">
        <v>52</v>
      </c>
      <c r="N136" s="720"/>
      <c r="O136" s="720"/>
      <c r="P136" s="720"/>
      <c r="Q136" s="720"/>
      <c r="R136" s="720"/>
      <c r="S136" s="720"/>
      <c r="T136" s="720"/>
      <c r="U136" s="720"/>
      <c r="V136" s="720"/>
      <c r="W136" s="720"/>
      <c r="X136" s="723"/>
      <c r="Y136" s="723"/>
      <c r="Z136" s="720" t="s">
        <v>1367</v>
      </c>
      <c r="AA136" s="724" t="s">
        <v>304</v>
      </c>
    </row>
    <row r="137" spans="1:27" s="725" customFormat="1" x14ac:dyDescent="0.25">
      <c r="A137" s="718" t="s">
        <v>454</v>
      </c>
      <c r="B137" s="719"/>
      <c r="C137" s="720" t="s">
        <v>1694</v>
      </c>
      <c r="D137" s="720" t="s">
        <v>1393</v>
      </c>
      <c r="E137" s="720"/>
      <c r="F137" s="721" t="s">
        <v>51</v>
      </c>
      <c r="G137" s="720" t="s">
        <v>47</v>
      </c>
      <c r="H137" s="721" t="s">
        <v>1366</v>
      </c>
      <c r="I137" s="722">
        <v>2130</v>
      </c>
      <c r="J137" s="722">
        <v>2660</v>
      </c>
      <c r="K137" s="722">
        <v>2660</v>
      </c>
      <c r="L137" s="722">
        <v>3370</v>
      </c>
      <c r="M137" s="720"/>
      <c r="N137" s="720"/>
      <c r="O137" s="720"/>
      <c r="P137" s="720"/>
      <c r="Q137" s="720"/>
      <c r="R137" s="720"/>
      <c r="S137" s="720"/>
      <c r="T137" s="720"/>
      <c r="U137" s="720"/>
      <c r="V137" s="720"/>
      <c r="W137" s="720"/>
      <c r="X137" s="723"/>
      <c r="Y137" s="723"/>
      <c r="Z137" s="720" t="s">
        <v>1367</v>
      </c>
      <c r="AA137" s="724" t="s">
        <v>304</v>
      </c>
    </row>
    <row r="138" spans="1:27" s="725" customFormat="1" x14ac:dyDescent="0.25">
      <c r="A138" s="718" t="s">
        <v>454</v>
      </c>
      <c r="B138" s="719"/>
      <c r="C138" s="720" t="s">
        <v>1695</v>
      </c>
      <c r="D138" s="720" t="s">
        <v>1393</v>
      </c>
      <c r="E138" s="720"/>
      <c r="F138" s="721" t="s">
        <v>51</v>
      </c>
      <c r="G138" s="720" t="s">
        <v>47</v>
      </c>
      <c r="H138" s="721" t="s">
        <v>1366</v>
      </c>
      <c r="I138" s="722">
        <v>2080</v>
      </c>
      <c r="J138" s="722">
        <v>2600</v>
      </c>
      <c r="K138" s="722">
        <v>2600</v>
      </c>
      <c r="L138" s="722">
        <v>3290</v>
      </c>
      <c r="M138" s="720"/>
      <c r="N138" s="720"/>
      <c r="O138" s="720"/>
      <c r="P138" s="720"/>
      <c r="Q138" s="720"/>
      <c r="R138" s="720"/>
      <c r="S138" s="720"/>
      <c r="T138" s="720"/>
      <c r="U138" s="720"/>
      <c r="V138" s="720"/>
      <c r="W138" s="720"/>
      <c r="X138" s="723"/>
      <c r="Y138" s="723"/>
      <c r="Z138" s="720" t="s">
        <v>1367</v>
      </c>
      <c r="AA138" s="724" t="s">
        <v>304</v>
      </c>
    </row>
    <row r="139" spans="1:27" s="725" customFormat="1" x14ac:dyDescent="0.25">
      <c r="A139" s="718" t="s">
        <v>454</v>
      </c>
      <c r="B139" s="719" t="s">
        <v>1687</v>
      </c>
      <c r="C139" s="720" t="s">
        <v>1684</v>
      </c>
      <c r="D139" s="720" t="s">
        <v>1393</v>
      </c>
      <c r="E139" s="720"/>
      <c r="F139" s="721" t="s">
        <v>319</v>
      </c>
      <c r="G139" s="720" t="s">
        <v>47</v>
      </c>
      <c r="H139" s="721" t="s">
        <v>1366</v>
      </c>
      <c r="I139" s="722">
        <v>2400</v>
      </c>
      <c r="J139" s="722">
        <v>3000</v>
      </c>
      <c r="K139" s="722">
        <v>3000</v>
      </c>
      <c r="L139" s="722">
        <v>3800</v>
      </c>
      <c r="M139" s="720" t="s">
        <v>52</v>
      </c>
      <c r="N139" s="720"/>
      <c r="O139" s="720"/>
      <c r="P139" s="720"/>
      <c r="Q139" s="720"/>
      <c r="R139" s="720"/>
      <c r="S139" s="720"/>
      <c r="T139" s="720"/>
      <c r="U139" s="720"/>
      <c r="V139" s="720"/>
      <c r="W139" s="720"/>
      <c r="X139" s="723"/>
      <c r="Y139" s="723"/>
      <c r="Z139" s="720" t="s">
        <v>1367</v>
      </c>
      <c r="AA139" s="724" t="s">
        <v>304</v>
      </c>
    </row>
    <row r="140" spans="1:27" s="725" customFormat="1" x14ac:dyDescent="0.25">
      <c r="A140" s="718" t="s">
        <v>454</v>
      </c>
      <c r="B140" s="719"/>
      <c r="C140" s="720" t="s">
        <v>1696</v>
      </c>
      <c r="D140" s="720" t="s">
        <v>1393</v>
      </c>
      <c r="E140" s="720"/>
      <c r="F140" s="721" t="s">
        <v>51</v>
      </c>
      <c r="G140" s="720" t="s">
        <v>47</v>
      </c>
      <c r="H140" s="721" t="s">
        <v>1366</v>
      </c>
      <c r="I140" s="722">
        <v>1840</v>
      </c>
      <c r="J140" s="722">
        <v>2300</v>
      </c>
      <c r="K140" s="722">
        <v>2300</v>
      </c>
      <c r="L140" s="722">
        <v>2910</v>
      </c>
      <c r="M140" s="720"/>
      <c r="N140" s="720"/>
      <c r="O140" s="720"/>
      <c r="P140" s="720"/>
      <c r="Q140" s="720"/>
      <c r="R140" s="720"/>
      <c r="S140" s="720"/>
      <c r="T140" s="720"/>
      <c r="U140" s="720"/>
      <c r="V140" s="720"/>
      <c r="W140" s="720"/>
      <c r="X140" s="723"/>
      <c r="Y140" s="723"/>
      <c r="Z140" s="720" t="s">
        <v>1367</v>
      </c>
      <c r="AA140" s="724" t="s">
        <v>304</v>
      </c>
    </row>
    <row r="141" spans="1:27" s="725" customFormat="1" x14ac:dyDescent="0.25">
      <c r="A141" s="718" t="s">
        <v>454</v>
      </c>
      <c r="B141" s="719"/>
      <c r="C141" s="720" t="s">
        <v>1697</v>
      </c>
      <c r="D141" s="720" t="s">
        <v>1393</v>
      </c>
      <c r="E141" s="720"/>
      <c r="F141" s="721" t="s">
        <v>51</v>
      </c>
      <c r="G141" s="720" t="s">
        <v>47</v>
      </c>
      <c r="H141" s="721" t="s">
        <v>1366</v>
      </c>
      <c r="I141" s="722">
        <v>1680</v>
      </c>
      <c r="J141" s="722">
        <v>2100</v>
      </c>
      <c r="K141" s="722">
        <v>2100</v>
      </c>
      <c r="L141" s="722">
        <v>2660</v>
      </c>
      <c r="M141" s="720"/>
      <c r="N141" s="720"/>
      <c r="O141" s="720"/>
      <c r="P141" s="720"/>
      <c r="Q141" s="720"/>
      <c r="R141" s="720"/>
      <c r="S141" s="720"/>
      <c r="T141" s="720"/>
      <c r="U141" s="720"/>
      <c r="V141" s="720"/>
      <c r="W141" s="720"/>
      <c r="X141" s="723"/>
      <c r="Y141" s="723"/>
      <c r="Z141" s="720" t="s">
        <v>1367</v>
      </c>
      <c r="AA141" s="724" t="s">
        <v>304</v>
      </c>
    </row>
    <row r="142" spans="1:27" s="725" customFormat="1" x14ac:dyDescent="0.25">
      <c r="A142" s="718" t="s">
        <v>454</v>
      </c>
      <c r="B142" s="719"/>
      <c r="C142" s="720" t="s">
        <v>1698</v>
      </c>
      <c r="D142" s="720" t="s">
        <v>1393</v>
      </c>
      <c r="E142" s="720"/>
      <c r="F142" s="721" t="s">
        <v>51</v>
      </c>
      <c r="G142" s="720" t="s">
        <v>47</v>
      </c>
      <c r="H142" s="721" t="s">
        <v>1366</v>
      </c>
      <c r="I142" s="722">
        <v>1680</v>
      </c>
      <c r="J142" s="722">
        <v>2100</v>
      </c>
      <c r="K142" s="722">
        <v>2100</v>
      </c>
      <c r="L142" s="722">
        <v>2660</v>
      </c>
      <c r="M142" s="720"/>
      <c r="N142" s="720"/>
      <c r="O142" s="720"/>
      <c r="P142" s="720"/>
      <c r="Q142" s="720"/>
      <c r="R142" s="720"/>
      <c r="S142" s="720"/>
      <c r="T142" s="720"/>
      <c r="U142" s="720"/>
      <c r="V142" s="720"/>
      <c r="W142" s="720"/>
      <c r="X142" s="723"/>
      <c r="Y142" s="723"/>
      <c r="Z142" s="720" t="s">
        <v>1367</v>
      </c>
      <c r="AA142" s="724" t="s">
        <v>304</v>
      </c>
    </row>
    <row r="143" spans="1:27" s="725" customFormat="1" x14ac:dyDescent="0.25">
      <c r="A143" s="718" t="s">
        <v>454</v>
      </c>
      <c r="B143" s="719"/>
      <c r="C143" s="720" t="s">
        <v>1700</v>
      </c>
      <c r="D143" s="720" t="s">
        <v>1393</v>
      </c>
      <c r="E143" s="720"/>
      <c r="F143" s="721" t="s">
        <v>51</v>
      </c>
      <c r="G143" s="720" t="s">
        <v>47</v>
      </c>
      <c r="H143" s="721" t="s">
        <v>1366</v>
      </c>
      <c r="I143" s="722">
        <v>1840</v>
      </c>
      <c r="J143" s="722">
        <v>2300</v>
      </c>
      <c r="K143" s="722">
        <v>2300</v>
      </c>
      <c r="L143" s="722">
        <v>2910</v>
      </c>
      <c r="M143" s="720"/>
      <c r="N143" s="720"/>
      <c r="O143" s="720"/>
      <c r="P143" s="720"/>
      <c r="Q143" s="720"/>
      <c r="R143" s="720"/>
      <c r="S143" s="720"/>
      <c r="T143" s="720"/>
      <c r="U143" s="720"/>
      <c r="V143" s="720"/>
      <c r="W143" s="720"/>
      <c r="X143" s="723"/>
      <c r="Y143" s="723"/>
      <c r="Z143" s="720" t="s">
        <v>1367</v>
      </c>
      <c r="AA143" s="724" t="s">
        <v>304</v>
      </c>
    </row>
    <row r="144" spans="1:27" s="725" customFormat="1" x14ac:dyDescent="0.25">
      <c r="A144" s="718" t="s">
        <v>454</v>
      </c>
      <c r="B144" s="719"/>
      <c r="C144" s="720" t="s">
        <v>1701</v>
      </c>
      <c r="D144" s="720" t="s">
        <v>1393</v>
      </c>
      <c r="E144" s="720"/>
      <c r="F144" s="721" t="s">
        <v>51</v>
      </c>
      <c r="G144" s="720" t="s">
        <v>47</v>
      </c>
      <c r="H144" s="721" t="s">
        <v>1366</v>
      </c>
      <c r="I144" s="722">
        <v>1680</v>
      </c>
      <c r="J144" s="722">
        <v>2100</v>
      </c>
      <c r="K144" s="722">
        <v>2100</v>
      </c>
      <c r="L144" s="722">
        <v>2660</v>
      </c>
      <c r="M144" s="720"/>
      <c r="N144" s="720"/>
      <c r="O144" s="720"/>
      <c r="P144" s="720"/>
      <c r="Q144" s="720"/>
      <c r="R144" s="720"/>
      <c r="S144" s="720"/>
      <c r="T144" s="720"/>
      <c r="U144" s="720"/>
      <c r="V144" s="720"/>
      <c r="W144" s="720"/>
      <c r="X144" s="723"/>
      <c r="Y144" s="723"/>
      <c r="Z144" s="720" t="s">
        <v>1367</v>
      </c>
      <c r="AA144" s="724" t="s">
        <v>304</v>
      </c>
    </row>
    <row r="145" spans="1:27" s="725" customFormat="1" x14ac:dyDescent="0.25">
      <c r="A145" s="718" t="s">
        <v>454</v>
      </c>
      <c r="B145" s="719"/>
      <c r="C145" s="720" t="s">
        <v>1702</v>
      </c>
      <c r="D145" s="720" t="s">
        <v>1393</v>
      </c>
      <c r="E145" s="720"/>
      <c r="F145" s="721" t="s">
        <v>51</v>
      </c>
      <c r="G145" s="720" t="s">
        <v>47</v>
      </c>
      <c r="H145" s="721" t="s">
        <v>1366</v>
      </c>
      <c r="I145" s="722">
        <v>1680</v>
      </c>
      <c r="J145" s="722">
        <v>2100</v>
      </c>
      <c r="K145" s="722">
        <v>2100</v>
      </c>
      <c r="L145" s="722">
        <v>2660</v>
      </c>
      <c r="M145" s="720"/>
      <c r="N145" s="720"/>
      <c r="O145" s="720"/>
      <c r="P145" s="720"/>
      <c r="Q145" s="720"/>
      <c r="R145" s="720"/>
      <c r="S145" s="720"/>
      <c r="T145" s="720"/>
      <c r="U145" s="720"/>
      <c r="V145" s="720"/>
      <c r="W145" s="720"/>
      <c r="X145" s="723"/>
      <c r="Y145" s="723"/>
      <c r="Z145" s="720" t="s">
        <v>1367</v>
      </c>
      <c r="AA145" s="724" t="s">
        <v>304</v>
      </c>
    </row>
    <row r="146" spans="1:27" s="725" customFormat="1" x14ac:dyDescent="0.25">
      <c r="A146" s="718" t="s">
        <v>454</v>
      </c>
      <c r="B146" s="719"/>
      <c r="C146" s="720" t="s">
        <v>1703</v>
      </c>
      <c r="D146" s="720" t="s">
        <v>1393</v>
      </c>
      <c r="E146" s="720"/>
      <c r="F146" s="721" t="s">
        <v>51</v>
      </c>
      <c r="G146" s="720" t="s">
        <v>47</v>
      </c>
      <c r="H146" s="721" t="s">
        <v>1366</v>
      </c>
      <c r="I146" s="722">
        <v>1680</v>
      </c>
      <c r="J146" s="722">
        <v>2100</v>
      </c>
      <c r="K146" s="722">
        <v>2100</v>
      </c>
      <c r="L146" s="722">
        <v>2660</v>
      </c>
      <c r="M146" s="720"/>
      <c r="N146" s="720"/>
      <c r="O146" s="720"/>
      <c r="P146" s="720"/>
      <c r="Q146" s="720"/>
      <c r="R146" s="720"/>
      <c r="S146" s="720"/>
      <c r="T146" s="720"/>
      <c r="U146" s="720"/>
      <c r="V146" s="720"/>
      <c r="W146" s="720"/>
      <c r="X146" s="723"/>
      <c r="Y146" s="723"/>
      <c r="Z146" s="720" t="s">
        <v>1367</v>
      </c>
      <c r="AA146" s="724" t="s">
        <v>304</v>
      </c>
    </row>
    <row r="147" spans="1:27" s="725" customFormat="1" x14ac:dyDescent="0.25">
      <c r="A147" s="718" t="s">
        <v>454</v>
      </c>
      <c r="B147" s="719"/>
      <c r="C147" s="720" t="s">
        <v>1704</v>
      </c>
      <c r="D147" s="720" t="s">
        <v>1393</v>
      </c>
      <c r="E147" s="720"/>
      <c r="F147" s="721" t="s">
        <v>51</v>
      </c>
      <c r="G147" s="720" t="s">
        <v>47</v>
      </c>
      <c r="H147" s="721" t="s">
        <v>1366</v>
      </c>
      <c r="I147" s="722">
        <v>1680</v>
      </c>
      <c r="J147" s="722">
        <v>2100</v>
      </c>
      <c r="K147" s="722">
        <v>2100</v>
      </c>
      <c r="L147" s="722">
        <v>2660</v>
      </c>
      <c r="M147" s="720"/>
      <c r="N147" s="720"/>
      <c r="O147" s="720"/>
      <c r="P147" s="720"/>
      <c r="Q147" s="720"/>
      <c r="R147" s="720"/>
      <c r="S147" s="720"/>
      <c r="T147" s="720"/>
      <c r="U147" s="720"/>
      <c r="V147" s="720"/>
      <c r="W147" s="720"/>
      <c r="X147" s="723"/>
      <c r="Y147" s="723"/>
      <c r="Z147" s="720" t="s">
        <v>1367</v>
      </c>
      <c r="AA147" s="724" t="s">
        <v>304</v>
      </c>
    </row>
    <row r="148" spans="1:27" s="725" customFormat="1" x14ac:dyDescent="0.25">
      <c r="A148" s="718" t="s">
        <v>454</v>
      </c>
      <c r="B148" s="719"/>
      <c r="C148" s="720" t="s">
        <v>1705</v>
      </c>
      <c r="D148" s="720" t="s">
        <v>1393</v>
      </c>
      <c r="E148" s="720"/>
      <c r="F148" s="721" t="s">
        <v>51</v>
      </c>
      <c r="G148" s="720" t="s">
        <v>47</v>
      </c>
      <c r="H148" s="721" t="s">
        <v>1366</v>
      </c>
      <c r="I148" s="722">
        <v>1680</v>
      </c>
      <c r="J148" s="722">
        <v>2100</v>
      </c>
      <c r="K148" s="722">
        <v>2100</v>
      </c>
      <c r="L148" s="722">
        <v>2660</v>
      </c>
      <c r="M148" s="720"/>
      <c r="N148" s="720"/>
      <c r="O148" s="720"/>
      <c r="P148" s="720"/>
      <c r="Q148" s="720"/>
      <c r="R148" s="720"/>
      <c r="S148" s="720"/>
      <c r="T148" s="720"/>
      <c r="U148" s="720"/>
      <c r="V148" s="720"/>
      <c r="W148" s="720"/>
      <c r="X148" s="723"/>
      <c r="Y148" s="723"/>
      <c r="Z148" s="720" t="s">
        <v>1367</v>
      </c>
      <c r="AA148" s="724" t="s">
        <v>304</v>
      </c>
    </row>
    <row r="149" spans="1:27" s="64" customFormat="1" x14ac:dyDescent="0.25">
      <c r="A149" s="59"/>
      <c r="B149" s="60"/>
      <c r="C149" s="60"/>
      <c r="D149" s="60"/>
      <c r="E149" s="60"/>
      <c r="F149" s="60"/>
      <c r="G149" s="61"/>
      <c r="H149" s="60"/>
      <c r="I149" s="62"/>
      <c r="J149" s="62"/>
      <c r="K149" s="62"/>
      <c r="L149" s="62"/>
      <c r="M149" s="61"/>
      <c r="N149" s="61"/>
      <c r="O149" s="61"/>
      <c r="P149" s="61"/>
      <c r="Q149" s="61"/>
      <c r="R149" s="61"/>
      <c r="S149" s="61"/>
      <c r="T149" s="61"/>
      <c r="U149" s="61"/>
      <c r="V149" s="61"/>
      <c r="W149" s="61"/>
      <c r="X149" s="345"/>
      <c r="Y149" s="345"/>
      <c r="Z149" s="61"/>
      <c r="AA149" s="63"/>
    </row>
    <row r="150" spans="1:27" s="64" customFormat="1" x14ac:dyDescent="0.25">
      <c r="A150" s="59"/>
      <c r="B150" s="60"/>
      <c r="C150" s="60"/>
      <c r="D150" s="60"/>
      <c r="E150" s="60"/>
      <c r="F150" s="60"/>
      <c r="G150" s="61"/>
      <c r="H150" s="60"/>
      <c r="I150" s="62"/>
      <c r="J150" s="62"/>
      <c r="K150" s="62"/>
      <c r="L150" s="62"/>
      <c r="M150" s="61"/>
      <c r="N150" s="61"/>
      <c r="O150" s="61"/>
      <c r="P150" s="61"/>
      <c r="Q150" s="61"/>
      <c r="R150" s="61"/>
      <c r="S150" s="61"/>
      <c r="T150" s="61"/>
      <c r="U150" s="61"/>
      <c r="V150" s="61"/>
      <c r="W150" s="61"/>
      <c r="X150" s="345"/>
      <c r="Y150" s="345"/>
      <c r="Z150" s="61"/>
      <c r="AA150" s="63"/>
    </row>
    <row r="151" spans="1:27" s="64" customFormat="1" ht="13.8" thickBot="1" x14ac:dyDescent="0.3">
      <c r="A151" s="191"/>
      <c r="B151" s="263"/>
      <c r="C151" s="263"/>
      <c r="D151" s="263"/>
      <c r="E151" s="263"/>
      <c r="F151" s="263"/>
      <c r="G151" s="195"/>
      <c r="H151" s="263"/>
      <c r="I151" s="342"/>
      <c r="J151" s="342"/>
      <c r="K151" s="342"/>
      <c r="L151" s="342"/>
      <c r="M151" s="195"/>
      <c r="N151" s="195"/>
      <c r="O151" s="195"/>
      <c r="P151" s="195"/>
      <c r="Q151" s="195"/>
      <c r="R151" s="195"/>
      <c r="S151" s="195"/>
      <c r="T151" s="195"/>
      <c r="U151" s="195"/>
      <c r="V151" s="195"/>
      <c r="W151" s="195"/>
      <c r="X151" s="352"/>
      <c r="Y151" s="352"/>
      <c r="Z151" s="195"/>
      <c r="AA151" s="129"/>
    </row>
    <row r="152" spans="1:27" x14ac:dyDescent="0.25">
      <c r="A152" s="142"/>
      <c r="B152" s="142"/>
      <c r="C152" s="142"/>
      <c r="D152" s="142"/>
      <c r="E152" s="142"/>
      <c r="F152" s="142"/>
      <c r="J152" s="199"/>
      <c r="K152" s="199"/>
      <c r="L152" s="199"/>
      <c r="M152" s="199"/>
      <c r="N152" s="199"/>
      <c r="O152" s="66"/>
      <c r="P152" s="66"/>
      <c r="Q152" s="66"/>
      <c r="R152" s="66"/>
      <c r="S152" s="66"/>
      <c r="T152" s="66"/>
      <c r="U152" s="66"/>
      <c r="V152" s="66"/>
      <c r="W152" s="64"/>
    </row>
    <row r="153" spans="1:27" ht="13.8" thickBot="1" x14ac:dyDescent="0.3">
      <c r="A153" s="142"/>
      <c r="B153" s="142"/>
      <c r="C153" s="142"/>
      <c r="D153" s="142"/>
      <c r="E153" s="142"/>
      <c r="F153" s="142"/>
      <c r="J153" s="199"/>
      <c r="K153" s="199"/>
      <c r="N153" s="199"/>
      <c r="O153" s="66"/>
      <c r="P153" s="66"/>
      <c r="Q153" s="66"/>
      <c r="R153" s="66"/>
      <c r="S153" s="66"/>
      <c r="T153" s="66"/>
      <c r="U153" s="66"/>
      <c r="V153" s="66"/>
      <c r="W153" s="64"/>
    </row>
    <row r="154" spans="1:27" ht="13.8" thickBot="1" x14ac:dyDescent="0.3">
      <c r="A154" s="201" t="s">
        <v>25</v>
      </c>
      <c r="B154" s="198"/>
      <c r="C154" s="198"/>
      <c r="D154" s="198"/>
      <c r="E154" s="198"/>
      <c r="F154" s="198"/>
      <c r="G154" s="177"/>
      <c r="H154" s="177"/>
      <c r="I154" s="177"/>
      <c r="J154" s="177"/>
      <c r="K154" s="177"/>
      <c r="M154" s="177"/>
      <c r="N154" s="177"/>
      <c r="O154" s="200"/>
      <c r="P154" s="64"/>
      <c r="Q154" s="64"/>
      <c r="R154" s="64"/>
      <c r="S154" s="57"/>
      <c r="T154" s="57"/>
      <c r="U154" s="57"/>
      <c r="V154" s="57"/>
      <c r="W154" s="200"/>
    </row>
    <row r="155" spans="1:27" ht="15.75" customHeight="1" x14ac:dyDescent="0.25">
      <c r="A155" s="509" t="s">
        <v>558</v>
      </c>
      <c r="B155" s="499" t="s">
        <v>559</v>
      </c>
      <c r="C155" s="499" t="s">
        <v>11</v>
      </c>
      <c r="D155" s="499" t="s">
        <v>12</v>
      </c>
      <c r="E155" s="499" t="s">
        <v>13</v>
      </c>
      <c r="F155" s="499" t="s">
        <v>14</v>
      </c>
      <c r="G155" s="499" t="s">
        <v>15</v>
      </c>
      <c r="H155" s="499" t="s">
        <v>16</v>
      </c>
      <c r="I155" s="499" t="s">
        <v>26</v>
      </c>
      <c r="J155" s="499" t="s">
        <v>27</v>
      </c>
      <c r="K155" s="507" t="s">
        <v>279</v>
      </c>
      <c r="L155" s="178" t="s">
        <v>62</v>
      </c>
      <c r="M155" s="53" t="s">
        <v>63</v>
      </c>
      <c r="N155" s="180" t="s">
        <v>64</v>
      </c>
      <c r="O155" s="179" t="s">
        <v>87</v>
      </c>
      <c r="P155" s="179"/>
      <c r="Q155" s="179"/>
      <c r="R155" s="179"/>
      <c r="S155" s="179"/>
      <c r="T155" s="179"/>
      <c r="U155" s="179"/>
      <c r="V155" s="179"/>
      <c r="W155" s="179"/>
      <c r="X155" s="499" t="s">
        <v>22</v>
      </c>
      <c r="Y155" s="499" t="s">
        <v>23</v>
      </c>
      <c r="Z155" s="499" t="s">
        <v>24</v>
      </c>
      <c r="AA155" s="497" t="s">
        <v>330</v>
      </c>
    </row>
    <row r="156" spans="1:27" ht="31.65" customHeight="1" thickBot="1" x14ac:dyDescent="0.3">
      <c r="A156" s="510"/>
      <c r="B156" s="504"/>
      <c r="C156" s="504"/>
      <c r="D156" s="504"/>
      <c r="E156" s="504"/>
      <c r="F156" s="504"/>
      <c r="G156" s="500"/>
      <c r="H156" s="504"/>
      <c r="I156" s="504"/>
      <c r="J156" s="504"/>
      <c r="K156" s="508"/>
      <c r="L156" s="182" t="s">
        <v>65</v>
      </c>
      <c r="M156" s="183" t="s">
        <v>66</v>
      </c>
      <c r="N156" s="185" t="s">
        <v>67</v>
      </c>
      <c r="O156" s="202" t="s">
        <v>82</v>
      </c>
      <c r="P156" s="184"/>
      <c r="Q156" s="184"/>
      <c r="R156" s="184"/>
      <c r="S156" s="184"/>
      <c r="T156" s="184"/>
      <c r="U156" s="184"/>
      <c r="V156" s="184"/>
      <c r="W156" s="184"/>
      <c r="X156" s="504"/>
      <c r="Y156" s="504"/>
      <c r="Z156" s="504"/>
      <c r="AA156" s="498"/>
    </row>
    <row r="157" spans="1:27" s="725" customFormat="1" x14ac:dyDescent="0.25">
      <c r="A157" s="718" t="s">
        <v>454</v>
      </c>
      <c r="B157" s="721"/>
      <c r="C157" s="721" t="s">
        <v>1684</v>
      </c>
      <c r="D157" s="721" t="s">
        <v>1114</v>
      </c>
      <c r="E157" s="721"/>
      <c r="F157" s="721" t="s">
        <v>51</v>
      </c>
      <c r="G157" s="720" t="s">
        <v>47</v>
      </c>
      <c r="H157" s="721" t="s">
        <v>1366</v>
      </c>
      <c r="I157" s="722"/>
      <c r="J157" s="722"/>
      <c r="K157" s="726">
        <v>1760</v>
      </c>
      <c r="L157" s="727" t="s">
        <v>55</v>
      </c>
      <c r="M157" s="720" t="s">
        <v>318</v>
      </c>
      <c r="N157" s="724" t="s">
        <v>55</v>
      </c>
      <c r="O157" s="728" t="s">
        <v>52</v>
      </c>
      <c r="P157" s="720"/>
      <c r="Q157" s="720"/>
      <c r="R157" s="720"/>
      <c r="S157" s="720"/>
      <c r="T157" s="720"/>
      <c r="U157" s="720"/>
      <c r="V157" s="720"/>
      <c r="W157" s="720"/>
      <c r="X157" s="723"/>
      <c r="Y157" s="723"/>
      <c r="Z157" s="720" t="s">
        <v>1367</v>
      </c>
      <c r="AA157" s="724" t="s">
        <v>304</v>
      </c>
    </row>
    <row r="158" spans="1:27" s="725" customFormat="1" x14ac:dyDescent="0.25">
      <c r="A158" s="718" t="s">
        <v>454</v>
      </c>
      <c r="B158" s="721"/>
      <c r="C158" s="721" t="s">
        <v>1684</v>
      </c>
      <c r="D158" s="721" t="s">
        <v>1368</v>
      </c>
      <c r="E158" s="721"/>
      <c r="F158" s="721" t="s">
        <v>51</v>
      </c>
      <c r="G158" s="720" t="s">
        <v>47</v>
      </c>
      <c r="H158" s="721" t="s">
        <v>1366</v>
      </c>
      <c r="I158" s="722"/>
      <c r="J158" s="722"/>
      <c r="K158" s="726">
        <v>1760</v>
      </c>
      <c r="L158" s="727" t="s">
        <v>55</v>
      </c>
      <c r="M158" s="720" t="s">
        <v>318</v>
      </c>
      <c r="N158" s="724" t="s">
        <v>55</v>
      </c>
      <c r="O158" s="728" t="s">
        <v>52</v>
      </c>
      <c r="P158" s="720"/>
      <c r="Q158" s="720"/>
      <c r="R158" s="720"/>
      <c r="S158" s="720"/>
      <c r="T158" s="720"/>
      <c r="U158" s="720"/>
      <c r="V158" s="720"/>
      <c r="W158" s="720"/>
      <c r="X158" s="723"/>
      <c r="Y158" s="723"/>
      <c r="Z158" s="720" t="s">
        <v>1367</v>
      </c>
      <c r="AA158" s="724" t="s">
        <v>304</v>
      </c>
    </row>
    <row r="159" spans="1:27" s="64" customFormat="1" x14ac:dyDescent="0.25">
      <c r="A159" s="59"/>
      <c r="B159" s="60"/>
      <c r="C159" s="60"/>
      <c r="D159" s="60"/>
      <c r="E159" s="60"/>
      <c r="F159" s="60"/>
      <c r="G159" s="61"/>
      <c r="H159" s="60"/>
      <c r="I159" s="62"/>
      <c r="J159" s="62"/>
      <c r="K159" s="353"/>
      <c r="L159" s="65"/>
      <c r="M159" s="61"/>
      <c r="N159" s="63"/>
      <c r="O159" s="65"/>
      <c r="P159" s="61"/>
      <c r="Q159" s="61"/>
      <c r="R159" s="61"/>
      <c r="S159" s="61"/>
      <c r="T159" s="61"/>
      <c r="U159" s="61"/>
      <c r="V159" s="61"/>
      <c r="W159" s="61"/>
      <c r="X159" s="345"/>
      <c r="Y159" s="345"/>
      <c r="Z159" s="61"/>
      <c r="AA159" s="63"/>
    </row>
    <row r="160" spans="1:27" s="64" customFormat="1" x14ac:dyDescent="0.25">
      <c r="A160" s="59"/>
      <c r="B160" s="60"/>
      <c r="C160" s="60"/>
      <c r="D160" s="60"/>
      <c r="E160" s="60"/>
      <c r="F160" s="60"/>
      <c r="G160" s="61"/>
      <c r="H160" s="60"/>
      <c r="I160" s="62"/>
      <c r="J160" s="62"/>
      <c r="K160" s="353"/>
      <c r="L160" s="65"/>
      <c r="M160" s="61"/>
      <c r="N160" s="63"/>
      <c r="O160" s="65"/>
      <c r="P160" s="61"/>
      <c r="Q160" s="61"/>
      <c r="R160" s="61"/>
      <c r="S160" s="61"/>
      <c r="T160" s="61"/>
      <c r="U160" s="61"/>
      <c r="V160" s="61"/>
      <c r="W160" s="61"/>
      <c r="X160" s="345"/>
      <c r="Y160" s="345"/>
      <c r="Z160" s="61"/>
      <c r="AA160" s="63"/>
    </row>
    <row r="161" spans="1:29" s="64" customFormat="1" ht="13.8" thickBot="1" x14ac:dyDescent="0.3">
      <c r="A161" s="191"/>
      <c r="B161" s="263"/>
      <c r="C161" s="263"/>
      <c r="D161" s="263"/>
      <c r="E161" s="263"/>
      <c r="F161" s="263"/>
      <c r="G161" s="195"/>
      <c r="H161" s="263"/>
      <c r="I161" s="342"/>
      <c r="J161" s="342"/>
      <c r="K161" s="363"/>
      <c r="L161" s="127"/>
      <c r="M161" s="195"/>
      <c r="N161" s="129"/>
      <c r="O161" s="127"/>
      <c r="P161" s="195"/>
      <c r="Q161" s="195"/>
      <c r="R161" s="195"/>
      <c r="S161" s="195"/>
      <c r="T161" s="195"/>
      <c r="U161" s="195"/>
      <c r="V161" s="195"/>
      <c r="W161" s="195"/>
      <c r="X161" s="352"/>
      <c r="Y161" s="352"/>
      <c r="Z161" s="195"/>
      <c r="AA161" s="129"/>
    </row>
    <row r="162" spans="1:29" x14ac:dyDescent="0.25">
      <c r="A162" s="142"/>
      <c r="B162" s="142"/>
      <c r="C162" s="142"/>
      <c r="D162" s="142"/>
      <c r="E162" s="142"/>
      <c r="F162" s="142"/>
      <c r="J162" s="199"/>
      <c r="K162" s="199"/>
      <c r="L162" s="199"/>
      <c r="M162" s="199"/>
      <c r="N162" s="199"/>
      <c r="O162" s="66"/>
      <c r="P162" s="66"/>
      <c r="Q162" s="66"/>
      <c r="R162" s="66"/>
      <c r="S162" s="64"/>
      <c r="T162" s="64"/>
      <c r="U162" s="64"/>
      <c r="V162" s="64"/>
      <c r="W162" s="64"/>
      <c r="X162" s="199"/>
    </row>
    <row r="163" spans="1:29" ht="13.8" thickBot="1" x14ac:dyDescent="0.3">
      <c r="A163" s="142"/>
      <c r="B163" s="142"/>
      <c r="C163" s="142"/>
      <c r="D163" s="142"/>
      <c r="E163" s="142"/>
      <c r="F163" s="142"/>
      <c r="J163" s="199"/>
      <c r="K163" s="199"/>
      <c r="L163" s="199"/>
      <c r="M163" s="199"/>
      <c r="N163" s="199"/>
      <c r="O163" s="66"/>
      <c r="P163" s="66"/>
      <c r="Q163" s="66"/>
      <c r="R163" s="66"/>
      <c r="S163" s="64"/>
      <c r="T163" s="64"/>
      <c r="U163" s="64"/>
      <c r="V163" s="64"/>
      <c r="W163" s="64"/>
      <c r="X163" s="199"/>
    </row>
    <row r="164" spans="1:29" ht="13.8" thickBot="1" x14ac:dyDescent="0.3">
      <c r="A164" s="501" t="s">
        <v>291</v>
      </c>
      <c r="B164" s="570"/>
      <c r="C164" s="570"/>
      <c r="D164" s="571"/>
      <c r="E164" s="198"/>
      <c r="F164" s="198"/>
      <c r="G164" s="177"/>
      <c r="H164" s="177"/>
      <c r="I164" s="177"/>
      <c r="J164" s="177"/>
      <c r="K164" s="177"/>
      <c r="L164" s="177"/>
      <c r="M164" s="177"/>
      <c r="N164" s="177"/>
      <c r="O164" s="64"/>
      <c r="P164" s="200"/>
      <c r="Q164" s="200"/>
      <c r="R164" s="200"/>
      <c r="S164" s="57"/>
      <c r="T164" s="57"/>
      <c r="U164" s="57"/>
      <c r="V164" s="57"/>
      <c r="W164" s="200"/>
      <c r="X164" s="177"/>
      <c r="Y164" s="177"/>
    </row>
    <row r="165" spans="1:29" ht="15.75" customHeight="1" x14ac:dyDescent="0.25">
      <c r="A165" s="509" t="s">
        <v>558</v>
      </c>
      <c r="B165" s="499" t="s">
        <v>559</v>
      </c>
      <c r="C165" s="499" t="s">
        <v>11</v>
      </c>
      <c r="D165" s="499" t="s">
        <v>12</v>
      </c>
      <c r="E165" s="499" t="s">
        <v>13</v>
      </c>
      <c r="F165" s="499" t="s">
        <v>14</v>
      </c>
      <c r="G165" s="499" t="s">
        <v>15</v>
      </c>
      <c r="H165" s="499" t="s">
        <v>16</v>
      </c>
      <c r="I165" s="499">
        <v>20</v>
      </c>
      <c r="J165" s="499">
        <v>40</v>
      </c>
      <c r="K165" s="499" t="s">
        <v>19</v>
      </c>
      <c r="L165" s="497" t="s">
        <v>20</v>
      </c>
      <c r="M165" s="591" t="s">
        <v>28</v>
      </c>
      <c r="N165" s="207" t="s">
        <v>68</v>
      </c>
      <c r="O165" s="53" t="s">
        <v>63</v>
      </c>
      <c r="P165" s="180" t="s">
        <v>64</v>
      </c>
      <c r="Q165" s="179" t="s">
        <v>141</v>
      </c>
      <c r="R165" s="179" t="s">
        <v>70</v>
      </c>
      <c r="S165" s="179"/>
      <c r="T165" s="179"/>
      <c r="U165" s="179"/>
      <c r="V165" s="179"/>
      <c r="W165" s="179"/>
      <c r="X165" s="179"/>
      <c r="Y165" s="179"/>
      <c r="Z165" s="499" t="s">
        <v>22</v>
      </c>
      <c r="AA165" s="499" t="s">
        <v>23</v>
      </c>
      <c r="AB165" s="499" t="s">
        <v>24</v>
      </c>
      <c r="AC165" s="497" t="s">
        <v>330</v>
      </c>
    </row>
    <row r="166" spans="1:29" ht="40.200000000000003" thickBot="1" x14ac:dyDescent="0.3">
      <c r="A166" s="510"/>
      <c r="B166" s="504"/>
      <c r="C166" s="504"/>
      <c r="D166" s="504"/>
      <c r="E166" s="504"/>
      <c r="F166" s="504"/>
      <c r="G166" s="500"/>
      <c r="H166" s="504"/>
      <c r="I166" s="504"/>
      <c r="J166" s="504"/>
      <c r="K166" s="504"/>
      <c r="L166" s="498"/>
      <c r="M166" s="592"/>
      <c r="N166" s="208" t="s">
        <v>69</v>
      </c>
      <c r="O166" s="183" t="s">
        <v>66</v>
      </c>
      <c r="P166" s="185" t="s">
        <v>67</v>
      </c>
      <c r="Q166" s="202" t="s">
        <v>82</v>
      </c>
      <c r="R166" s="184" t="s">
        <v>82</v>
      </c>
      <c r="S166" s="184"/>
      <c r="T166" s="184"/>
      <c r="U166" s="184"/>
      <c r="V166" s="184"/>
      <c r="W166" s="184"/>
      <c r="X166" s="184"/>
      <c r="Y166" s="184"/>
      <c r="Z166" s="500"/>
      <c r="AA166" s="500"/>
      <c r="AB166" s="500"/>
      <c r="AC166" s="498"/>
    </row>
    <row r="167" spans="1:29" s="64" customFormat="1" x14ac:dyDescent="0.25">
      <c r="A167" s="385"/>
      <c r="B167" s="367"/>
      <c r="C167" s="367"/>
      <c r="D167" s="367"/>
      <c r="E167" s="367"/>
      <c r="F167" s="367"/>
      <c r="G167" s="337"/>
      <c r="H167" s="367"/>
      <c r="I167" s="346"/>
      <c r="J167" s="346"/>
      <c r="K167" s="346"/>
      <c r="L167" s="386"/>
      <c r="M167" s="387"/>
      <c r="N167" s="336"/>
      <c r="O167" s="337"/>
      <c r="P167" s="366"/>
      <c r="Q167" s="336"/>
      <c r="R167" s="337"/>
      <c r="S167" s="337"/>
      <c r="T167" s="337"/>
      <c r="U167" s="337"/>
      <c r="V167" s="337"/>
      <c r="W167" s="337"/>
      <c r="X167" s="337"/>
      <c r="Y167" s="337"/>
      <c r="Z167" s="375"/>
      <c r="AA167" s="375"/>
      <c r="AB167" s="337"/>
      <c r="AC167" s="366"/>
    </row>
    <row r="168" spans="1:29" s="64" customFormat="1" x14ac:dyDescent="0.25">
      <c r="A168" s="59"/>
      <c r="B168" s="186"/>
      <c r="C168" s="186"/>
      <c r="D168" s="186"/>
      <c r="E168" s="186"/>
      <c r="F168" s="186"/>
      <c r="G168" s="187"/>
      <c r="H168" s="186"/>
      <c r="I168" s="188"/>
      <c r="J168" s="188"/>
      <c r="K168" s="188"/>
      <c r="L168" s="203"/>
      <c r="M168" s="209"/>
      <c r="N168" s="204"/>
      <c r="O168" s="187"/>
      <c r="P168" s="190"/>
      <c r="Q168" s="65"/>
      <c r="R168" s="61"/>
      <c r="S168" s="61"/>
      <c r="T168" s="61"/>
      <c r="U168" s="61"/>
      <c r="V168" s="61"/>
      <c r="W168" s="187"/>
      <c r="X168" s="187"/>
      <c r="Y168" s="187"/>
      <c r="Z168" s="189"/>
      <c r="AA168" s="189"/>
      <c r="AB168" s="187"/>
      <c r="AC168" s="190"/>
    </row>
    <row r="169" spans="1:29" s="64" customFormat="1" x14ac:dyDescent="0.25">
      <c r="A169" s="59"/>
      <c r="B169" s="186"/>
      <c r="C169" s="186"/>
      <c r="D169" s="186"/>
      <c r="E169" s="186"/>
      <c r="F169" s="186"/>
      <c r="G169" s="187"/>
      <c r="H169" s="186"/>
      <c r="I169" s="188"/>
      <c r="J169" s="188"/>
      <c r="K169" s="188"/>
      <c r="L169" s="203"/>
      <c r="M169" s="209"/>
      <c r="N169" s="204"/>
      <c r="O169" s="187"/>
      <c r="P169" s="190"/>
      <c r="Q169" s="65"/>
      <c r="R169" s="61"/>
      <c r="S169" s="61"/>
      <c r="T169" s="61"/>
      <c r="U169" s="61"/>
      <c r="V169" s="61"/>
      <c r="W169" s="187"/>
      <c r="X169" s="187"/>
      <c r="Y169" s="187"/>
      <c r="Z169" s="189"/>
      <c r="AA169" s="189"/>
      <c r="AB169" s="187"/>
      <c r="AC169" s="190"/>
    </row>
    <row r="170" spans="1:29" s="64" customFormat="1" ht="13.8" thickBot="1" x14ac:dyDescent="0.3">
      <c r="A170" s="191"/>
      <c r="B170" s="192"/>
      <c r="C170" s="192"/>
      <c r="D170" s="192"/>
      <c r="E170" s="192"/>
      <c r="F170" s="192"/>
      <c r="G170" s="193"/>
      <c r="H170" s="192"/>
      <c r="I170" s="194"/>
      <c r="J170" s="194"/>
      <c r="K170" s="194"/>
      <c r="L170" s="205"/>
      <c r="M170" s="210"/>
      <c r="N170" s="206"/>
      <c r="O170" s="193"/>
      <c r="P170" s="197"/>
      <c r="Q170" s="206"/>
      <c r="R170" s="193"/>
      <c r="S170" s="193"/>
      <c r="T170" s="193"/>
      <c r="U170" s="193"/>
      <c r="V170" s="193"/>
      <c r="W170" s="193"/>
      <c r="X170" s="193"/>
      <c r="Y170" s="193"/>
      <c r="Z170" s="196"/>
      <c r="AA170" s="196"/>
      <c r="AB170" s="193"/>
      <c r="AC170" s="197"/>
    </row>
    <row r="171" spans="1:29" x14ac:dyDescent="0.25">
      <c r="A171" s="198"/>
      <c r="B171" s="198"/>
      <c r="C171" s="198"/>
      <c r="D171" s="198"/>
      <c r="E171" s="198"/>
      <c r="F171" s="198"/>
      <c r="G171" s="177"/>
      <c r="H171" s="177"/>
      <c r="I171" s="177"/>
      <c r="J171" s="177"/>
      <c r="K171" s="177"/>
      <c r="M171" s="177"/>
      <c r="V171" s="177"/>
      <c r="W171" s="177"/>
    </row>
    <row r="172" spans="1:29" x14ac:dyDescent="0.25">
      <c r="A172" s="198"/>
      <c r="B172" s="198"/>
      <c r="C172" s="198"/>
      <c r="D172" s="198"/>
      <c r="E172" s="198"/>
      <c r="F172" s="177"/>
      <c r="G172" s="177"/>
      <c r="H172" s="177"/>
      <c r="I172" s="177"/>
      <c r="J172" s="177"/>
      <c r="K172" s="199"/>
      <c r="L172" s="177"/>
      <c r="M172" s="177"/>
      <c r="N172" s="177"/>
      <c r="S172" s="177"/>
      <c r="T172" s="177"/>
      <c r="U172" s="177"/>
    </row>
    <row r="173" spans="1:29" ht="13.8" thickBot="1" x14ac:dyDescent="0.3">
      <c r="A173" s="198"/>
      <c r="B173" s="198"/>
      <c r="C173" s="198"/>
      <c r="D173" s="198"/>
      <c r="E173" s="177"/>
      <c r="F173" s="177"/>
      <c r="G173" s="177"/>
      <c r="H173" s="177"/>
      <c r="I173" s="177"/>
      <c r="J173" s="199"/>
      <c r="K173" s="199"/>
      <c r="L173" s="199"/>
      <c r="M173" s="199"/>
      <c r="R173" s="199"/>
    </row>
    <row r="174" spans="1:29" ht="13.8" thickBot="1" x14ac:dyDescent="0.3">
      <c r="A174" s="501" t="s">
        <v>29</v>
      </c>
      <c r="B174" s="570"/>
      <c r="C174" s="571"/>
      <c r="D174" s="198"/>
      <c r="E174" s="198"/>
      <c r="F174" s="177"/>
      <c r="G174" s="177"/>
      <c r="H174" s="177"/>
      <c r="I174" s="177"/>
      <c r="J174" s="177"/>
      <c r="K174" s="199"/>
      <c r="L174" s="199"/>
      <c r="M174" s="199"/>
      <c r="N174" s="199"/>
      <c r="S174" s="199"/>
      <c r="T174" s="199"/>
      <c r="U174" s="199"/>
    </row>
    <row r="175" spans="1:29" ht="13.8" thickBot="1" x14ac:dyDescent="0.3">
      <c r="A175" s="582" t="s">
        <v>556</v>
      </c>
      <c r="B175" s="583"/>
      <c r="C175" s="584"/>
      <c r="D175" s="198"/>
      <c r="E175" s="198"/>
      <c r="F175" s="198"/>
      <c r="G175" s="177"/>
      <c r="H175" s="177"/>
      <c r="I175" s="177"/>
      <c r="J175" s="177"/>
      <c r="K175" s="177"/>
      <c r="L175" s="199"/>
      <c r="N175" s="199"/>
      <c r="O175" s="199"/>
      <c r="V175" s="199"/>
    </row>
    <row r="176" spans="1:29" x14ac:dyDescent="0.25">
      <c r="A176" s="211" t="s">
        <v>30</v>
      </c>
      <c r="B176" s="212"/>
      <c r="C176" s="213" t="s">
        <v>149</v>
      </c>
      <c r="D176" s="214"/>
      <c r="E176" s="214"/>
      <c r="F176" s="215"/>
      <c r="G176" s="215"/>
      <c r="H176" s="214"/>
      <c r="I176" s="215"/>
      <c r="J176" s="214"/>
      <c r="K176" s="216"/>
      <c r="L176" s="217"/>
      <c r="N176" s="199"/>
      <c r="O176" s="199"/>
      <c r="P176" s="199"/>
    </row>
    <row r="177" spans="1:24" x14ac:dyDescent="0.25">
      <c r="A177" s="163" t="s">
        <v>557</v>
      </c>
      <c r="B177" s="218"/>
      <c r="C177" s="218"/>
      <c r="D177" s="219"/>
      <c r="E177" s="219"/>
      <c r="F177" s="220"/>
      <c r="G177" s="220"/>
      <c r="H177" s="219"/>
      <c r="I177" s="220"/>
      <c r="J177" s="219"/>
      <c r="K177" s="221"/>
      <c r="L177" s="222"/>
      <c r="N177" s="199"/>
      <c r="O177" s="199"/>
      <c r="P177" s="199"/>
    </row>
    <row r="178" spans="1:24" x14ac:dyDescent="0.25">
      <c r="A178" s="163" t="s">
        <v>165</v>
      </c>
      <c r="B178" s="218"/>
      <c r="C178" s="218"/>
      <c r="D178" s="219"/>
      <c r="E178" s="219"/>
      <c r="F178" s="220"/>
      <c r="G178" s="220"/>
      <c r="H178" s="219"/>
      <c r="I178" s="220"/>
      <c r="J178" s="219"/>
      <c r="K178" s="221"/>
      <c r="L178" s="222"/>
      <c r="N178" s="199"/>
      <c r="O178" s="199"/>
      <c r="P178" s="199"/>
    </row>
    <row r="179" spans="1:24" x14ac:dyDescent="0.25">
      <c r="A179" s="163" t="s">
        <v>861</v>
      </c>
      <c r="B179" s="218"/>
      <c r="C179" s="218"/>
      <c r="D179" s="219"/>
      <c r="E179" s="219"/>
      <c r="F179" s="220"/>
      <c r="G179" s="220"/>
      <c r="H179" s="219"/>
      <c r="I179" s="220"/>
      <c r="J179" s="219"/>
      <c r="K179" s="221"/>
      <c r="L179" s="222"/>
      <c r="N179" s="199"/>
      <c r="O179" s="199"/>
      <c r="P179" s="199"/>
    </row>
    <row r="180" spans="1:24" ht="13.8" thickBot="1" x14ac:dyDescent="0.3">
      <c r="A180" s="137" t="s">
        <v>862</v>
      </c>
      <c r="B180" s="223"/>
      <c r="C180" s="223"/>
      <c r="D180" s="224"/>
      <c r="E180" s="224"/>
      <c r="F180" s="225"/>
      <c r="G180" s="225"/>
      <c r="H180" s="224"/>
      <c r="I180" s="225"/>
      <c r="J180" s="224"/>
      <c r="K180" s="226"/>
      <c r="L180" s="227"/>
      <c r="N180" s="199"/>
      <c r="O180" s="199"/>
      <c r="P180" s="199"/>
    </row>
    <row r="181" spans="1:24" ht="13.8" thickBot="1" x14ac:dyDescent="0.3">
      <c r="A181" s="228"/>
      <c r="B181" s="142"/>
      <c r="C181" s="199"/>
      <c r="D181" s="198"/>
      <c r="E181" s="198"/>
      <c r="F181" s="198"/>
      <c r="G181" s="198"/>
      <c r="H181" s="177"/>
      <c r="I181" s="177"/>
      <c r="J181" s="177"/>
      <c r="K181" s="177"/>
      <c r="L181" s="177"/>
      <c r="M181" s="199"/>
      <c r="O181" s="199"/>
      <c r="P181" s="199"/>
      <c r="Q181" s="177"/>
    </row>
    <row r="182" spans="1:24" s="181" customFormat="1" ht="27" thickBot="1" x14ac:dyDescent="0.3">
      <c r="A182" s="229" t="s">
        <v>31</v>
      </c>
      <c r="B182" s="505" t="s">
        <v>559</v>
      </c>
      <c r="C182" s="505"/>
      <c r="D182" s="506"/>
      <c r="E182" s="54" t="s">
        <v>11</v>
      </c>
      <c r="F182" s="54" t="s">
        <v>14</v>
      </c>
      <c r="G182" s="54" t="s">
        <v>273</v>
      </c>
      <c r="H182" s="54" t="s">
        <v>32</v>
      </c>
      <c r="I182" s="54" t="s">
        <v>16</v>
      </c>
      <c r="J182" s="54" t="s">
        <v>17</v>
      </c>
      <c r="K182" s="54" t="s">
        <v>18</v>
      </c>
      <c r="L182" s="54" t="s">
        <v>19</v>
      </c>
      <c r="M182" s="54" t="s">
        <v>20</v>
      </c>
      <c r="N182" s="230" t="s">
        <v>117</v>
      </c>
      <c r="O182" s="54" t="s">
        <v>92</v>
      </c>
    </row>
    <row r="183" spans="1:24" s="64" customFormat="1" x14ac:dyDescent="0.25">
      <c r="A183" s="336"/>
      <c r="B183" s="543"/>
      <c r="C183" s="543"/>
      <c r="D183" s="543"/>
      <c r="E183" s="337"/>
      <c r="F183" s="337"/>
      <c r="G183" s="337"/>
      <c r="H183" s="337"/>
      <c r="I183" s="337"/>
      <c r="J183" s="346"/>
      <c r="K183" s="346"/>
      <c r="L183" s="346"/>
      <c r="M183" s="362"/>
      <c r="N183" s="347"/>
      <c r="O183" s="337"/>
      <c r="P183" s="200"/>
      <c r="Q183" s="200"/>
      <c r="R183" s="200"/>
      <c r="S183" s="200"/>
      <c r="T183" s="200"/>
      <c r="U183" s="66"/>
      <c r="V183" s="66"/>
      <c r="W183" s="66"/>
    </row>
    <row r="184" spans="1:24" s="64" customFormat="1" x14ac:dyDescent="0.25">
      <c r="A184" s="65"/>
      <c r="B184" s="511"/>
      <c r="C184" s="511"/>
      <c r="D184" s="511"/>
      <c r="E184" s="61"/>
      <c r="F184" s="61"/>
      <c r="G184" s="61"/>
      <c r="H184" s="61"/>
      <c r="I184" s="61"/>
      <c r="J184" s="62"/>
      <c r="K184" s="188"/>
      <c r="L184" s="188"/>
      <c r="M184" s="232"/>
      <c r="N184" s="55"/>
      <c r="O184" s="61"/>
      <c r="P184" s="200"/>
      <c r="Q184" s="200"/>
      <c r="R184" s="200"/>
      <c r="S184" s="200"/>
      <c r="T184" s="200"/>
      <c r="U184" s="66"/>
      <c r="V184" s="66"/>
      <c r="W184" s="66"/>
    </row>
    <row r="185" spans="1:24" s="64" customFormat="1" x14ac:dyDescent="0.25">
      <c r="A185" s="65"/>
      <c r="B185" s="511"/>
      <c r="C185" s="511"/>
      <c r="D185" s="511"/>
      <c r="E185" s="61"/>
      <c r="F185" s="61"/>
      <c r="G185" s="61"/>
      <c r="H185" s="61"/>
      <c r="I185" s="61"/>
      <c r="J185" s="62"/>
      <c r="K185" s="188"/>
      <c r="L185" s="188"/>
      <c r="M185" s="232"/>
      <c r="N185" s="55"/>
      <c r="O185" s="61"/>
      <c r="P185" s="200"/>
      <c r="Q185" s="200"/>
      <c r="R185" s="200"/>
      <c r="S185" s="200"/>
      <c r="T185" s="200"/>
      <c r="U185" s="66"/>
      <c r="V185" s="66"/>
      <c r="W185" s="66"/>
    </row>
    <row r="186" spans="1:24" s="64" customFormat="1" ht="13.8" thickBot="1" x14ac:dyDescent="0.3">
      <c r="A186" s="127"/>
      <c r="B186" s="595"/>
      <c r="C186" s="595"/>
      <c r="D186" s="595"/>
      <c r="E186" s="195"/>
      <c r="F186" s="195"/>
      <c r="G186" s="195"/>
      <c r="H186" s="195"/>
      <c r="I186" s="195"/>
      <c r="J186" s="233"/>
      <c r="K186" s="194"/>
      <c r="L186" s="194"/>
      <c r="M186" s="234"/>
      <c r="N186" s="148"/>
      <c r="O186" s="193"/>
      <c r="P186" s="200"/>
      <c r="Q186" s="200"/>
      <c r="R186" s="200"/>
      <c r="S186" s="200"/>
      <c r="T186" s="200"/>
      <c r="U186" s="66"/>
      <c r="V186" s="66"/>
      <c r="W186" s="66"/>
    </row>
    <row r="187" spans="1:24" x14ac:dyDescent="0.25">
      <c r="A187" s="199"/>
      <c r="B187" s="199"/>
      <c r="E187" s="199"/>
      <c r="J187" s="199"/>
      <c r="K187" s="199"/>
      <c r="L187" s="199"/>
      <c r="M187" s="199"/>
      <c r="O187" s="177"/>
      <c r="P187" s="177"/>
      <c r="Q187" s="177"/>
      <c r="R187" s="177"/>
      <c r="S187" s="177"/>
      <c r="T187" s="177"/>
      <c r="U187" s="177"/>
      <c r="V187" s="199"/>
      <c r="W187" s="199"/>
      <c r="X187" s="199"/>
    </row>
    <row r="188" spans="1:24" ht="13.8" thickBot="1" x14ac:dyDescent="0.3">
      <c r="A188" s="198"/>
      <c r="B188" s="198"/>
      <c r="C188" s="198"/>
      <c r="D188" s="198"/>
      <c r="E188" s="198"/>
      <c r="F188" s="198"/>
      <c r="G188" s="198"/>
      <c r="H188" s="198"/>
      <c r="I188" s="177"/>
      <c r="J188" s="177"/>
      <c r="K188" s="177"/>
      <c r="L188" s="177"/>
      <c r="M188" s="177"/>
      <c r="N188" s="199"/>
      <c r="O188" s="199"/>
      <c r="P188" s="199"/>
      <c r="Q188" s="199"/>
      <c r="R188" s="199"/>
      <c r="S188" s="199"/>
      <c r="T188" s="199"/>
      <c r="U188" s="199"/>
      <c r="V188" s="199"/>
      <c r="W188" s="177"/>
    </row>
    <row r="189" spans="1:24" ht="13.8" thickBot="1" x14ac:dyDescent="0.3">
      <c r="A189" s="501" t="s">
        <v>34</v>
      </c>
      <c r="B189" s="570"/>
      <c r="C189" s="571"/>
      <c r="D189" s="235"/>
      <c r="E189" s="198"/>
      <c r="F189" s="198"/>
      <c r="G189" s="198"/>
      <c r="H189" s="198"/>
      <c r="I189" s="177"/>
      <c r="J189" s="177"/>
      <c r="K189" s="177"/>
      <c r="L189" s="177"/>
      <c r="M189" s="177"/>
      <c r="N189" s="199"/>
      <c r="O189" s="199"/>
      <c r="P189" s="199"/>
      <c r="Q189" s="199"/>
      <c r="R189" s="199"/>
      <c r="S189" s="199"/>
      <c r="T189" s="199"/>
      <c r="U189" s="199"/>
      <c r="V189" s="199"/>
      <c r="W189" s="177"/>
    </row>
    <row r="190" spans="1:24" ht="13.8" thickBot="1" x14ac:dyDescent="0.3">
      <c r="A190" s="582" t="s">
        <v>556</v>
      </c>
      <c r="B190" s="583"/>
      <c r="C190" s="584"/>
      <c r="D190" s="139"/>
      <c r="E190" s="139"/>
      <c r="F190" s="139"/>
      <c r="G190" s="139"/>
      <c r="H190" s="140"/>
      <c r="I190" s="140"/>
      <c r="J190" s="139"/>
      <c r="K190" s="140"/>
      <c r="L190" s="139"/>
      <c r="M190" s="177"/>
      <c r="N190" s="199"/>
      <c r="O190" s="199"/>
      <c r="P190" s="199"/>
      <c r="Q190" s="199"/>
      <c r="R190" s="199"/>
      <c r="S190" s="199"/>
      <c r="T190" s="199"/>
      <c r="U190" s="199"/>
      <c r="V190" s="199"/>
      <c r="W190" s="177"/>
    </row>
    <row r="191" spans="1:24" x14ac:dyDescent="0.25">
      <c r="A191" s="211" t="s">
        <v>30</v>
      </c>
      <c r="B191" s="156"/>
      <c r="C191" s="213" t="s">
        <v>149</v>
      </c>
      <c r="D191" s="213"/>
      <c r="E191" s="214"/>
      <c r="F191" s="214"/>
      <c r="G191" s="214"/>
      <c r="H191" s="215"/>
      <c r="I191" s="215"/>
      <c r="J191" s="214"/>
      <c r="K191" s="215"/>
      <c r="L191" s="236"/>
      <c r="M191" s="177"/>
      <c r="N191" s="199"/>
      <c r="O191" s="199"/>
      <c r="P191" s="199"/>
      <c r="Q191" s="199"/>
      <c r="R191" s="199"/>
      <c r="S191" s="199"/>
      <c r="T191" s="199"/>
      <c r="U191" s="199"/>
      <c r="V191" s="199"/>
      <c r="W191" s="177"/>
    </row>
    <row r="192" spans="1:24" x14ac:dyDescent="0.25">
      <c r="A192" s="163" t="s">
        <v>35</v>
      </c>
      <c r="B192" s="219"/>
      <c r="C192" s="219"/>
      <c r="D192" s="219"/>
      <c r="E192" s="219"/>
      <c r="F192" s="219"/>
      <c r="G192" s="219"/>
      <c r="H192" s="220"/>
      <c r="I192" s="220"/>
      <c r="J192" s="219"/>
      <c r="K192" s="220"/>
      <c r="L192" s="237"/>
      <c r="M192" s="177"/>
      <c r="N192" s="199"/>
      <c r="O192" s="199"/>
      <c r="P192" s="199"/>
      <c r="Q192" s="199"/>
      <c r="R192" s="199"/>
      <c r="S192" s="199"/>
      <c r="T192" s="199"/>
      <c r="U192" s="199"/>
      <c r="V192" s="199"/>
      <c r="W192" s="177"/>
    </row>
    <row r="193" spans="1:23" x14ac:dyDescent="0.25">
      <c r="A193" s="163" t="s">
        <v>166</v>
      </c>
      <c r="B193" s="219"/>
      <c r="C193" s="219"/>
      <c r="D193" s="219"/>
      <c r="E193" s="219"/>
      <c r="F193" s="219"/>
      <c r="G193" s="219"/>
      <c r="H193" s="220"/>
      <c r="I193" s="220"/>
      <c r="J193" s="219"/>
      <c r="K193" s="220"/>
      <c r="L193" s="237"/>
      <c r="M193" s="177"/>
      <c r="N193" s="199"/>
      <c r="O193" s="199"/>
      <c r="P193" s="199"/>
      <c r="Q193" s="199"/>
      <c r="R193" s="199"/>
      <c r="S193" s="199"/>
      <c r="T193" s="199"/>
      <c r="U193" s="199"/>
      <c r="V193" s="199"/>
      <c r="W193" s="177"/>
    </row>
    <row r="194" spans="1:23" x14ac:dyDescent="0.25">
      <c r="A194" s="163" t="s">
        <v>861</v>
      </c>
      <c r="B194" s="219"/>
      <c r="C194" s="219"/>
      <c r="D194" s="219"/>
      <c r="E194" s="219"/>
      <c r="F194" s="219"/>
      <c r="G194" s="219"/>
      <c r="H194" s="220"/>
      <c r="I194" s="220"/>
      <c r="J194" s="219"/>
      <c r="K194" s="220"/>
      <c r="L194" s="237"/>
      <c r="M194" s="177"/>
      <c r="N194" s="199"/>
      <c r="O194" s="199"/>
      <c r="P194" s="199"/>
      <c r="Q194" s="199"/>
      <c r="R194" s="199"/>
      <c r="S194" s="199"/>
      <c r="T194" s="199"/>
      <c r="U194" s="199"/>
      <c r="V194" s="199"/>
      <c r="W194" s="177"/>
    </row>
    <row r="195" spans="1:23" ht="13.8" thickBot="1" x14ac:dyDescent="0.3">
      <c r="A195" s="137" t="s">
        <v>862</v>
      </c>
      <c r="B195" s="224"/>
      <c r="C195" s="224"/>
      <c r="D195" s="224"/>
      <c r="E195" s="224"/>
      <c r="F195" s="224"/>
      <c r="G195" s="224"/>
      <c r="H195" s="225"/>
      <c r="I195" s="225"/>
      <c r="J195" s="224"/>
      <c r="K195" s="225"/>
      <c r="L195" s="238"/>
      <c r="M195" s="177"/>
      <c r="N195" s="199"/>
      <c r="O195" s="199"/>
      <c r="P195" s="199"/>
      <c r="Q195" s="199"/>
      <c r="R195" s="199"/>
      <c r="S195" s="199"/>
      <c r="T195" s="199"/>
      <c r="U195" s="199"/>
      <c r="V195" s="199"/>
      <c r="W195" s="177"/>
    </row>
    <row r="196" spans="1:23" ht="13.8" thickBot="1" x14ac:dyDescent="0.3">
      <c r="A196" s="239"/>
      <c r="E196" s="139"/>
      <c r="F196" s="139"/>
      <c r="G196" s="139"/>
      <c r="H196" s="140"/>
      <c r="I196" s="142"/>
      <c r="J196" s="139"/>
      <c r="K196" s="140"/>
      <c r="L196" s="139"/>
      <c r="M196" s="177"/>
      <c r="N196" s="199"/>
      <c r="O196" s="199"/>
      <c r="P196" s="199"/>
      <c r="Q196" s="199"/>
      <c r="R196" s="177"/>
      <c r="V196" s="240"/>
      <c r="W196" s="240"/>
    </row>
    <row r="197" spans="1:23" s="181" customFormat="1" ht="27" thickBot="1" x14ac:dyDescent="0.3">
      <c r="A197" s="229" t="s">
        <v>31</v>
      </c>
      <c r="B197" s="505" t="s">
        <v>13</v>
      </c>
      <c r="C197" s="505"/>
      <c r="D197" s="506"/>
      <c r="E197" s="54" t="s">
        <v>12</v>
      </c>
      <c r="F197" s="54" t="s">
        <v>14</v>
      </c>
      <c r="G197" s="54" t="s">
        <v>262</v>
      </c>
      <c r="H197" s="54" t="s">
        <v>32</v>
      </c>
      <c r="I197" s="54" t="s">
        <v>16</v>
      </c>
      <c r="J197" s="54" t="s">
        <v>17</v>
      </c>
      <c r="K197" s="54" t="s">
        <v>18</v>
      </c>
      <c r="L197" s="54" t="s">
        <v>19</v>
      </c>
      <c r="M197" s="54" t="s">
        <v>20</v>
      </c>
      <c r="N197" s="230" t="s">
        <v>117</v>
      </c>
      <c r="O197" s="54" t="s">
        <v>90</v>
      </c>
      <c r="V197" s="241"/>
    </row>
    <row r="198" spans="1:23" s="64" customFormat="1" x14ac:dyDescent="0.25">
      <c r="A198" s="336"/>
      <c r="B198" s="543"/>
      <c r="C198" s="543"/>
      <c r="D198" s="543"/>
      <c r="E198" s="337"/>
      <c r="F198" s="337"/>
      <c r="G198" s="337"/>
      <c r="H198" s="337"/>
      <c r="I198" s="337"/>
      <c r="J198" s="346"/>
      <c r="K198" s="346"/>
      <c r="L198" s="346"/>
      <c r="M198" s="346"/>
      <c r="N198" s="347"/>
      <c r="O198" s="337"/>
      <c r="P198" s="66"/>
      <c r="Q198" s="66"/>
      <c r="R198" s="66"/>
      <c r="S198" s="66"/>
      <c r="T198" s="66"/>
      <c r="U198" s="66"/>
      <c r="V198" s="200"/>
    </row>
    <row r="199" spans="1:23" s="64" customFormat="1" x14ac:dyDescent="0.25">
      <c r="A199" s="65"/>
      <c r="B199" s="511"/>
      <c r="C199" s="511"/>
      <c r="D199" s="511"/>
      <c r="E199" s="61"/>
      <c r="F199" s="61"/>
      <c r="G199" s="61"/>
      <c r="H199" s="61"/>
      <c r="I199" s="61"/>
      <c r="J199" s="188"/>
      <c r="K199" s="188"/>
      <c r="L199" s="188"/>
      <c r="M199" s="188"/>
      <c r="N199" s="55"/>
      <c r="O199" s="61"/>
      <c r="P199" s="66"/>
      <c r="Q199" s="66"/>
      <c r="R199" s="66"/>
      <c r="S199" s="66"/>
      <c r="T199" s="66"/>
      <c r="U199" s="66"/>
      <c r="V199" s="200"/>
    </row>
    <row r="200" spans="1:23" s="64" customFormat="1" x14ac:dyDescent="0.25">
      <c r="A200" s="65"/>
      <c r="B200" s="511"/>
      <c r="C200" s="511"/>
      <c r="D200" s="511"/>
      <c r="E200" s="61"/>
      <c r="F200" s="61"/>
      <c r="G200" s="61"/>
      <c r="H200" s="61"/>
      <c r="I200" s="61"/>
      <c r="J200" s="188"/>
      <c r="K200" s="188"/>
      <c r="L200" s="188"/>
      <c r="M200" s="188"/>
      <c r="N200" s="55"/>
      <c r="O200" s="61"/>
      <c r="P200" s="66"/>
      <c r="Q200" s="66"/>
      <c r="R200" s="66"/>
      <c r="S200" s="66"/>
      <c r="T200" s="66"/>
      <c r="U200" s="66"/>
      <c r="V200" s="200"/>
    </row>
    <row r="201" spans="1:23" s="64" customFormat="1" ht="13.8" thickBot="1" x14ac:dyDescent="0.3">
      <c r="A201" s="127"/>
      <c r="B201" s="595"/>
      <c r="C201" s="595"/>
      <c r="D201" s="595"/>
      <c r="E201" s="195"/>
      <c r="F201" s="195"/>
      <c r="G201" s="195"/>
      <c r="H201" s="195"/>
      <c r="I201" s="195"/>
      <c r="J201" s="194"/>
      <c r="K201" s="194"/>
      <c r="L201" s="194"/>
      <c r="M201" s="194"/>
      <c r="N201" s="148"/>
      <c r="O201" s="193"/>
      <c r="P201" s="66"/>
      <c r="Q201" s="66"/>
      <c r="R201" s="66"/>
      <c r="S201" s="66"/>
      <c r="T201" s="66"/>
      <c r="U201" s="66"/>
      <c r="V201" s="200"/>
    </row>
    <row r="202" spans="1:23" ht="13.8" thickBot="1" x14ac:dyDescent="0.3">
      <c r="A202" s="198"/>
      <c r="B202" s="198"/>
      <c r="C202" s="198"/>
      <c r="D202" s="198"/>
      <c r="E202" s="198"/>
      <c r="F202" s="198"/>
      <c r="G202" s="198"/>
      <c r="H202" s="177"/>
      <c r="I202" s="177"/>
      <c r="J202" s="177"/>
      <c r="K202" s="177"/>
      <c r="L202" s="177"/>
      <c r="M202" s="199"/>
      <c r="N202" s="199"/>
      <c r="O202" s="199"/>
      <c r="P202" s="199"/>
      <c r="Q202" s="199"/>
      <c r="R202" s="199"/>
      <c r="S202" s="199"/>
      <c r="T202" s="199"/>
      <c r="U202" s="199"/>
      <c r="V202" s="177"/>
    </row>
    <row r="203" spans="1:23" ht="13.8" thickBot="1" x14ac:dyDescent="0.3">
      <c r="A203" s="501" t="s">
        <v>36</v>
      </c>
      <c r="B203" s="502"/>
      <c r="C203" s="502"/>
      <c r="D203" s="502"/>
      <c r="E203" s="502"/>
      <c r="F203" s="502"/>
      <c r="G203" s="502"/>
      <c r="H203" s="502"/>
      <c r="I203" s="503"/>
      <c r="K203" s="177"/>
      <c r="L203" s="199"/>
      <c r="M203" s="199"/>
      <c r="N203" s="199"/>
      <c r="O203" s="199"/>
      <c r="P203" s="199"/>
      <c r="Q203" s="199"/>
      <c r="R203" s="199"/>
      <c r="S203" s="177"/>
      <c r="T203" s="177"/>
      <c r="U203" s="177"/>
    </row>
    <row r="204" spans="1:23" ht="13.8" thickBot="1" x14ac:dyDescent="0.3">
      <c r="A204" s="596" t="s">
        <v>37</v>
      </c>
      <c r="B204" s="597"/>
      <c r="C204" s="597"/>
      <c r="D204" s="597"/>
      <c r="E204" s="597"/>
      <c r="F204" s="597"/>
      <c r="G204" s="597"/>
      <c r="H204" s="597"/>
      <c r="I204" s="598"/>
      <c r="J204" s="140"/>
      <c r="K204" s="177"/>
      <c r="L204" s="199"/>
      <c r="M204" s="199"/>
      <c r="N204" s="199"/>
      <c r="O204" s="199"/>
      <c r="P204" s="199"/>
      <c r="Q204" s="199"/>
      <c r="R204" s="199"/>
      <c r="S204" s="177"/>
      <c r="T204" s="177"/>
      <c r="U204" s="177"/>
    </row>
    <row r="205" spans="1:23" s="335" customFormat="1" ht="15.75" customHeight="1" thickBot="1" x14ac:dyDescent="0.3">
      <c r="A205" s="384" t="s">
        <v>280</v>
      </c>
      <c r="B205" s="544" t="s">
        <v>971</v>
      </c>
      <c r="C205" s="545"/>
      <c r="D205" s="545"/>
      <c r="E205" s="545"/>
      <c r="F205" s="545"/>
      <c r="G205" s="545"/>
      <c r="H205" s="545"/>
      <c r="I205" s="546"/>
      <c r="J205" s="370"/>
      <c r="K205" s="371"/>
      <c r="L205" s="338"/>
      <c r="M205" s="338"/>
      <c r="N205" s="338"/>
      <c r="O205" s="338"/>
      <c r="P205" s="338"/>
      <c r="Q205" s="338"/>
      <c r="R205" s="338"/>
      <c r="S205" s="371"/>
      <c r="T205" s="371"/>
      <c r="U205" s="371"/>
    </row>
    <row r="206" spans="1:23" s="335" customFormat="1" ht="15.75" customHeight="1" thickBot="1" x14ac:dyDescent="0.3">
      <c r="A206" s="384" t="s">
        <v>1231</v>
      </c>
      <c r="B206" s="544" t="s">
        <v>1688</v>
      </c>
      <c r="C206" s="545"/>
      <c r="D206" s="545"/>
      <c r="E206" s="545"/>
      <c r="F206" s="545"/>
      <c r="G206" s="545"/>
      <c r="H206" s="545"/>
      <c r="I206" s="546"/>
      <c r="J206" s="370"/>
      <c r="K206" s="371"/>
      <c r="L206" s="338"/>
      <c r="M206" s="338"/>
      <c r="N206" s="338"/>
      <c r="O206" s="338"/>
      <c r="P206" s="338"/>
      <c r="Q206" s="338"/>
      <c r="R206" s="338"/>
      <c r="S206" s="371"/>
      <c r="T206" s="371"/>
      <c r="U206" s="371"/>
    </row>
    <row r="207" spans="1:23" ht="13.8" thickBot="1" x14ac:dyDescent="0.3">
      <c r="A207" s="239"/>
      <c r="J207" s="199"/>
      <c r="K207" s="177"/>
      <c r="L207" s="199"/>
      <c r="M207" s="199"/>
      <c r="N207" s="199"/>
      <c r="O207" s="199"/>
      <c r="P207" s="199"/>
      <c r="Q207" s="177"/>
    </row>
    <row r="208" spans="1:23" ht="16.5" customHeight="1" thickBot="1" x14ac:dyDescent="0.3">
      <c r="A208" s="593" t="s">
        <v>203</v>
      </c>
      <c r="B208" s="594"/>
      <c r="C208" s="594"/>
      <c r="D208" s="594"/>
      <c r="E208" s="594"/>
      <c r="F208" s="594"/>
      <c r="G208" s="594"/>
      <c r="H208" s="578" t="s">
        <v>215</v>
      </c>
      <c r="I208" s="576" t="s">
        <v>558</v>
      </c>
      <c r="J208" s="576" t="s">
        <v>204</v>
      </c>
      <c r="K208" s="576" t="s">
        <v>23</v>
      </c>
      <c r="L208" s="576" t="s">
        <v>286</v>
      </c>
      <c r="M208" s="580" t="s">
        <v>81</v>
      </c>
      <c r="N208" s="199"/>
      <c r="O208" s="177"/>
      <c r="Q208" s="240"/>
      <c r="R208" s="240"/>
    </row>
    <row r="209" spans="1:18" s="141" customFormat="1" ht="13.8" thickBot="1" x14ac:dyDescent="0.3">
      <c r="A209" s="585" t="s">
        <v>1648</v>
      </c>
      <c r="B209" s="586"/>
      <c r="C209" s="586"/>
      <c r="D209" s="586"/>
      <c r="E209" s="586"/>
      <c r="F209" s="586"/>
      <c r="G209" s="587"/>
      <c r="H209" s="579"/>
      <c r="I209" s="577"/>
      <c r="J209" s="577"/>
      <c r="K209" s="577"/>
      <c r="L209" s="577"/>
      <c r="M209" s="581"/>
      <c r="N209" s="242"/>
      <c r="O209" s="242"/>
      <c r="P209" s="242"/>
      <c r="Q209" s="242"/>
      <c r="R209" s="242"/>
    </row>
    <row r="210" spans="1:18" s="141" customFormat="1" ht="15.75" customHeight="1" thickBot="1" x14ac:dyDescent="0.3">
      <c r="A210" s="588" t="s">
        <v>1329</v>
      </c>
      <c r="B210" s="589"/>
      <c r="C210" s="589"/>
      <c r="D210" s="589"/>
      <c r="E210" s="589"/>
      <c r="F210" s="589"/>
      <c r="G210" s="590"/>
      <c r="H210" s="579"/>
      <c r="I210" s="577"/>
      <c r="J210" s="577"/>
      <c r="K210" s="577"/>
      <c r="L210" s="577"/>
      <c r="M210" s="581"/>
      <c r="N210" s="242"/>
      <c r="O210" s="242"/>
      <c r="P210" s="242"/>
      <c r="Q210" s="242"/>
      <c r="R210" s="242"/>
    </row>
    <row r="211" spans="1:18" s="64" customFormat="1" ht="15.75" customHeight="1" x14ac:dyDescent="0.25">
      <c r="A211" s="373" t="s">
        <v>97</v>
      </c>
      <c r="B211" s="543" t="str">
        <f>IF($A211="","",VLOOKUP($A211,Listes!$A$3:$C$230,2,FALSE))</f>
        <v>Alameda Corridor Surcharge import</v>
      </c>
      <c r="C211" s="543"/>
      <c r="D211" s="543"/>
      <c r="E211" s="542" t="s">
        <v>52</v>
      </c>
      <c r="F211" s="542" t="s">
        <v>52</v>
      </c>
      <c r="G211" s="542" t="s">
        <v>52</v>
      </c>
      <c r="H211" s="374"/>
      <c r="I211" s="375"/>
      <c r="J211" s="375"/>
      <c r="K211" s="375"/>
      <c r="L211" s="375"/>
      <c r="M211" s="376"/>
      <c r="N211" s="66"/>
      <c r="O211" s="66"/>
      <c r="P211" s="66"/>
      <c r="Q211" s="66"/>
      <c r="R211" s="200"/>
    </row>
    <row r="212" spans="1:18" s="64" customFormat="1" ht="15.75" customHeight="1" x14ac:dyDescent="0.25">
      <c r="A212" s="377" t="s">
        <v>221</v>
      </c>
      <c r="B212" s="511" t="str">
        <f>IF($A212="","",VLOOKUP($A212,Listes!$A$3:$C$230,2,FALSE))</f>
        <v>Bunker Adjustment Factor</v>
      </c>
      <c r="C212" s="511"/>
      <c r="D212" s="511"/>
      <c r="E212" s="541" t="s">
        <v>52</v>
      </c>
      <c r="F212" s="541" t="s">
        <v>52</v>
      </c>
      <c r="G212" s="541" t="s">
        <v>52</v>
      </c>
      <c r="H212" s="378"/>
      <c r="I212" s="345"/>
      <c r="J212" s="345"/>
      <c r="K212" s="345"/>
      <c r="L212" s="345"/>
      <c r="M212" s="379"/>
      <c r="N212" s="66"/>
      <c r="O212" s="66"/>
      <c r="P212" s="66"/>
      <c r="Q212" s="66"/>
      <c r="R212" s="200"/>
    </row>
    <row r="213" spans="1:18" s="64" customFormat="1" ht="15.75" customHeight="1" x14ac:dyDescent="0.25">
      <c r="A213" s="377" t="s">
        <v>951</v>
      </c>
      <c r="B213" s="511" t="str">
        <f>IF($A213="","",VLOOKUP($A213,Listes!$A$3:$C$230,2,FALSE))</f>
        <v>Chassis Administration Fee On-Carriage</v>
      </c>
      <c r="C213" s="511"/>
      <c r="D213" s="511"/>
      <c r="E213" s="541" t="s">
        <v>50</v>
      </c>
      <c r="F213" s="541" t="s">
        <v>50</v>
      </c>
      <c r="G213" s="541" t="s">
        <v>50</v>
      </c>
      <c r="H213" s="378"/>
      <c r="I213" s="345"/>
      <c r="J213" s="345"/>
      <c r="K213" s="345"/>
      <c r="L213" s="345"/>
      <c r="M213" s="379"/>
      <c r="N213" s="66"/>
      <c r="O213" s="66"/>
      <c r="P213" s="66"/>
      <c r="Q213" s="66"/>
      <c r="R213" s="200"/>
    </row>
    <row r="214" spans="1:18" s="64" customFormat="1" ht="15.75" customHeight="1" x14ac:dyDescent="0.25">
      <c r="A214" s="377" t="s">
        <v>493</v>
      </c>
      <c r="B214" s="511" t="str">
        <f>IF($A214="","",VLOOKUP($A214,Listes!$A$3:$C$230,2,FALSE))</f>
        <v>Chassis Provision Charge</v>
      </c>
      <c r="C214" s="511"/>
      <c r="D214" s="511"/>
      <c r="E214" s="541" t="s">
        <v>50</v>
      </c>
      <c r="F214" s="541" t="s">
        <v>50</v>
      </c>
      <c r="G214" s="541" t="s">
        <v>50</v>
      </c>
      <c r="H214" s="378"/>
      <c r="I214" s="345"/>
      <c r="J214" s="345"/>
      <c r="K214" s="345"/>
      <c r="L214" s="345"/>
      <c r="M214" s="379"/>
      <c r="N214" s="66"/>
      <c r="O214" s="66"/>
      <c r="P214" s="66"/>
      <c r="Q214" s="66"/>
      <c r="R214" s="200"/>
    </row>
    <row r="215" spans="1:18" s="64" customFormat="1" ht="15.75" customHeight="1" x14ac:dyDescent="0.25">
      <c r="A215" s="377" t="s">
        <v>249</v>
      </c>
      <c r="B215" s="511" t="str">
        <f>IF($A215="","",VLOOKUP($A215,Listes!$A$3:$C$230,2,FALSE))</f>
        <v>Carrier Security Charge</v>
      </c>
      <c r="C215" s="511"/>
      <c r="D215" s="511"/>
      <c r="E215" s="541" t="s">
        <v>50</v>
      </c>
      <c r="F215" s="541" t="s">
        <v>50</v>
      </c>
      <c r="G215" s="541" t="s">
        <v>50</v>
      </c>
      <c r="H215" s="378"/>
      <c r="I215" s="345"/>
      <c r="J215" s="345"/>
      <c r="K215" s="345"/>
      <c r="L215" s="345"/>
      <c r="M215" s="379"/>
      <c r="N215" s="66"/>
      <c r="O215" s="66"/>
      <c r="P215" s="66"/>
      <c r="Q215" s="66"/>
      <c r="R215" s="200"/>
    </row>
    <row r="216" spans="1:18" s="64" customFormat="1" ht="15.75" customHeight="1" x14ac:dyDescent="0.25">
      <c r="A216" s="377" t="s">
        <v>1049</v>
      </c>
      <c r="B216" s="511" t="str">
        <f>IF($A216="","",VLOOKUP($A216,Listes!$A$3:$C$230,2,FALSE))</f>
        <v>Container Maintenance Charge Destination</v>
      </c>
      <c r="C216" s="511"/>
      <c r="D216" s="511"/>
      <c r="E216" s="541" t="s">
        <v>50</v>
      </c>
      <c r="F216" s="541" t="s">
        <v>50</v>
      </c>
      <c r="G216" s="541" t="s">
        <v>50</v>
      </c>
      <c r="H216" s="378"/>
      <c r="I216" s="345"/>
      <c r="J216" s="345"/>
      <c r="K216" s="345"/>
      <c r="L216" s="345"/>
      <c r="M216" s="379"/>
      <c r="N216" s="66"/>
      <c r="O216" s="66"/>
      <c r="P216" s="66"/>
      <c r="Q216" s="66"/>
      <c r="R216" s="200"/>
    </row>
    <row r="217" spans="1:18" s="64" customFormat="1" ht="15.75" customHeight="1" x14ac:dyDescent="0.25">
      <c r="A217" s="377" t="s">
        <v>219</v>
      </c>
      <c r="B217" s="511" t="str">
        <f>IF($A217="","",VLOOKUP($A217,Listes!$A$3:$C$230,2,FALSE))</f>
        <v>Destination THC / Destination Receiving Charge</v>
      </c>
      <c r="C217" s="511"/>
      <c r="D217" s="511"/>
      <c r="E217" s="541" t="s">
        <v>52</v>
      </c>
      <c r="F217" s="541" t="s">
        <v>52</v>
      </c>
      <c r="G217" s="541" t="s">
        <v>52</v>
      </c>
      <c r="H217" s="378"/>
      <c r="I217" s="345"/>
      <c r="J217" s="345"/>
      <c r="K217" s="345"/>
      <c r="L217" s="345"/>
      <c r="M217" s="379"/>
      <c r="N217" s="66"/>
      <c r="O217" s="66"/>
      <c r="P217" s="66"/>
      <c r="Q217" s="66"/>
      <c r="R217" s="200"/>
    </row>
    <row r="218" spans="1:18" s="64" customFormat="1" ht="15.75" customHeight="1" x14ac:dyDescent="0.25">
      <c r="A218" s="377" t="s">
        <v>780</v>
      </c>
      <c r="B218" s="511" t="str">
        <f>IF($A218="","",VLOOKUP($A218,Listes!$A$3:$C$230,2,FALSE))</f>
        <v>Export Documentation Fees - Carrier</v>
      </c>
      <c r="C218" s="511"/>
      <c r="D218" s="511"/>
      <c r="E218" s="541" t="s">
        <v>50</v>
      </c>
      <c r="F218" s="541" t="s">
        <v>50</v>
      </c>
      <c r="G218" s="541" t="s">
        <v>50</v>
      </c>
      <c r="H218" s="378"/>
      <c r="I218" s="345"/>
      <c r="J218" s="345"/>
      <c r="K218" s="345"/>
      <c r="L218" s="345"/>
      <c r="M218" s="379"/>
      <c r="N218" s="66"/>
      <c r="O218" s="66"/>
      <c r="P218" s="66"/>
      <c r="Q218" s="66"/>
      <c r="R218" s="200"/>
    </row>
    <row r="219" spans="1:18" s="64" customFormat="1" ht="15.75" customHeight="1" x14ac:dyDescent="0.25">
      <c r="A219" s="377" t="s">
        <v>763</v>
      </c>
      <c r="B219" s="511" t="str">
        <f>IF($A219="","",VLOOKUP($A219,Listes!$A$3:$C$230,2,FALSE))</f>
        <v>Export Declaration Surcharge</v>
      </c>
      <c r="C219" s="511"/>
      <c r="D219" s="511"/>
      <c r="E219" s="541" t="s">
        <v>52</v>
      </c>
      <c r="F219" s="541" t="s">
        <v>52</v>
      </c>
      <c r="G219" s="541" t="s">
        <v>52</v>
      </c>
      <c r="H219" s="378"/>
      <c r="I219" s="345"/>
      <c r="J219" s="345"/>
      <c r="K219" s="345"/>
      <c r="L219" s="345"/>
      <c r="M219" s="379"/>
      <c r="N219" s="66"/>
      <c r="O219" s="66"/>
      <c r="P219" s="66"/>
      <c r="Q219" s="66"/>
      <c r="R219" s="200"/>
    </row>
    <row r="220" spans="1:18" s="64" customFormat="1" ht="15.75" customHeight="1" x14ac:dyDescent="0.25">
      <c r="A220" s="377" t="s">
        <v>1093</v>
      </c>
      <c r="B220" s="511" t="str">
        <f>IF($A220="","",VLOOKUP($A220,Listes!$A$3:$C$230,2,FALSE))</f>
        <v>Export Seal Fee</v>
      </c>
      <c r="C220" s="511"/>
      <c r="D220" s="511"/>
      <c r="E220" s="541" t="s">
        <v>50</v>
      </c>
      <c r="F220" s="541" t="s">
        <v>50</v>
      </c>
      <c r="G220" s="541" t="s">
        <v>50</v>
      </c>
      <c r="H220" s="378"/>
      <c r="I220" s="345"/>
      <c r="J220" s="345"/>
      <c r="K220" s="345"/>
      <c r="L220" s="345"/>
      <c r="M220" s="379"/>
      <c r="N220" s="66"/>
      <c r="O220" s="66"/>
      <c r="P220" s="66"/>
      <c r="Q220" s="66"/>
      <c r="R220" s="200"/>
    </row>
    <row r="221" spans="1:18" s="64" customFormat="1" ht="15.75" customHeight="1" x14ac:dyDescent="0.25">
      <c r="A221" s="377" t="s">
        <v>80</v>
      </c>
      <c r="B221" s="511" t="str">
        <f>IF($A221="","",VLOOKUP($A221,Listes!$A$3:$C$230,2,FALSE))</f>
        <v>General Rate Increase</v>
      </c>
      <c r="C221" s="511"/>
      <c r="D221" s="511"/>
      <c r="E221" s="541" t="s">
        <v>50</v>
      </c>
      <c r="F221" s="541" t="s">
        <v>50</v>
      </c>
      <c r="G221" s="541" t="s">
        <v>50</v>
      </c>
      <c r="H221" s="378"/>
      <c r="I221" s="345"/>
      <c r="J221" s="345"/>
      <c r="K221" s="345"/>
      <c r="L221" s="345"/>
      <c r="M221" s="379"/>
      <c r="N221" s="66"/>
      <c r="O221" s="66"/>
      <c r="P221" s="66"/>
      <c r="Q221" s="66"/>
      <c r="R221" s="200"/>
    </row>
    <row r="222" spans="1:18" s="64" customFormat="1" ht="15.75" customHeight="1" x14ac:dyDescent="0.25">
      <c r="A222" s="377" t="s">
        <v>246</v>
      </c>
      <c r="B222" s="511" t="str">
        <f>IF($A222="","",VLOOKUP($A222,Listes!$A$3:$C$230,2,FALSE))</f>
        <v>Hazardous Fees (Ocean)</v>
      </c>
      <c r="C222" s="511"/>
      <c r="D222" s="511"/>
      <c r="E222" s="541" t="s">
        <v>50</v>
      </c>
      <c r="F222" s="541" t="s">
        <v>50</v>
      </c>
      <c r="G222" s="541" t="s">
        <v>50</v>
      </c>
      <c r="H222" s="378"/>
      <c r="I222" s="345"/>
      <c r="J222" s="345"/>
      <c r="K222" s="345"/>
      <c r="L222" s="345"/>
      <c r="M222" s="379"/>
      <c r="N222" s="66"/>
      <c r="O222" s="66"/>
      <c r="P222" s="66"/>
      <c r="Q222" s="66"/>
      <c r="R222" s="200"/>
    </row>
    <row r="223" spans="1:18" s="64" customFormat="1" ht="15.75" customHeight="1" x14ac:dyDescent="0.25">
      <c r="A223" s="377" t="s">
        <v>793</v>
      </c>
      <c r="B223" s="511" t="str">
        <f>IF($A223="","",VLOOKUP($A223,Listes!$A$3:$C$230,2,FALSE))</f>
        <v>Oncarriage Additional Intermodal Door Delivery Surcharge</v>
      </c>
      <c r="C223" s="511"/>
      <c r="D223" s="511"/>
      <c r="E223" s="541" t="s">
        <v>52</v>
      </c>
      <c r="F223" s="541" t="s">
        <v>52</v>
      </c>
      <c r="G223" s="541" t="s">
        <v>52</v>
      </c>
      <c r="H223" s="378"/>
      <c r="I223" s="345"/>
      <c r="J223" s="345"/>
      <c r="K223" s="345"/>
      <c r="L223" s="345"/>
      <c r="M223" s="379"/>
      <c r="N223" s="66"/>
      <c r="O223" s="66"/>
      <c r="P223" s="66"/>
      <c r="Q223" s="66"/>
      <c r="R223" s="200"/>
    </row>
    <row r="224" spans="1:18" s="64" customFormat="1" ht="13.35" customHeight="1" x14ac:dyDescent="0.25">
      <c r="A224" s="377" t="s">
        <v>90</v>
      </c>
      <c r="B224" s="511" t="str">
        <f>IF($A224="","",VLOOKUP($A224,Listes!$A$3:$C$230,2,FALSE))</f>
        <v>Oncarriage Inland Fuel Charge</v>
      </c>
      <c r="C224" s="511"/>
      <c r="D224" s="511"/>
      <c r="E224" s="541" t="s">
        <v>52</v>
      </c>
      <c r="F224" s="541" t="s">
        <v>52</v>
      </c>
      <c r="G224" s="541" t="s">
        <v>52</v>
      </c>
      <c r="H224" s="378"/>
      <c r="I224" s="345"/>
      <c r="J224" s="345"/>
      <c r="K224" s="345"/>
      <c r="L224" s="345"/>
      <c r="M224" s="379"/>
      <c r="N224" s="66"/>
      <c r="O224" s="66"/>
      <c r="P224" s="66"/>
      <c r="Q224" s="66"/>
      <c r="R224" s="200"/>
    </row>
    <row r="225" spans="1:21" s="64" customFormat="1" ht="26.4" customHeight="1" x14ac:dyDescent="0.25">
      <c r="A225" s="377" t="s">
        <v>1072</v>
      </c>
      <c r="B225" s="511" t="str">
        <f>IF($A225="","",VLOOKUP($A225,Listes!$A$3:$C$230,2,FALSE))</f>
        <v>Local Port Charge Destination Sanitary Fee</v>
      </c>
      <c r="C225" s="511"/>
      <c r="D225" s="511"/>
      <c r="E225" s="541" t="s">
        <v>50</v>
      </c>
      <c r="F225" s="541" t="s">
        <v>50</v>
      </c>
      <c r="G225" s="541" t="s">
        <v>50</v>
      </c>
      <c r="H225" s="378"/>
      <c r="I225" s="345"/>
      <c r="J225" s="345"/>
      <c r="K225" s="345"/>
      <c r="L225" s="345"/>
      <c r="M225" s="379"/>
      <c r="N225" s="66"/>
      <c r="O225" s="66"/>
      <c r="P225" s="66"/>
      <c r="Q225" s="66"/>
      <c r="R225" s="200"/>
    </row>
    <row r="226" spans="1:21" s="64" customFormat="1" ht="15.75" customHeight="1" x14ac:dyDescent="0.25">
      <c r="A226" s="377" t="s">
        <v>1074</v>
      </c>
      <c r="B226" s="511" t="str">
        <f>IF($A226="","",VLOOKUP($A226,Listes!$A$3:$C$230,2,FALSE))</f>
        <v>Local Port Charge Origin Sanitary Fee</v>
      </c>
      <c r="C226" s="511"/>
      <c r="D226" s="511"/>
      <c r="E226" s="541" t="s">
        <v>50</v>
      </c>
      <c r="F226" s="541" t="s">
        <v>50</v>
      </c>
      <c r="G226" s="541" t="s">
        <v>50</v>
      </c>
      <c r="H226" s="378"/>
      <c r="I226" s="345"/>
      <c r="J226" s="345"/>
      <c r="K226" s="345"/>
      <c r="L226" s="345"/>
      <c r="M226" s="379"/>
      <c r="N226" s="66"/>
      <c r="O226" s="66"/>
      <c r="P226" s="66"/>
      <c r="Q226" s="66"/>
      <c r="R226" s="200"/>
    </row>
    <row r="227" spans="1:21" s="64" customFormat="1" ht="13.35" customHeight="1" x14ac:dyDescent="0.25">
      <c r="A227" s="377" t="s">
        <v>910</v>
      </c>
      <c r="B227" s="511" t="str">
        <f>IF($A227="","",VLOOKUP($A227,Listes!$A$3:$C$230,2,FALSE))</f>
        <v>On-Carriage Emergency Inland Fuel Surcharge</v>
      </c>
      <c r="C227" s="511"/>
      <c r="D227" s="511"/>
      <c r="E227" s="541" t="s">
        <v>52</v>
      </c>
      <c r="F227" s="541" t="s">
        <v>52</v>
      </c>
      <c r="G227" s="541" t="s">
        <v>52</v>
      </c>
      <c r="H227" s="378"/>
      <c r="I227" s="345"/>
      <c r="J227" s="345"/>
      <c r="K227" s="345"/>
      <c r="L227" s="345"/>
      <c r="M227" s="379"/>
      <c r="N227" s="66"/>
      <c r="O227" s="66"/>
      <c r="P227" s="66"/>
      <c r="Q227" s="66"/>
      <c r="R227" s="200"/>
    </row>
    <row r="228" spans="1:21" s="64" customFormat="1" ht="15.75" customHeight="1" x14ac:dyDescent="0.25">
      <c r="A228" s="377" t="s">
        <v>936</v>
      </c>
      <c r="B228" s="511" t="str">
        <f>IF($A228="","",VLOOKUP($A228,Listes!$A$3:$C$230,2,FALSE))</f>
        <v>On-Carriage Emergency Intermodal Surcharge</v>
      </c>
      <c r="C228" s="511"/>
      <c r="D228" s="511"/>
      <c r="E228" s="541" t="s">
        <v>52</v>
      </c>
      <c r="F228" s="541" t="s">
        <v>52</v>
      </c>
      <c r="G228" s="541" t="s">
        <v>52</v>
      </c>
      <c r="H228" s="378"/>
      <c r="I228" s="345"/>
      <c r="J228" s="345"/>
      <c r="K228" s="345"/>
      <c r="L228" s="345"/>
      <c r="M228" s="379"/>
      <c r="N228" s="66"/>
      <c r="O228" s="66"/>
      <c r="P228" s="66"/>
      <c r="Q228" s="66"/>
      <c r="R228" s="200"/>
    </row>
    <row r="229" spans="1:21" s="64" customFormat="1" ht="15.75" customHeight="1" x14ac:dyDescent="0.25">
      <c r="A229" s="377" t="s">
        <v>448</v>
      </c>
      <c r="B229" s="511" t="str">
        <f>IF($A229="","",VLOOKUP($A229,Listes!$A$3:$C$230,2,FALSE))</f>
        <v>Inland Hazardous Charge Oncarriage</v>
      </c>
      <c r="C229" s="511"/>
      <c r="D229" s="511"/>
      <c r="E229" s="541" t="s">
        <v>50</v>
      </c>
      <c r="F229" s="541" t="s">
        <v>50</v>
      </c>
      <c r="G229" s="541" t="s">
        <v>50</v>
      </c>
      <c r="H229" s="378"/>
      <c r="I229" s="345"/>
      <c r="J229" s="345"/>
      <c r="K229" s="345"/>
      <c r="L229" s="345"/>
      <c r="M229" s="379"/>
      <c r="N229" s="66"/>
      <c r="O229" s="66"/>
      <c r="P229" s="66"/>
      <c r="Q229" s="66"/>
      <c r="R229" s="200"/>
    </row>
    <row r="230" spans="1:21" s="64" customFormat="1" ht="15.75" customHeight="1" x14ac:dyDescent="0.25">
      <c r="A230" s="377" t="s">
        <v>87</v>
      </c>
      <c r="B230" s="511" t="str">
        <f>IF($A230="","",VLOOKUP($A230,Listes!$A$3:$C$230,2,FALSE))</f>
        <v>Origin THC / Origin Receiving Charge</v>
      </c>
      <c r="C230" s="511"/>
      <c r="D230" s="511"/>
      <c r="E230" s="541" t="s">
        <v>50</v>
      </c>
      <c r="F230" s="541" t="s">
        <v>50</v>
      </c>
      <c r="G230" s="541" t="s">
        <v>50</v>
      </c>
      <c r="H230" s="378"/>
      <c r="I230" s="345"/>
      <c r="J230" s="345"/>
      <c r="K230" s="345"/>
      <c r="L230" s="345"/>
      <c r="M230" s="379"/>
      <c r="N230" s="66"/>
      <c r="O230" s="66"/>
      <c r="P230" s="66"/>
      <c r="Q230" s="66"/>
      <c r="R230" s="200"/>
    </row>
    <row r="231" spans="1:21" s="64" customFormat="1" ht="15.75" customHeight="1" x14ac:dyDescent="0.25">
      <c r="A231" s="377" t="s">
        <v>451</v>
      </c>
      <c r="B231" s="511" t="str">
        <f>IF($A231="","",VLOOKUP($A231,Listes!$A$3:$C$230,2,FALSE))</f>
        <v>Inland Hazardous Charge Precarriage</v>
      </c>
      <c r="C231" s="511"/>
      <c r="D231" s="511"/>
      <c r="E231" s="541" t="s">
        <v>50</v>
      </c>
      <c r="F231" s="541" t="s">
        <v>50</v>
      </c>
      <c r="G231" s="541" t="s">
        <v>50</v>
      </c>
      <c r="H231" s="378"/>
      <c r="I231" s="345"/>
      <c r="J231" s="345"/>
      <c r="K231" s="345"/>
      <c r="L231" s="345"/>
      <c r="M231" s="379"/>
      <c r="N231" s="66"/>
      <c r="O231" s="66"/>
      <c r="P231" s="66"/>
      <c r="Q231" s="66"/>
      <c r="R231" s="200"/>
    </row>
    <row r="232" spans="1:21" s="64" customFormat="1" ht="15.75" customHeight="1" x14ac:dyDescent="0.25">
      <c r="A232" s="377" t="s">
        <v>85</v>
      </c>
      <c r="B232" s="511" t="str">
        <f>IF($A232="","",VLOOKUP($A232,Listes!$A$3:$C$230,2,FALSE))</f>
        <v>Peak Season</v>
      </c>
      <c r="C232" s="511"/>
      <c r="D232" s="511"/>
      <c r="E232" s="541" t="s">
        <v>52</v>
      </c>
      <c r="F232" s="541" t="s">
        <v>52</v>
      </c>
      <c r="G232" s="541" t="s">
        <v>52</v>
      </c>
      <c r="H232" s="378"/>
      <c r="I232" s="345"/>
      <c r="J232" s="345"/>
      <c r="K232" s="345"/>
      <c r="L232" s="345"/>
      <c r="M232" s="379"/>
      <c r="N232" s="66"/>
      <c r="O232" s="66"/>
      <c r="P232" s="66"/>
      <c r="Q232" s="66"/>
      <c r="R232" s="200"/>
    </row>
    <row r="233" spans="1:21" s="64" customFormat="1" ht="15.75" customHeight="1" x14ac:dyDescent="0.25">
      <c r="A233" s="377" t="s">
        <v>765</v>
      </c>
      <c r="B233" s="511" t="str">
        <f>IF($A233="","",VLOOKUP($A233,Listes!$A$3:$C$230,2,FALSE))</f>
        <v>Peak Season Surcharge 2</v>
      </c>
      <c r="C233" s="511"/>
      <c r="D233" s="511"/>
      <c r="E233" s="541" t="s">
        <v>52</v>
      </c>
      <c r="F233" s="541" t="s">
        <v>52</v>
      </c>
      <c r="G233" s="541" t="s">
        <v>52</v>
      </c>
      <c r="H233" s="378"/>
      <c r="I233" s="345"/>
      <c r="J233" s="345"/>
      <c r="K233" s="345"/>
      <c r="L233" s="345"/>
      <c r="M233" s="379"/>
      <c r="N233" s="66"/>
      <c r="O233" s="66"/>
      <c r="P233" s="66"/>
      <c r="Q233" s="66"/>
      <c r="R233" s="200"/>
    </row>
    <row r="234" spans="1:21" s="64" customFormat="1" ht="15.75" customHeight="1" x14ac:dyDescent="0.25">
      <c r="A234" s="377" t="s">
        <v>890</v>
      </c>
      <c r="B234" s="511" t="str">
        <f>IF($A234="","",VLOOKUP($A234,Listes!$A$3:$C$230,2,FALSE))</f>
        <v>Peak Season Surcharge 3</v>
      </c>
      <c r="C234" s="511"/>
      <c r="D234" s="511"/>
      <c r="E234" s="541" t="s">
        <v>52</v>
      </c>
      <c r="F234" s="541" t="s">
        <v>52</v>
      </c>
      <c r="G234" s="541" t="s">
        <v>52</v>
      </c>
      <c r="H234" s="378"/>
      <c r="I234" s="345"/>
      <c r="J234" s="345"/>
      <c r="K234" s="345"/>
      <c r="L234" s="345"/>
      <c r="M234" s="379"/>
      <c r="N234" s="66"/>
      <c r="O234" s="66"/>
      <c r="P234" s="66"/>
      <c r="Q234" s="66"/>
      <c r="R234" s="200"/>
    </row>
    <row r="235" spans="1:21" s="64" customFormat="1" ht="13.35" customHeight="1" x14ac:dyDescent="0.25">
      <c r="A235" s="377" t="s">
        <v>264</v>
      </c>
      <c r="B235" s="511" t="str">
        <f>IF($A235="","",VLOOKUP($A235,Listes!$A$3:$C$230,2,FALSE))</f>
        <v>Destination Terminal Security Charge</v>
      </c>
      <c r="C235" s="511"/>
      <c r="D235" s="511"/>
      <c r="E235" s="541" t="s">
        <v>50</v>
      </c>
      <c r="F235" s="541" t="s">
        <v>50</v>
      </c>
      <c r="G235" s="541" t="s">
        <v>50</v>
      </c>
      <c r="H235" s="378"/>
      <c r="I235" s="345"/>
      <c r="J235" s="345"/>
      <c r="K235" s="345"/>
      <c r="L235" s="345"/>
      <c r="M235" s="379"/>
      <c r="N235" s="66"/>
      <c r="O235" s="66"/>
      <c r="P235" s="66"/>
      <c r="Q235" s="66"/>
      <c r="R235" s="200"/>
    </row>
    <row r="236" spans="1:21" s="64" customFormat="1" ht="15.75" customHeight="1" thickBot="1" x14ac:dyDescent="0.3">
      <c r="A236" s="390" t="s">
        <v>344</v>
      </c>
      <c r="B236" s="595" t="str">
        <f>IF($A236="","",VLOOKUP($A236,Listes!$A$3:$C$230,2,FALSE))</f>
        <v>Tri-Axle / Super Chassis Oncarriage Surcharge</v>
      </c>
      <c r="C236" s="595"/>
      <c r="D236" s="595"/>
      <c r="E236" s="537" t="s">
        <v>50</v>
      </c>
      <c r="F236" s="537" t="s">
        <v>50</v>
      </c>
      <c r="G236" s="537" t="s">
        <v>50</v>
      </c>
      <c r="H236" s="365"/>
      <c r="I236" s="352"/>
      <c r="J236" s="352"/>
      <c r="K236" s="352"/>
      <c r="L236" s="352"/>
      <c r="M236" s="391"/>
      <c r="N236" s="66"/>
      <c r="O236" s="66"/>
      <c r="P236" s="66"/>
      <c r="Q236" s="66"/>
      <c r="R236" s="200"/>
    </row>
    <row r="237" spans="1:21" ht="13.8" thickBot="1" x14ac:dyDescent="0.3">
      <c r="A237" s="643" t="s">
        <v>205</v>
      </c>
      <c r="B237" s="644"/>
      <c r="C237" s="644"/>
      <c r="D237" s="644"/>
      <c r="E237" s="644"/>
      <c r="F237" s="644"/>
      <c r="G237" s="644"/>
      <c r="H237" s="644"/>
      <c r="I237" s="645"/>
      <c r="K237" s="177"/>
      <c r="L237" s="199"/>
      <c r="M237" s="199"/>
      <c r="N237" s="199"/>
      <c r="O237" s="199"/>
      <c r="P237" s="199"/>
      <c r="Q237" s="177"/>
    </row>
    <row r="238" spans="1:21" ht="13.8" thickBot="1" x14ac:dyDescent="0.3">
      <c r="A238" s="572" t="s">
        <v>532</v>
      </c>
      <c r="B238" s="573"/>
      <c r="C238" s="573"/>
      <c r="D238" s="573"/>
      <c r="E238" s="573"/>
      <c r="F238" s="573"/>
      <c r="G238" s="573"/>
      <c r="H238" s="573"/>
      <c r="I238" s="574"/>
      <c r="K238" s="199"/>
      <c r="L238" s="199"/>
      <c r="M238" s="199"/>
      <c r="N238" s="199"/>
      <c r="O238" s="177"/>
    </row>
    <row r="239" spans="1:21" ht="13.8" thickBot="1" x14ac:dyDescent="0.3">
      <c r="A239" s="142"/>
      <c r="B239" s="142"/>
      <c r="C239" s="243"/>
      <c r="D239" s="139"/>
      <c r="E239" s="140"/>
      <c r="F239" s="140"/>
      <c r="G239" s="140"/>
      <c r="H239" s="140"/>
      <c r="I239" s="140"/>
      <c r="J239" s="139"/>
      <c r="L239" s="177"/>
      <c r="M239" s="199"/>
      <c r="N239" s="199"/>
      <c r="O239" s="199"/>
      <c r="P239" s="199"/>
      <c r="Q239" s="199"/>
      <c r="R239" s="177"/>
    </row>
    <row r="240" spans="1:21" ht="15.6" customHeight="1" x14ac:dyDescent="0.25">
      <c r="A240" s="618" t="s">
        <v>467</v>
      </c>
      <c r="B240" s="619"/>
      <c r="C240" s="619"/>
      <c r="D240" s="619"/>
      <c r="E240" s="499" t="s">
        <v>274</v>
      </c>
      <c r="F240" s="499">
        <v>20</v>
      </c>
      <c r="G240" s="499">
        <v>40</v>
      </c>
      <c r="H240" s="499" t="s">
        <v>19</v>
      </c>
      <c r="I240" s="499" t="s">
        <v>20</v>
      </c>
      <c r="J240" s="642" t="s">
        <v>281</v>
      </c>
      <c r="K240" s="642" t="s">
        <v>33</v>
      </c>
      <c r="L240" s="640" t="s">
        <v>206</v>
      </c>
      <c r="M240" s="139"/>
      <c r="N240" s="199"/>
      <c r="O240" s="199"/>
      <c r="P240" s="199"/>
      <c r="Q240" s="199"/>
      <c r="R240" s="199"/>
      <c r="S240" s="199"/>
      <c r="T240" s="199"/>
      <c r="U240" s="199"/>
    </row>
    <row r="241" spans="1:23" x14ac:dyDescent="0.25">
      <c r="A241" s="21" t="s">
        <v>207</v>
      </c>
      <c r="B241" s="22" t="s">
        <v>11</v>
      </c>
      <c r="C241" s="22" t="s">
        <v>12</v>
      </c>
      <c r="D241" s="22" t="s">
        <v>208</v>
      </c>
      <c r="E241" s="620"/>
      <c r="F241" s="620"/>
      <c r="G241" s="620"/>
      <c r="H241" s="620"/>
      <c r="I241" s="620"/>
      <c r="J241" s="620"/>
      <c r="K241" s="620"/>
      <c r="L241" s="641"/>
      <c r="M241" s="139"/>
      <c r="N241" s="199"/>
      <c r="O241" s="199"/>
      <c r="P241" s="199"/>
      <c r="Q241" s="199"/>
      <c r="R241" s="199"/>
      <c r="S241" s="199"/>
      <c r="T241" s="199"/>
      <c r="U241" s="199"/>
    </row>
    <row r="242" spans="1:23" s="64" customFormat="1" x14ac:dyDescent="0.25">
      <c r="A242" s="339"/>
      <c r="B242" s="23"/>
      <c r="C242" s="23"/>
      <c r="D242" s="23"/>
      <c r="E242" s="23"/>
      <c r="F242" s="62"/>
      <c r="G242" s="62"/>
      <c r="H242" s="62"/>
      <c r="I242" s="62"/>
      <c r="J242" s="23"/>
      <c r="K242" s="55"/>
      <c r="L242" s="340"/>
      <c r="M242" s="372"/>
      <c r="N242" s="66"/>
      <c r="O242" s="66"/>
      <c r="P242" s="66"/>
      <c r="Q242" s="66"/>
      <c r="R242" s="66"/>
      <c r="S242" s="66"/>
      <c r="T242" s="66"/>
      <c r="U242" s="66"/>
    </row>
    <row r="243" spans="1:23" s="64" customFormat="1" x14ac:dyDescent="0.25">
      <c r="A243" s="339"/>
      <c r="B243" s="23"/>
      <c r="C243" s="23"/>
      <c r="D243" s="23"/>
      <c r="E243" s="23"/>
      <c r="F243" s="62"/>
      <c r="G243" s="62"/>
      <c r="H243" s="62"/>
      <c r="I243" s="62"/>
      <c r="J243" s="23"/>
      <c r="K243" s="55"/>
      <c r="L243" s="340"/>
      <c r="M243" s="66"/>
      <c r="N243" s="66"/>
      <c r="O243" s="66"/>
      <c r="P243" s="66"/>
      <c r="Q243" s="66"/>
      <c r="R243" s="66"/>
      <c r="S243" s="66"/>
      <c r="T243" s="66"/>
      <c r="U243" s="66"/>
    </row>
    <row r="244" spans="1:23" s="64" customFormat="1" x14ac:dyDescent="0.25">
      <c r="A244" s="339"/>
      <c r="B244" s="23"/>
      <c r="C244" s="23"/>
      <c r="D244" s="23"/>
      <c r="E244" s="23"/>
      <c r="F244" s="62"/>
      <c r="G244" s="62"/>
      <c r="H244" s="62"/>
      <c r="I244" s="62"/>
      <c r="J244" s="23"/>
      <c r="K244" s="55"/>
      <c r="L244" s="340"/>
      <c r="M244" s="66"/>
      <c r="N244" s="66"/>
      <c r="O244" s="66"/>
      <c r="P244" s="66"/>
      <c r="Q244" s="66"/>
      <c r="R244" s="66"/>
      <c r="S244" s="66"/>
      <c r="T244" s="66"/>
      <c r="U244" s="66"/>
    </row>
    <row r="245" spans="1:23" s="64" customFormat="1" ht="13.8" thickBot="1" x14ac:dyDescent="0.3">
      <c r="A245" s="341"/>
      <c r="B245" s="24"/>
      <c r="C245" s="24"/>
      <c r="D245" s="24"/>
      <c r="E245" s="24"/>
      <c r="F245" s="342"/>
      <c r="G245" s="342"/>
      <c r="H245" s="342"/>
      <c r="I245" s="342"/>
      <c r="J245" s="24"/>
      <c r="K245" s="148"/>
      <c r="L245" s="343"/>
      <c r="M245" s="66"/>
      <c r="N245" s="66"/>
      <c r="O245" s="66"/>
      <c r="P245" s="66"/>
      <c r="Q245" s="66"/>
      <c r="R245" s="66"/>
      <c r="S245" s="66"/>
      <c r="T245" s="66"/>
      <c r="U245" s="66"/>
    </row>
    <row r="246" spans="1:23" s="64" customFormat="1" x14ac:dyDescent="0.25">
      <c r="A246" s="338"/>
      <c r="B246" s="338"/>
      <c r="C246" s="338"/>
      <c r="D246" s="338"/>
      <c r="E246" s="338"/>
      <c r="F246" s="338"/>
      <c r="G246" s="338"/>
      <c r="H246" s="338"/>
      <c r="I246" s="338"/>
      <c r="J246" s="338"/>
      <c r="K246" s="338"/>
      <c r="L246" s="344"/>
      <c r="M246" s="66"/>
      <c r="N246" s="66"/>
      <c r="O246" s="66"/>
      <c r="P246" s="66"/>
      <c r="Q246" s="66"/>
      <c r="R246" s="66"/>
      <c r="S246" s="66"/>
      <c r="T246" s="66"/>
      <c r="U246" s="66"/>
    </row>
    <row r="247" spans="1:23" ht="15.6" customHeight="1" x14ac:dyDescent="0.25">
      <c r="A247" s="575" t="s">
        <v>531</v>
      </c>
      <c r="B247" s="575"/>
      <c r="C247" s="575"/>
      <c r="D247" s="575"/>
      <c r="E247" s="575" t="s">
        <v>274</v>
      </c>
      <c r="F247" s="575">
        <v>20</v>
      </c>
      <c r="G247" s="575">
        <v>40</v>
      </c>
      <c r="H247" s="575" t="s">
        <v>19</v>
      </c>
      <c r="I247" s="575" t="s">
        <v>20</v>
      </c>
      <c r="J247" s="610" t="s">
        <v>281</v>
      </c>
      <c r="K247" s="610" t="s">
        <v>33</v>
      </c>
      <c r="L247" s="575" t="s">
        <v>206</v>
      </c>
      <c r="M247" s="575" t="s">
        <v>23</v>
      </c>
      <c r="O247" s="177"/>
      <c r="P247" s="199"/>
      <c r="Q247" s="199"/>
      <c r="R247" s="199"/>
      <c r="S247" s="199"/>
      <c r="T247" s="199"/>
      <c r="U247" s="199"/>
      <c r="V247" s="199"/>
      <c r="W247" s="199"/>
    </row>
    <row r="248" spans="1:23" x14ac:dyDescent="0.25">
      <c r="A248" s="25" t="s">
        <v>207</v>
      </c>
      <c r="B248" s="25" t="s">
        <v>11</v>
      </c>
      <c r="C248" s="25" t="s">
        <v>12</v>
      </c>
      <c r="D248" s="25" t="s">
        <v>208</v>
      </c>
      <c r="E248" s="575"/>
      <c r="F248" s="575"/>
      <c r="G248" s="575"/>
      <c r="H248" s="575"/>
      <c r="I248" s="575"/>
      <c r="J248" s="575"/>
      <c r="K248" s="575"/>
      <c r="L248" s="575"/>
      <c r="M248" s="575"/>
      <c r="O248" s="177"/>
      <c r="P248" s="199"/>
      <c r="Q248" s="199"/>
      <c r="R248" s="199"/>
      <c r="S248" s="199"/>
      <c r="T248" s="199"/>
      <c r="U248" s="199"/>
      <c r="V248" s="199"/>
      <c r="W248" s="199"/>
    </row>
    <row r="249" spans="1:23" s="64" customFormat="1" x14ac:dyDescent="0.25">
      <c r="A249" s="26"/>
      <c r="B249" s="26"/>
      <c r="C249" s="26"/>
      <c r="D249" s="26"/>
      <c r="E249" s="26"/>
      <c r="F249" s="244"/>
      <c r="G249" s="244"/>
      <c r="H249" s="244"/>
      <c r="I249" s="244"/>
      <c r="J249" s="26"/>
      <c r="K249" s="245"/>
      <c r="L249" s="27"/>
      <c r="M249" s="27"/>
      <c r="O249" s="200"/>
      <c r="P249" s="66"/>
      <c r="Q249" s="66"/>
      <c r="R249" s="66"/>
      <c r="S249" s="66"/>
      <c r="T249" s="66"/>
      <c r="U249" s="66"/>
      <c r="V249" s="66"/>
      <c r="W249" s="66"/>
    </row>
    <row r="250" spans="1:23" s="64" customFormat="1" x14ac:dyDescent="0.25">
      <c r="A250" s="26"/>
      <c r="B250" s="26"/>
      <c r="C250" s="26"/>
      <c r="D250" s="26"/>
      <c r="E250" s="26"/>
      <c r="F250" s="244"/>
      <c r="G250" s="244"/>
      <c r="H250" s="244"/>
      <c r="I250" s="244"/>
      <c r="J250" s="26"/>
      <c r="K250" s="245"/>
      <c r="L250" s="27"/>
      <c r="M250" s="27"/>
      <c r="O250" s="200"/>
      <c r="P250" s="66"/>
      <c r="Q250" s="66"/>
      <c r="R250" s="66"/>
      <c r="S250" s="66"/>
      <c r="T250" s="66"/>
      <c r="U250" s="66"/>
      <c r="V250" s="66"/>
      <c r="W250" s="66"/>
    </row>
    <row r="251" spans="1:23" s="64" customFormat="1" x14ac:dyDescent="0.25">
      <c r="A251" s="26"/>
      <c r="B251" s="26"/>
      <c r="C251" s="26"/>
      <c r="D251" s="26"/>
      <c r="E251" s="26"/>
      <c r="F251" s="244"/>
      <c r="G251" s="244"/>
      <c r="H251" s="244"/>
      <c r="I251" s="244"/>
      <c r="J251" s="26"/>
      <c r="K251" s="245"/>
      <c r="L251" s="27"/>
      <c r="M251" s="27"/>
      <c r="O251" s="200"/>
      <c r="P251" s="66"/>
      <c r="Q251" s="66"/>
      <c r="R251" s="66"/>
      <c r="S251" s="66"/>
      <c r="T251" s="66"/>
      <c r="U251" s="66"/>
      <c r="V251" s="66"/>
      <c r="W251" s="66"/>
    </row>
    <row r="252" spans="1:23" s="64" customFormat="1" x14ac:dyDescent="0.25">
      <c r="A252" s="26"/>
      <c r="B252" s="26"/>
      <c r="C252" s="26"/>
      <c r="D252" s="26"/>
      <c r="E252" s="26"/>
      <c r="F252" s="244"/>
      <c r="G252" s="244"/>
      <c r="H252" s="244"/>
      <c r="I252" s="244"/>
      <c r="J252" s="26"/>
      <c r="K252" s="245"/>
      <c r="L252" s="27"/>
      <c r="M252" s="27"/>
      <c r="N252" s="66"/>
      <c r="O252" s="200"/>
      <c r="P252" s="66"/>
      <c r="Q252" s="66"/>
      <c r="R252" s="66"/>
      <c r="S252" s="66"/>
      <c r="T252" s="66"/>
      <c r="U252" s="66"/>
      <c r="V252" s="66"/>
      <c r="W252" s="66"/>
    </row>
    <row r="253" spans="1:23" x14ac:dyDescent="0.25">
      <c r="F253" s="140"/>
      <c r="G253" s="20"/>
      <c r="H253" s="181"/>
      <c r="I253" s="181"/>
      <c r="J253" s="199"/>
      <c r="K253" s="177"/>
      <c r="L253" s="199"/>
      <c r="M253" s="199"/>
      <c r="N253" s="199"/>
      <c r="O253" s="199"/>
      <c r="P253" s="199"/>
      <c r="Q253" s="199"/>
    </row>
    <row r="254" spans="1:23" ht="13.8" thickBot="1" x14ac:dyDescent="0.3">
      <c r="A254" s="239"/>
      <c r="B254" s="246"/>
      <c r="C254" s="247"/>
      <c r="D254" s="247"/>
      <c r="J254" s="140"/>
      <c r="K254" s="177"/>
      <c r="L254" s="199"/>
      <c r="M254" s="199"/>
      <c r="N254" s="199"/>
      <c r="O254" s="199"/>
      <c r="P254" s="199"/>
      <c r="Q254" s="199"/>
      <c r="R254" s="199"/>
      <c r="S254" s="177"/>
      <c r="T254" s="177"/>
      <c r="U254" s="177"/>
    </row>
    <row r="255" spans="1:23" ht="13.8" thickBot="1" x14ac:dyDescent="0.3">
      <c r="A255" s="501" t="s">
        <v>209</v>
      </c>
      <c r="B255" s="502"/>
      <c r="C255" s="502"/>
      <c r="D255" s="502"/>
      <c r="E255" s="503"/>
      <c r="J255" s="140"/>
      <c r="K255" s="177"/>
      <c r="L255" s="199"/>
      <c r="M255" s="199"/>
      <c r="N255" s="199"/>
      <c r="O255" s="199"/>
      <c r="P255" s="199"/>
      <c r="Q255" s="199"/>
      <c r="R255" s="199"/>
      <c r="S255" s="177"/>
      <c r="T255" s="177"/>
      <c r="U255" s="177"/>
    </row>
    <row r="256" spans="1:23" ht="13.8" thickBot="1" x14ac:dyDescent="0.3">
      <c r="A256" s="243"/>
      <c r="F256" s="140"/>
      <c r="G256" s="20"/>
      <c r="H256" s="139"/>
      <c r="I256" s="140"/>
      <c r="J256" s="140"/>
      <c r="K256" s="177"/>
      <c r="L256" s="199"/>
      <c r="M256" s="199"/>
      <c r="N256" s="199"/>
      <c r="O256" s="199"/>
      <c r="P256" s="199"/>
      <c r="Q256" s="199"/>
      <c r="R256" s="199"/>
      <c r="S256" s="177"/>
      <c r="T256" s="177"/>
      <c r="U256" s="177"/>
    </row>
    <row r="257" spans="1:21" ht="13.8" thickBot="1" x14ac:dyDescent="0.3">
      <c r="A257" s="636" t="s">
        <v>210</v>
      </c>
      <c r="B257" s="638"/>
      <c r="C257" s="638"/>
      <c r="D257" s="638"/>
      <c r="E257" s="638"/>
      <c r="F257" s="639"/>
      <c r="G257" s="20"/>
      <c r="H257" s="139"/>
      <c r="I257" s="140"/>
      <c r="J257" s="140"/>
      <c r="K257" s="177"/>
      <c r="L257" s="199"/>
      <c r="M257" s="199"/>
      <c r="N257" s="199"/>
      <c r="O257" s="199"/>
      <c r="P257" s="199"/>
      <c r="Q257" s="199"/>
      <c r="R257" s="199"/>
      <c r="S257" s="177"/>
      <c r="T257" s="177"/>
      <c r="U257" s="177"/>
    </row>
    <row r="258" spans="1:21" ht="16.5" customHeight="1" x14ac:dyDescent="0.25">
      <c r="A258" s="547" t="s">
        <v>211</v>
      </c>
      <c r="B258" s="612"/>
      <c r="C258" s="612"/>
      <c r="D258" s="612"/>
      <c r="E258" s="612"/>
      <c r="F258" s="548"/>
      <c r="G258" s="20"/>
      <c r="H258" s="248"/>
      <c r="I258" s="140"/>
      <c r="J258" s="140"/>
      <c r="K258" s="177"/>
      <c r="L258" s="199"/>
      <c r="M258" s="199"/>
      <c r="N258" s="199"/>
      <c r="O258" s="199"/>
      <c r="P258" s="199"/>
      <c r="Q258" s="199"/>
      <c r="R258" s="199"/>
      <c r="S258" s="177"/>
      <c r="T258" s="177"/>
      <c r="U258" s="177"/>
    </row>
    <row r="259" spans="1:21" ht="13.8" thickBot="1" x14ac:dyDescent="0.3">
      <c r="A259" s="621" t="s">
        <v>212</v>
      </c>
      <c r="B259" s="573"/>
      <c r="C259" s="573"/>
      <c r="D259" s="573"/>
      <c r="E259" s="573"/>
      <c r="F259" s="574"/>
    </row>
    <row r="260" spans="1:21" x14ac:dyDescent="0.25">
      <c r="A260" s="250" t="s">
        <v>213</v>
      </c>
      <c r="B260" s="146" t="s">
        <v>214</v>
      </c>
      <c r="C260" s="147" t="s">
        <v>215</v>
      </c>
      <c r="D260" s="251" t="s">
        <v>216</v>
      </c>
      <c r="E260" s="199"/>
      <c r="H260" s="20"/>
      <c r="I260" s="20"/>
    </row>
    <row r="261" spans="1:21" s="64" customFormat="1" x14ac:dyDescent="0.25">
      <c r="A261" s="324"/>
      <c r="B261" s="325"/>
      <c r="C261" s="326"/>
      <c r="D261" s="293"/>
      <c r="E261" s="66"/>
      <c r="F261" s="66"/>
      <c r="G261" s="66"/>
    </row>
    <row r="262" spans="1:21" s="64" customFormat="1" x14ac:dyDescent="0.25">
      <c r="A262" s="324"/>
      <c r="B262" s="325"/>
      <c r="C262" s="326"/>
      <c r="D262" s="330"/>
      <c r="E262" s="66"/>
      <c r="F262" s="66"/>
      <c r="G262" s="66"/>
    </row>
    <row r="263" spans="1:21" s="64" customFormat="1" ht="13.8" thickBot="1" x14ac:dyDescent="0.3">
      <c r="A263" s="327"/>
      <c r="B263" s="328"/>
      <c r="C263" s="329"/>
      <c r="D263" s="331"/>
      <c r="E263" s="66"/>
      <c r="F263" s="66"/>
      <c r="G263" s="66"/>
    </row>
    <row r="264" spans="1:21" ht="13.8" thickBot="1" x14ac:dyDescent="0.3"/>
    <row r="265" spans="1:21" ht="13.8" thickBot="1" x14ac:dyDescent="0.3">
      <c r="A265" s="501" t="s">
        <v>217</v>
      </c>
      <c r="B265" s="502"/>
      <c r="C265" s="502"/>
      <c r="D265" s="502"/>
      <c r="E265" s="502"/>
      <c r="F265" s="502"/>
      <c r="G265" s="502"/>
      <c r="H265" s="502"/>
      <c r="I265" s="503"/>
      <c r="K265" s="177"/>
      <c r="L265" s="199"/>
      <c r="M265" s="199"/>
      <c r="N265" s="199"/>
      <c r="O265" s="199"/>
      <c r="P265" s="199"/>
      <c r="Q265" s="199"/>
      <c r="R265" s="199"/>
      <c r="S265" s="177"/>
      <c r="T265" s="177"/>
      <c r="U265" s="177"/>
    </row>
    <row r="266" spans="1:21" ht="13.8" thickBot="1" x14ac:dyDescent="0.3">
      <c r="A266" s="252" t="s">
        <v>218</v>
      </c>
      <c r="B266" s="253"/>
      <c r="C266" s="133"/>
      <c r="D266" s="133"/>
      <c r="E266" s="133"/>
      <c r="F266" s="133"/>
      <c r="G266" s="220"/>
      <c r="H266" s="133"/>
      <c r="I266" s="254"/>
      <c r="J266" s="140"/>
      <c r="K266" s="177"/>
      <c r="L266" s="199"/>
      <c r="M266" s="199"/>
      <c r="N266" s="199"/>
      <c r="O266" s="199"/>
      <c r="P266" s="199"/>
      <c r="Q266" s="199"/>
      <c r="R266" s="199"/>
      <c r="S266" s="177"/>
      <c r="T266" s="177"/>
      <c r="U266" s="177"/>
    </row>
    <row r="267" spans="1:21" s="335" customFormat="1" x14ac:dyDescent="0.25">
      <c r="A267" s="369"/>
      <c r="B267" s="622"/>
      <c r="C267" s="623"/>
      <c r="D267" s="623"/>
      <c r="E267" s="623"/>
      <c r="F267" s="623"/>
      <c r="G267" s="623"/>
      <c r="H267" s="623"/>
      <c r="I267" s="624"/>
      <c r="J267" s="370"/>
      <c r="K267" s="371"/>
      <c r="L267" s="338"/>
      <c r="M267" s="338"/>
      <c r="N267" s="338"/>
      <c r="O267" s="338"/>
      <c r="P267" s="338"/>
      <c r="Q267" s="338"/>
      <c r="R267" s="338"/>
      <c r="S267" s="371"/>
      <c r="T267" s="371"/>
      <c r="U267" s="371"/>
    </row>
    <row r="268" spans="1:21" s="64" customFormat="1" x14ac:dyDescent="0.25">
      <c r="A268" s="255"/>
      <c r="B268" s="611"/>
      <c r="C268" s="562"/>
      <c r="D268" s="562"/>
      <c r="E268" s="562"/>
      <c r="F268" s="562"/>
      <c r="G268" s="562"/>
      <c r="H268" s="562"/>
      <c r="I268" s="563"/>
    </row>
    <row r="269" spans="1:21" s="64" customFormat="1" x14ac:dyDescent="0.25">
      <c r="A269" s="255"/>
      <c r="B269" s="611"/>
      <c r="C269" s="562"/>
      <c r="D269" s="562"/>
      <c r="E269" s="562"/>
      <c r="F269" s="562"/>
      <c r="G269" s="562"/>
      <c r="H269" s="562"/>
      <c r="I269" s="563"/>
    </row>
    <row r="270" spans="1:21" s="64" customFormat="1" x14ac:dyDescent="0.25">
      <c r="A270" s="255"/>
      <c r="B270" s="611"/>
      <c r="C270" s="562"/>
      <c r="D270" s="562"/>
      <c r="E270" s="562"/>
      <c r="F270" s="562"/>
      <c r="G270" s="562"/>
      <c r="H270" s="562"/>
      <c r="I270" s="563"/>
    </row>
    <row r="271" spans="1:21" s="64" customFormat="1" x14ac:dyDescent="0.25">
      <c r="A271" s="255"/>
      <c r="B271" s="611"/>
      <c r="C271" s="562"/>
      <c r="D271" s="562"/>
      <c r="E271" s="562"/>
      <c r="F271" s="562"/>
      <c r="G271" s="562"/>
      <c r="H271" s="562"/>
      <c r="I271" s="563"/>
    </row>
    <row r="272" spans="1:21" s="64" customFormat="1" x14ac:dyDescent="0.25">
      <c r="A272" s="255"/>
      <c r="B272" s="611"/>
      <c r="C272" s="562"/>
      <c r="D272" s="562"/>
      <c r="E272" s="562"/>
      <c r="F272" s="562"/>
      <c r="G272" s="562"/>
      <c r="H272" s="562"/>
      <c r="I272" s="563"/>
    </row>
    <row r="273" spans="1:9" s="64" customFormat="1" x14ac:dyDescent="0.25">
      <c r="A273" s="255"/>
      <c r="B273" s="611"/>
      <c r="C273" s="562"/>
      <c r="D273" s="562"/>
      <c r="E273" s="562"/>
      <c r="F273" s="562"/>
      <c r="G273" s="562"/>
      <c r="H273" s="562"/>
      <c r="I273" s="563"/>
    </row>
    <row r="274" spans="1:9" s="64" customFormat="1" x14ac:dyDescent="0.25">
      <c r="A274" s="255"/>
      <c r="B274" s="611"/>
      <c r="C274" s="562"/>
      <c r="D274" s="562"/>
      <c r="E274" s="562"/>
      <c r="F274" s="562"/>
      <c r="G274" s="562"/>
      <c r="H274" s="562"/>
      <c r="I274" s="563"/>
    </row>
    <row r="275" spans="1:9" s="64" customFormat="1" x14ac:dyDescent="0.25">
      <c r="A275" s="255"/>
      <c r="B275" s="611"/>
      <c r="C275" s="562"/>
      <c r="D275" s="562"/>
      <c r="E275" s="562"/>
      <c r="F275" s="562"/>
      <c r="G275" s="562"/>
      <c r="H275" s="562"/>
      <c r="I275" s="563"/>
    </row>
    <row r="276" spans="1:9" s="64" customFormat="1" x14ac:dyDescent="0.25">
      <c r="A276" s="255"/>
      <c r="B276" s="611"/>
      <c r="C276" s="562"/>
      <c r="D276" s="562"/>
      <c r="E276" s="562"/>
      <c r="F276" s="562"/>
      <c r="G276" s="562"/>
      <c r="H276" s="562"/>
      <c r="I276" s="563"/>
    </row>
    <row r="277" spans="1:9" s="64" customFormat="1" x14ac:dyDescent="0.25">
      <c r="A277" s="255"/>
      <c r="B277" s="611"/>
      <c r="C277" s="562"/>
      <c r="D277" s="562"/>
      <c r="E277" s="562"/>
      <c r="F277" s="562"/>
      <c r="G277" s="562"/>
      <c r="H277" s="562"/>
      <c r="I277" s="563"/>
    </row>
    <row r="278" spans="1:9" s="64" customFormat="1" x14ac:dyDescent="0.25">
      <c r="A278" s="255"/>
      <c r="B278" s="611"/>
      <c r="C278" s="562"/>
      <c r="D278" s="562"/>
      <c r="E278" s="562"/>
      <c r="F278" s="562"/>
      <c r="G278" s="562"/>
      <c r="H278" s="562"/>
      <c r="I278" s="563"/>
    </row>
    <row r="279" spans="1:9" s="64" customFormat="1" x14ac:dyDescent="0.25">
      <c r="A279" s="255"/>
      <c r="B279" s="611"/>
      <c r="C279" s="562"/>
      <c r="D279" s="562"/>
      <c r="E279" s="562"/>
      <c r="F279" s="562"/>
      <c r="G279" s="562"/>
      <c r="H279" s="562"/>
      <c r="I279" s="563"/>
    </row>
    <row r="280" spans="1:9" s="64" customFormat="1" x14ac:dyDescent="0.25">
      <c r="A280" s="255"/>
      <c r="B280" s="611"/>
      <c r="C280" s="562"/>
      <c r="D280" s="562"/>
      <c r="E280" s="562"/>
      <c r="F280" s="562"/>
      <c r="G280" s="562"/>
      <c r="H280" s="562"/>
      <c r="I280" s="563"/>
    </row>
    <row r="281" spans="1:9" s="64" customFormat="1" ht="13.8" thickBot="1" x14ac:dyDescent="0.3">
      <c r="A281" s="256"/>
      <c r="B281" s="615"/>
      <c r="C281" s="616"/>
      <c r="D281" s="616"/>
      <c r="E281" s="616"/>
      <c r="F281" s="616"/>
      <c r="G281" s="616"/>
      <c r="H281" s="616"/>
      <c r="I281" s="617"/>
    </row>
    <row r="283" spans="1:9" s="64" customFormat="1" x14ac:dyDescent="0.25">
      <c r="F283" s="66"/>
      <c r="G283" s="66"/>
      <c r="H283" s="66"/>
      <c r="I283" s="66"/>
    </row>
    <row r="284" spans="1:9" s="64" customFormat="1" ht="13.8" thickBot="1" x14ac:dyDescent="0.3">
      <c r="F284" s="66"/>
      <c r="G284" s="66"/>
      <c r="H284" s="66"/>
      <c r="I284" s="66"/>
    </row>
    <row r="285" spans="1:9" s="64" customFormat="1" ht="13.8" thickBot="1" x14ac:dyDescent="0.3">
      <c r="A285" s="636" t="s">
        <v>3</v>
      </c>
      <c r="B285" s="637"/>
      <c r="F285" s="66"/>
      <c r="G285" s="66"/>
      <c r="H285" s="66"/>
      <c r="I285" s="66"/>
    </row>
    <row r="286" spans="1:9" s="258" customFormat="1" ht="13.8" thickBot="1" x14ac:dyDescent="0.3">
      <c r="A286" s="257"/>
      <c r="B286" s="257"/>
      <c r="F286" s="259"/>
      <c r="G286" s="259"/>
      <c r="H286" s="259"/>
      <c r="I286" s="259"/>
    </row>
    <row r="287" spans="1:9" s="64" customFormat="1" ht="15.75" customHeight="1" thickBot="1" x14ac:dyDescent="0.3">
      <c r="A287" s="582" t="s">
        <v>2</v>
      </c>
      <c r="B287" s="583"/>
      <c r="C287" s="583"/>
      <c r="D287" s="583"/>
      <c r="E287" s="583"/>
      <c r="F287" s="583"/>
      <c r="G287" s="584"/>
      <c r="H287" s="66"/>
      <c r="I287" s="66"/>
    </row>
    <row r="288" spans="1:9" s="258" customFormat="1" ht="15.75" customHeight="1" thickBot="1" x14ac:dyDescent="0.3">
      <c r="A288" s="257"/>
      <c r="B288" s="257"/>
      <c r="C288" s="257"/>
      <c r="D288" s="257"/>
      <c r="E288" s="257"/>
      <c r="F288" s="257"/>
      <c r="G288" s="257"/>
      <c r="H288" s="259"/>
      <c r="I288" s="259"/>
    </row>
    <row r="289" spans="1:23" s="64" customFormat="1" ht="15.75" customHeight="1" thickBot="1" x14ac:dyDescent="0.3">
      <c r="A289" s="627" t="s">
        <v>1</v>
      </c>
      <c r="B289" s="628"/>
      <c r="C289" s="628"/>
      <c r="D289" s="628"/>
      <c r="E289" s="629"/>
      <c r="F289" s="260"/>
      <c r="G289" s="260"/>
      <c r="H289" s="66"/>
      <c r="I289" s="66"/>
    </row>
    <row r="290" spans="1:23" s="64" customFormat="1" x14ac:dyDescent="0.25">
      <c r="A290" s="630" t="s">
        <v>558</v>
      </c>
      <c r="B290" s="613" t="s">
        <v>1649</v>
      </c>
      <c r="C290" s="576" t="s">
        <v>0</v>
      </c>
      <c r="D290" s="576" t="s">
        <v>541</v>
      </c>
      <c r="E290" s="613" t="s">
        <v>1650</v>
      </c>
      <c r="F290" s="576" t="s">
        <v>410</v>
      </c>
      <c r="G290" s="576" t="s">
        <v>397</v>
      </c>
      <c r="H290" s="576" t="s">
        <v>559</v>
      </c>
      <c r="I290" s="576" t="s">
        <v>11</v>
      </c>
      <c r="J290" s="576" t="s">
        <v>12</v>
      </c>
      <c r="K290" s="576" t="s">
        <v>13</v>
      </c>
      <c r="L290" s="576" t="s">
        <v>423</v>
      </c>
      <c r="M290" s="576" t="s">
        <v>542</v>
      </c>
      <c r="N290" s="580"/>
    </row>
    <row r="291" spans="1:23" s="64" customFormat="1" ht="32.25" customHeight="1" thickBot="1" x14ac:dyDescent="0.3">
      <c r="A291" s="631"/>
      <c r="B291" s="614"/>
      <c r="C291" s="607"/>
      <c r="D291" s="607"/>
      <c r="E291" s="614"/>
      <c r="F291" s="607"/>
      <c r="G291" s="607"/>
      <c r="H291" s="607"/>
      <c r="I291" s="607"/>
      <c r="J291" s="607"/>
      <c r="K291" s="607"/>
      <c r="L291" s="607"/>
      <c r="M291" s="607"/>
      <c r="N291" s="608"/>
    </row>
    <row r="292" spans="1:23" s="64" customFormat="1" x14ac:dyDescent="0.25">
      <c r="A292" s="336"/>
      <c r="B292" s="337"/>
      <c r="C292" s="364"/>
      <c r="D292" s="337"/>
      <c r="E292" s="337"/>
      <c r="F292" s="337"/>
      <c r="G292" s="337"/>
      <c r="H292" s="337"/>
      <c r="I292" s="337"/>
      <c r="J292" s="337"/>
      <c r="K292" s="337"/>
      <c r="L292" s="368"/>
      <c r="M292" s="632"/>
      <c r="N292" s="633"/>
    </row>
    <row r="293" spans="1:23" s="64" customFormat="1" x14ac:dyDescent="0.25">
      <c r="A293" s="65"/>
      <c r="B293" s="61"/>
      <c r="C293" s="23"/>
      <c r="D293" s="61"/>
      <c r="E293" s="61"/>
      <c r="F293" s="61"/>
      <c r="G293" s="61"/>
      <c r="H293" s="61"/>
      <c r="I293" s="61"/>
      <c r="J293" s="61"/>
      <c r="K293" s="61"/>
      <c r="L293" s="261"/>
      <c r="M293" s="625"/>
      <c r="N293" s="626"/>
    </row>
    <row r="294" spans="1:23" s="64" customFormat="1" x14ac:dyDescent="0.25">
      <c r="A294" s="65"/>
      <c r="B294" s="61"/>
      <c r="C294" s="23"/>
      <c r="D294" s="61"/>
      <c r="E294" s="61"/>
      <c r="F294" s="61"/>
      <c r="G294" s="61"/>
      <c r="H294" s="61"/>
      <c r="I294" s="61"/>
      <c r="J294" s="61"/>
      <c r="K294" s="61"/>
      <c r="L294" s="261"/>
      <c r="M294" s="625"/>
      <c r="N294" s="626"/>
    </row>
    <row r="295" spans="1:23" s="64" customFormat="1" x14ac:dyDescent="0.25">
      <c r="A295" s="65"/>
      <c r="B295" s="61"/>
      <c r="C295" s="23"/>
      <c r="D295" s="61"/>
      <c r="E295" s="61"/>
      <c r="F295" s="61"/>
      <c r="G295" s="61"/>
      <c r="H295" s="61"/>
      <c r="I295" s="61"/>
      <c r="J295" s="61"/>
      <c r="K295" s="61"/>
      <c r="L295" s="261"/>
      <c r="M295" s="625"/>
      <c r="N295" s="626"/>
    </row>
    <row r="296" spans="1:23" s="64" customFormat="1" x14ac:dyDescent="0.25">
      <c r="A296" s="65"/>
      <c r="B296" s="61"/>
      <c r="C296" s="23"/>
      <c r="D296" s="61"/>
      <c r="E296" s="61"/>
      <c r="F296" s="61"/>
      <c r="G296" s="61"/>
      <c r="H296" s="61"/>
      <c r="I296" s="61"/>
      <c r="J296" s="61"/>
      <c r="K296" s="61"/>
      <c r="L296" s="261"/>
      <c r="M296" s="625"/>
      <c r="N296" s="626"/>
    </row>
    <row r="297" spans="1:23" s="64" customFormat="1" ht="13.8" thickBot="1" x14ac:dyDescent="0.3">
      <c r="A297" s="127"/>
      <c r="B297" s="195"/>
      <c r="C297" s="24"/>
      <c r="D297" s="195"/>
      <c r="E297" s="195"/>
      <c r="F297" s="195"/>
      <c r="G297" s="195"/>
      <c r="H297" s="195"/>
      <c r="I297" s="195"/>
      <c r="J297" s="195"/>
      <c r="K297" s="195"/>
      <c r="L297" s="262"/>
      <c r="M297" s="601"/>
      <c r="N297" s="602"/>
    </row>
    <row r="298" spans="1:23" s="64" customFormat="1" x14ac:dyDescent="0.25">
      <c r="F298" s="66"/>
      <c r="G298" s="66"/>
      <c r="H298" s="66"/>
      <c r="I298" s="66"/>
    </row>
    <row r="299" spans="1:23" s="64" customFormat="1" ht="13.8" thickBot="1" x14ac:dyDescent="0.3">
      <c r="F299" s="66"/>
      <c r="G299" s="66"/>
      <c r="H299" s="66"/>
      <c r="I299" s="66"/>
    </row>
    <row r="300" spans="1:23" s="64" customFormat="1" ht="13.8" thickBot="1" x14ac:dyDescent="0.3">
      <c r="A300" s="582" t="s">
        <v>709</v>
      </c>
      <c r="B300" s="583"/>
      <c r="C300" s="583"/>
      <c r="D300" s="583"/>
      <c r="E300" s="583"/>
      <c r="F300" s="583"/>
      <c r="G300" s="584"/>
      <c r="H300" s="66"/>
      <c r="I300" s="66"/>
    </row>
    <row r="301" spans="1:23" s="64" customFormat="1" ht="13.8" thickBot="1" x14ac:dyDescent="0.3">
      <c r="F301" s="66"/>
      <c r="G301" s="66"/>
      <c r="H301" s="66"/>
      <c r="I301" s="66"/>
    </row>
    <row r="302" spans="1:23" s="64" customFormat="1" ht="13.8" thickBot="1" x14ac:dyDescent="0.3">
      <c r="A302" s="627" t="s">
        <v>1</v>
      </c>
      <c r="B302" s="628"/>
      <c r="C302" s="628"/>
      <c r="D302" s="628"/>
      <c r="E302" s="628"/>
      <c r="F302" s="628"/>
      <c r="G302" s="628"/>
      <c r="H302" s="629"/>
      <c r="I302" s="66"/>
    </row>
    <row r="303" spans="1:23" s="64" customFormat="1" ht="16.5" customHeight="1" thickBot="1" x14ac:dyDescent="0.3">
      <c r="A303" s="630" t="s">
        <v>558</v>
      </c>
      <c r="B303" s="613" t="s">
        <v>1649</v>
      </c>
      <c r="C303" s="576" t="s">
        <v>0</v>
      </c>
      <c r="D303" s="576" t="s">
        <v>541</v>
      </c>
      <c r="E303" s="613" t="s">
        <v>1650</v>
      </c>
      <c r="F303" s="576" t="s">
        <v>41</v>
      </c>
      <c r="G303" s="609" t="s">
        <v>708</v>
      </c>
      <c r="H303" s="609"/>
      <c r="I303" s="609"/>
      <c r="J303" s="609"/>
      <c r="K303" s="609"/>
      <c r="L303" s="609"/>
      <c r="M303" s="609"/>
      <c r="N303" s="609"/>
      <c r="O303" s="576" t="s">
        <v>410</v>
      </c>
      <c r="P303" s="576" t="s">
        <v>397</v>
      </c>
      <c r="Q303" s="576" t="s">
        <v>559</v>
      </c>
      <c r="R303" s="576" t="s">
        <v>11</v>
      </c>
      <c r="S303" s="576" t="s">
        <v>12</v>
      </c>
      <c r="T303" s="576" t="s">
        <v>13</v>
      </c>
      <c r="U303" s="576" t="s">
        <v>423</v>
      </c>
      <c r="V303" s="576" t="s">
        <v>542</v>
      </c>
      <c r="W303" s="580"/>
    </row>
    <row r="304" spans="1:23" s="64" customFormat="1" ht="13.8" thickBot="1" x14ac:dyDescent="0.3">
      <c r="A304" s="631"/>
      <c r="B304" s="614"/>
      <c r="C304" s="607"/>
      <c r="D304" s="607"/>
      <c r="E304" s="614"/>
      <c r="F304" s="607"/>
      <c r="G304" s="54" t="s">
        <v>406</v>
      </c>
      <c r="H304" s="54" t="s">
        <v>42</v>
      </c>
      <c r="I304" s="54" t="s">
        <v>407</v>
      </c>
      <c r="J304" s="54" t="s">
        <v>43</v>
      </c>
      <c r="K304" s="54" t="s">
        <v>408</v>
      </c>
      <c r="L304" s="54" t="s">
        <v>44</v>
      </c>
      <c r="M304" s="54" t="s">
        <v>409</v>
      </c>
      <c r="N304" s="54" t="s">
        <v>45</v>
      </c>
      <c r="O304" s="607"/>
      <c r="P304" s="607"/>
      <c r="Q304" s="607"/>
      <c r="R304" s="607"/>
      <c r="S304" s="607"/>
      <c r="T304" s="607"/>
      <c r="U304" s="607"/>
      <c r="V304" s="607"/>
      <c r="W304" s="608"/>
    </row>
    <row r="305" spans="1:23" s="64" customFormat="1" x14ac:dyDescent="0.25">
      <c r="A305" s="336"/>
      <c r="B305" s="337"/>
      <c r="C305" s="364"/>
      <c r="D305" s="337"/>
      <c r="E305" s="337"/>
      <c r="F305" s="367"/>
      <c r="G305" s="337"/>
      <c r="H305" s="337"/>
      <c r="I305" s="337"/>
      <c r="J305" s="337"/>
      <c r="K305" s="337"/>
      <c r="L305" s="337"/>
      <c r="M305" s="337"/>
      <c r="N305" s="337"/>
      <c r="O305" s="337"/>
      <c r="P305" s="337"/>
      <c r="Q305" s="337"/>
      <c r="R305" s="337"/>
      <c r="S305" s="337"/>
      <c r="T305" s="337"/>
      <c r="U305" s="368"/>
      <c r="V305" s="603"/>
      <c r="W305" s="604"/>
    </row>
    <row r="306" spans="1:23" s="64" customFormat="1" x14ac:dyDescent="0.25">
      <c r="A306" s="65"/>
      <c r="B306" s="61"/>
      <c r="C306" s="23"/>
      <c r="D306" s="61"/>
      <c r="E306" s="61"/>
      <c r="F306" s="60"/>
      <c r="G306" s="61"/>
      <c r="H306" s="61"/>
      <c r="I306" s="61"/>
      <c r="J306" s="61"/>
      <c r="K306" s="61"/>
      <c r="L306" s="61"/>
      <c r="M306" s="61"/>
      <c r="N306" s="61"/>
      <c r="O306" s="61"/>
      <c r="P306" s="61"/>
      <c r="Q306" s="61"/>
      <c r="R306" s="61"/>
      <c r="S306" s="61"/>
      <c r="T306" s="61"/>
      <c r="U306" s="261"/>
      <c r="V306" s="605"/>
      <c r="W306" s="606"/>
    </row>
    <row r="307" spans="1:23" s="64" customFormat="1" x14ac:dyDescent="0.25">
      <c r="A307" s="65"/>
      <c r="B307" s="61"/>
      <c r="C307" s="23"/>
      <c r="D307" s="61"/>
      <c r="E307" s="61"/>
      <c r="F307" s="60"/>
      <c r="G307" s="61"/>
      <c r="H307" s="61"/>
      <c r="I307" s="61"/>
      <c r="J307" s="61"/>
      <c r="K307" s="61"/>
      <c r="L307" s="61"/>
      <c r="M307" s="61"/>
      <c r="N307" s="61"/>
      <c r="O307" s="61"/>
      <c r="P307" s="61"/>
      <c r="Q307" s="61"/>
      <c r="R307" s="61"/>
      <c r="S307" s="61"/>
      <c r="T307" s="61"/>
      <c r="U307" s="261"/>
      <c r="V307" s="605"/>
      <c r="W307" s="606"/>
    </row>
    <row r="308" spans="1:23" s="64" customFormat="1" x14ac:dyDescent="0.25">
      <c r="A308" s="65"/>
      <c r="B308" s="61"/>
      <c r="C308" s="23"/>
      <c r="D308" s="61"/>
      <c r="E308" s="61"/>
      <c r="F308" s="60"/>
      <c r="G308" s="61"/>
      <c r="H308" s="61"/>
      <c r="I308" s="61"/>
      <c r="J308" s="61"/>
      <c r="K308" s="61"/>
      <c r="L308" s="61"/>
      <c r="M308" s="61"/>
      <c r="N308" s="61"/>
      <c r="O308" s="61"/>
      <c r="P308" s="61"/>
      <c r="Q308" s="61"/>
      <c r="R308" s="61"/>
      <c r="S308" s="61"/>
      <c r="T308" s="61"/>
      <c r="U308" s="261"/>
      <c r="V308" s="605"/>
      <c r="W308" s="606"/>
    </row>
    <row r="309" spans="1:23" s="64" customFormat="1" x14ac:dyDescent="0.25">
      <c r="A309" s="65"/>
      <c r="B309" s="61"/>
      <c r="C309" s="23"/>
      <c r="D309" s="61"/>
      <c r="E309" s="61"/>
      <c r="F309" s="60"/>
      <c r="G309" s="61"/>
      <c r="H309" s="61"/>
      <c r="I309" s="61"/>
      <c r="J309" s="61"/>
      <c r="K309" s="61"/>
      <c r="L309" s="61"/>
      <c r="M309" s="61"/>
      <c r="N309" s="61"/>
      <c r="O309" s="61"/>
      <c r="P309" s="61"/>
      <c r="Q309" s="61"/>
      <c r="R309" s="61"/>
      <c r="S309" s="61"/>
      <c r="T309" s="61"/>
      <c r="U309" s="261"/>
      <c r="V309" s="605"/>
      <c r="W309" s="606"/>
    </row>
    <row r="310" spans="1:23" s="64" customFormat="1" ht="13.8" thickBot="1" x14ac:dyDescent="0.3">
      <c r="A310" s="127"/>
      <c r="B310" s="195"/>
      <c r="C310" s="24"/>
      <c r="D310" s="195"/>
      <c r="E310" s="195"/>
      <c r="F310" s="263"/>
      <c r="G310" s="195"/>
      <c r="H310" s="195"/>
      <c r="I310" s="195"/>
      <c r="J310" s="195"/>
      <c r="K310" s="195"/>
      <c r="L310" s="195"/>
      <c r="M310" s="195"/>
      <c r="N310" s="195"/>
      <c r="O310" s="195"/>
      <c r="P310" s="195"/>
      <c r="Q310" s="195"/>
      <c r="R310" s="195"/>
      <c r="S310" s="195"/>
      <c r="T310" s="195"/>
      <c r="U310" s="262"/>
      <c r="V310" s="599"/>
      <c r="W310" s="600"/>
    </row>
    <row r="311" spans="1:23" s="64" customFormat="1" x14ac:dyDescent="0.25">
      <c r="F311" s="66"/>
      <c r="G311" s="66"/>
      <c r="H311" s="66"/>
      <c r="I311" s="66"/>
    </row>
    <row r="312" spans="1:23" s="64" customFormat="1" x14ac:dyDescent="0.25">
      <c r="F312" s="66"/>
      <c r="G312" s="66"/>
      <c r="H312" s="66"/>
      <c r="I312" s="66"/>
    </row>
    <row r="313" spans="1:23" s="64" customFormat="1" ht="13.8" thickBot="1" x14ac:dyDescent="0.3">
      <c r="F313" s="66"/>
      <c r="G313" s="66"/>
      <c r="H313" s="66"/>
      <c r="I313" s="66"/>
    </row>
    <row r="314" spans="1:23" ht="13.8" thickBot="1" x14ac:dyDescent="0.3">
      <c r="A314" s="143" t="s">
        <v>427</v>
      </c>
      <c r="B314" s="264" t="s">
        <v>428</v>
      </c>
    </row>
    <row r="315" spans="1:23" x14ac:dyDescent="0.25">
      <c r="A315" s="146" t="s">
        <v>429</v>
      </c>
      <c r="B315" s="366" t="s">
        <v>50</v>
      </c>
    </row>
    <row r="316" spans="1:23" x14ac:dyDescent="0.25">
      <c r="A316" s="265" t="s">
        <v>64</v>
      </c>
      <c r="B316" s="63" t="s">
        <v>50</v>
      </c>
    </row>
    <row r="317" spans="1:23" x14ac:dyDescent="0.25">
      <c r="A317" s="265" t="s">
        <v>243</v>
      </c>
      <c r="B317" s="63" t="s">
        <v>50</v>
      </c>
    </row>
    <row r="318" spans="1:23" x14ac:dyDescent="0.25">
      <c r="A318" s="265" t="s">
        <v>244</v>
      </c>
      <c r="B318" s="63" t="s">
        <v>50</v>
      </c>
    </row>
    <row r="319" spans="1:23" x14ac:dyDescent="0.25">
      <c r="A319" s="265" t="s">
        <v>245</v>
      </c>
      <c r="B319" s="63" t="s">
        <v>52</v>
      </c>
    </row>
    <row r="320" spans="1:23" x14ac:dyDescent="0.25">
      <c r="A320" s="265" t="s">
        <v>267</v>
      </c>
      <c r="B320" s="63" t="s">
        <v>52</v>
      </c>
      <c r="F320" s="20"/>
      <c r="G320" s="20"/>
      <c r="H320" s="20"/>
      <c r="I320" s="20"/>
    </row>
    <row r="321" spans="1:9" x14ac:dyDescent="0.25">
      <c r="A321" s="266" t="s">
        <v>265</v>
      </c>
      <c r="B321" s="63" t="s">
        <v>52</v>
      </c>
      <c r="F321" s="20"/>
      <c r="G321" s="20"/>
      <c r="H321" s="20"/>
      <c r="I321" s="20"/>
    </row>
    <row r="322" spans="1:9" x14ac:dyDescent="0.25">
      <c r="A322" s="266" t="s">
        <v>430</v>
      </c>
      <c r="B322" s="63" t="s">
        <v>52</v>
      </c>
      <c r="F322" s="20"/>
      <c r="G322" s="20"/>
      <c r="H322" s="20"/>
      <c r="I322" s="20"/>
    </row>
    <row r="323" spans="1:9" ht="13.8" thickBot="1" x14ac:dyDescent="0.3">
      <c r="A323" s="267" t="s">
        <v>433</v>
      </c>
      <c r="B323" s="129" t="s">
        <v>50</v>
      </c>
      <c r="F323" s="20"/>
      <c r="G323" s="20"/>
      <c r="H323" s="20"/>
      <c r="I323" s="20"/>
    </row>
  </sheetData>
  <sheetProtection formatCells="0" formatColumns="0" formatRows="0" insertColumns="0" insertRows="0" deleteColumns="0" deleteRows="0" sort="0" autoFilter="0"/>
  <dataConsolidate>
    <dataRefs count="2">
      <dataRef ref="B9" sheet="APPENDIX B-1  (FE - USWC)" r:id="rId1"/>
      <dataRef ref="A14:A18" sheet="APPENDIX B-1  (FE - USWC)" r:id="rId2"/>
    </dataRefs>
  </dataConsolidate>
  <mergeCells count="251">
    <mergeCell ref="A1:B1"/>
    <mergeCell ref="C1:F1"/>
    <mergeCell ref="A2:B2"/>
    <mergeCell ref="C2:F2"/>
    <mergeCell ref="A3:B3"/>
    <mergeCell ref="C3:F3"/>
    <mergeCell ref="A7:B7"/>
    <mergeCell ref="C7:F7"/>
    <mergeCell ref="A8:B8"/>
    <mergeCell ref="C8:F8"/>
    <mergeCell ref="A12:J12"/>
    <mergeCell ref="B13:I13"/>
    <mergeCell ref="J13:K13"/>
    <mergeCell ref="A4:B4"/>
    <mergeCell ref="C4:F4"/>
    <mergeCell ref="A5:B5"/>
    <mergeCell ref="C5:F5"/>
    <mergeCell ref="A6:B6"/>
    <mergeCell ref="C6:F6"/>
    <mergeCell ref="B16:I16"/>
    <mergeCell ref="J16:K16"/>
    <mergeCell ref="L16:M16"/>
    <mergeCell ref="B17:I17"/>
    <mergeCell ref="J17:K17"/>
    <mergeCell ref="L17:M17"/>
    <mergeCell ref="L13:M13"/>
    <mergeCell ref="B14:I14"/>
    <mergeCell ref="J14:K14"/>
    <mergeCell ref="L14:M14"/>
    <mergeCell ref="B15:I15"/>
    <mergeCell ref="J15:K15"/>
    <mergeCell ref="L15:M15"/>
    <mergeCell ref="B20:H20"/>
    <mergeCell ref="B21:H21"/>
    <mergeCell ref="B22:H22"/>
    <mergeCell ref="B23:H23"/>
    <mergeCell ref="B24:H24"/>
    <mergeCell ref="A30:A31"/>
    <mergeCell ref="B30:B31"/>
    <mergeCell ref="C30:C31"/>
    <mergeCell ref="D30:D31"/>
    <mergeCell ref="E30:E31"/>
    <mergeCell ref="L30:L31"/>
    <mergeCell ref="X30:X31"/>
    <mergeCell ref="Y30:Y31"/>
    <mergeCell ref="Z30:Z31"/>
    <mergeCell ref="AA30:AA31"/>
    <mergeCell ref="A155:A156"/>
    <mergeCell ref="B155:B156"/>
    <mergeCell ref="C155:C156"/>
    <mergeCell ref="D155:D156"/>
    <mergeCell ref="E155:E156"/>
    <mergeCell ref="F30:F31"/>
    <mergeCell ref="G30:G31"/>
    <mergeCell ref="H30:H31"/>
    <mergeCell ref="I30:I31"/>
    <mergeCell ref="J30:J31"/>
    <mergeCell ref="K30:K31"/>
    <mergeCell ref="X155:X156"/>
    <mergeCell ref="Y155:Y156"/>
    <mergeCell ref="Z155:Z156"/>
    <mergeCell ref="AA155:AA156"/>
    <mergeCell ref="I155:I156"/>
    <mergeCell ref="J155:J156"/>
    <mergeCell ref="K155:K156"/>
    <mergeCell ref="A164:D164"/>
    <mergeCell ref="A165:A166"/>
    <mergeCell ref="B165:B166"/>
    <mergeCell ref="C165:C166"/>
    <mergeCell ref="D165:D166"/>
    <mergeCell ref="E165:E166"/>
    <mergeCell ref="F155:F156"/>
    <mergeCell ref="G155:G156"/>
    <mergeCell ref="H155:H156"/>
    <mergeCell ref="AA165:AA166"/>
    <mergeCell ref="AB165:AB166"/>
    <mergeCell ref="AC165:AC166"/>
    <mergeCell ref="F165:F166"/>
    <mergeCell ref="G165:G166"/>
    <mergeCell ref="H165:H166"/>
    <mergeCell ref="I165:I166"/>
    <mergeCell ref="J165:J166"/>
    <mergeCell ref="K165:K166"/>
    <mergeCell ref="A174:C174"/>
    <mergeCell ref="A175:C175"/>
    <mergeCell ref="B182:D182"/>
    <mergeCell ref="B183:D183"/>
    <mergeCell ref="B184:D184"/>
    <mergeCell ref="B185:D185"/>
    <mergeCell ref="L165:L166"/>
    <mergeCell ref="M165:M166"/>
    <mergeCell ref="Z165:Z166"/>
    <mergeCell ref="B200:D200"/>
    <mergeCell ref="B201:D201"/>
    <mergeCell ref="A203:I203"/>
    <mergeCell ref="A204:I204"/>
    <mergeCell ref="B205:I205"/>
    <mergeCell ref="B206:I206"/>
    <mergeCell ref="B186:D186"/>
    <mergeCell ref="A189:C189"/>
    <mergeCell ref="A190:C190"/>
    <mergeCell ref="B197:D197"/>
    <mergeCell ref="B198:D198"/>
    <mergeCell ref="B199:D199"/>
    <mergeCell ref="B213:D213"/>
    <mergeCell ref="E213:G213"/>
    <mergeCell ref="B214:D214"/>
    <mergeCell ref="E214:G214"/>
    <mergeCell ref="B215:D215"/>
    <mergeCell ref="E215:G215"/>
    <mergeCell ref="M208:M210"/>
    <mergeCell ref="A209:G209"/>
    <mergeCell ref="A210:G210"/>
    <mergeCell ref="B211:D211"/>
    <mergeCell ref="E211:G211"/>
    <mergeCell ref="B212:D212"/>
    <mergeCell ref="E212:G212"/>
    <mergeCell ref="A208:G208"/>
    <mergeCell ref="H208:H210"/>
    <mergeCell ref="I208:I210"/>
    <mergeCell ref="J208:J210"/>
    <mergeCell ref="K208:K210"/>
    <mergeCell ref="L208:L210"/>
    <mergeCell ref="B219:D219"/>
    <mergeCell ref="E219:G219"/>
    <mergeCell ref="B220:D220"/>
    <mergeCell ref="E220:G220"/>
    <mergeCell ref="B221:D221"/>
    <mergeCell ref="E221:G221"/>
    <mergeCell ref="B216:D216"/>
    <mergeCell ref="E216:G216"/>
    <mergeCell ref="B217:D217"/>
    <mergeCell ref="E217:G217"/>
    <mergeCell ref="B218:D218"/>
    <mergeCell ref="E218:G218"/>
    <mergeCell ref="B225:D225"/>
    <mergeCell ref="E225:G225"/>
    <mergeCell ref="B226:D226"/>
    <mergeCell ref="E226:G226"/>
    <mergeCell ref="B227:D227"/>
    <mergeCell ref="E227:G227"/>
    <mergeCell ref="B222:D222"/>
    <mergeCell ref="E222:G222"/>
    <mergeCell ref="B223:D223"/>
    <mergeCell ref="E223:G223"/>
    <mergeCell ref="B224:D224"/>
    <mergeCell ref="E224:G224"/>
    <mergeCell ref="B231:D231"/>
    <mergeCell ref="E231:G231"/>
    <mergeCell ref="B232:D232"/>
    <mergeCell ref="E232:G232"/>
    <mergeCell ref="B233:D233"/>
    <mergeCell ref="E233:G233"/>
    <mergeCell ref="B228:D228"/>
    <mergeCell ref="E228:G228"/>
    <mergeCell ref="B229:D229"/>
    <mergeCell ref="E229:G229"/>
    <mergeCell ref="B230:D230"/>
    <mergeCell ref="E230:G230"/>
    <mergeCell ref="A237:I237"/>
    <mergeCell ref="A238:I238"/>
    <mergeCell ref="A240:D240"/>
    <mergeCell ref="E240:E241"/>
    <mergeCell ref="F240:F241"/>
    <mergeCell ref="G240:G241"/>
    <mergeCell ref="H240:H241"/>
    <mergeCell ref="I240:I241"/>
    <mergeCell ref="B234:D234"/>
    <mergeCell ref="E234:G234"/>
    <mergeCell ref="B235:D235"/>
    <mergeCell ref="E235:G235"/>
    <mergeCell ref="B236:D236"/>
    <mergeCell ref="E236:G236"/>
    <mergeCell ref="J240:J241"/>
    <mergeCell ref="K240:K241"/>
    <mergeCell ref="L240:L241"/>
    <mergeCell ref="A247:D247"/>
    <mergeCell ref="E247:E248"/>
    <mergeCell ref="F247:F248"/>
    <mergeCell ref="G247:G248"/>
    <mergeCell ref="H247:H248"/>
    <mergeCell ref="I247:I248"/>
    <mergeCell ref="J247:J248"/>
    <mergeCell ref="A259:F259"/>
    <mergeCell ref="A265:I265"/>
    <mergeCell ref="B267:I267"/>
    <mergeCell ref="B268:I268"/>
    <mergeCell ref="B269:I269"/>
    <mergeCell ref="B270:I270"/>
    <mergeCell ref="K247:K248"/>
    <mergeCell ref="L247:L248"/>
    <mergeCell ref="M247:M248"/>
    <mergeCell ref="A255:E255"/>
    <mergeCell ref="A257:F257"/>
    <mergeCell ref="A258:F258"/>
    <mergeCell ref="B277:I277"/>
    <mergeCell ref="B278:I278"/>
    <mergeCell ref="B279:I279"/>
    <mergeCell ref="B280:I280"/>
    <mergeCell ref="B281:I281"/>
    <mergeCell ref="A285:B285"/>
    <mergeCell ref="B271:I271"/>
    <mergeCell ref="B272:I272"/>
    <mergeCell ref="B273:I273"/>
    <mergeCell ref="B274:I274"/>
    <mergeCell ref="B275:I275"/>
    <mergeCell ref="B276:I276"/>
    <mergeCell ref="A287:G287"/>
    <mergeCell ref="A289:E289"/>
    <mergeCell ref="A290:A291"/>
    <mergeCell ref="B290:B291"/>
    <mergeCell ref="C290:C291"/>
    <mergeCell ref="D290:D291"/>
    <mergeCell ref="E290:E291"/>
    <mergeCell ref="F290:F291"/>
    <mergeCell ref="G290:G291"/>
    <mergeCell ref="M292:N292"/>
    <mergeCell ref="M293:N293"/>
    <mergeCell ref="M294:N294"/>
    <mergeCell ref="M295:N295"/>
    <mergeCell ref="M296:N296"/>
    <mergeCell ref="M297:N297"/>
    <mergeCell ref="H290:H291"/>
    <mergeCell ref="I290:I291"/>
    <mergeCell ref="J290:J291"/>
    <mergeCell ref="K290:K291"/>
    <mergeCell ref="L290:L291"/>
    <mergeCell ref="M290:N291"/>
    <mergeCell ref="A300:G300"/>
    <mergeCell ref="A302:H302"/>
    <mergeCell ref="A303:A304"/>
    <mergeCell ref="B303:B304"/>
    <mergeCell ref="C303:C304"/>
    <mergeCell ref="D303:D304"/>
    <mergeCell ref="E303:E304"/>
    <mergeCell ref="F303:F304"/>
    <mergeCell ref="G303:N303"/>
    <mergeCell ref="V309:W309"/>
    <mergeCell ref="V310:W310"/>
    <mergeCell ref="U303:U304"/>
    <mergeCell ref="V303:W304"/>
    <mergeCell ref="V305:W305"/>
    <mergeCell ref="V306:W306"/>
    <mergeCell ref="V307:W307"/>
    <mergeCell ref="V308:W308"/>
    <mergeCell ref="O303:O304"/>
    <mergeCell ref="P303:P304"/>
    <mergeCell ref="Q303:Q304"/>
    <mergeCell ref="R303:R304"/>
    <mergeCell ref="S303:S304"/>
    <mergeCell ref="T303:T304"/>
  </mergeCells>
  <dataValidations count="33">
    <dataValidation type="list" allowBlank="1" showInputMessage="1" showErrorMessage="1" errorTitle="Pick up the list" promptTitle="Blank = ALL" sqref="H211:H236" xr:uid="{3E1C26BE-56BA-4564-A439-EB245C366A38}">
      <formula1>Type_note2</formula1>
    </dataValidation>
    <dataValidation allowBlank="1" showInputMessage="1" showErrorMessage="1" promptTitle="Acceptable Values:" prompt="- Applicable _x000a_- Not applicable _x000a_- Included_x000a_- Amount and OSPF for cases of fixed per D40 OSPF_x000a_    (example-  &quot;375 OSPF&quot;)" sqref="E211:G236" xr:uid="{422FAD20-7802-4AE2-884B-6990ED921314}"/>
    <dataValidation type="list" allowBlank="1" showErrorMessage="1" sqref="A211:A236" xr:uid="{4BFEE1ED-3E80-46C2-9580-3CADD99EFE11}">
      <formula1>Charges</formula1>
    </dataValidation>
    <dataValidation type="list" allowBlank="1" showInputMessage="1" showErrorMessage="1" sqref="I211:I236" xr:uid="{B13E67C3-F4A1-4ECE-A276-4557ED5149A4}">
      <formula1>$A$14:$A$18</formula1>
    </dataValidation>
    <dataValidation type="list" allowBlank="1" showInputMessage="1" showErrorMessage="1" sqref="AC167:AC170 AA157:AA161 AA32:AA151" xr:uid="{432EE2ED-3F85-40B7-9B00-4C2B1F0C9690}">
      <formula1>CST</formula1>
    </dataValidation>
    <dataValidation type="list" allowBlank="1" showErrorMessage="1" sqref="M30:W30 Q165:Y165 O155:W155" xr:uid="{3A649BE8-E7B2-4F4E-B1E4-EEFAF6D61DA1}">
      <formula1>Exceptions</formula1>
    </dataValidation>
    <dataValidation type="list" allowBlank="1" showInputMessage="1" showErrorMessage="1" sqref="N167:N170" xr:uid="{57382C8E-DA0D-4894-A9D1-18048FC3A149}">
      <formula1>OOG</formula1>
    </dataValidation>
    <dataValidation type="list" allowBlank="1" showInputMessage="1" showErrorMessage="1" sqref="O167:O170 M157:M161" xr:uid="{985117C1-F621-4D7E-B87F-8C74D20EF920}">
      <formula1>ShipperOwn</formula1>
    </dataValidation>
    <dataValidation type="list" allowBlank="1" showInputMessage="1" showErrorMessage="1" sqref="F167:F170 F157:F161 F32:F151" xr:uid="{3BBC9258-A5A6-4C4B-8860-1F705076D98D}">
      <formula1>Mode</formula1>
    </dataValidation>
    <dataValidation type="list" allowBlank="1" showInputMessage="1" showErrorMessage="1" sqref="O156:W156" xr:uid="{D9F4C52E-844A-41EE-A4C1-C3C5B41E25E1}">
      <formula1>Reefer</formula1>
    </dataValidation>
    <dataValidation type="list" allowBlank="1" showInputMessage="1" showErrorMessage="1" sqref="M31:W31 Q166:Y166" xr:uid="{A2839580-CBB3-4559-AFAE-81BF0A728A28}">
      <formula1>Container</formula1>
    </dataValidation>
    <dataValidation type="list" allowBlank="1" showInputMessage="1" showErrorMessage="1" sqref="G167:G170 G157:G161 G32:G151" xr:uid="{A3BD185A-BB50-489C-9308-C80772FC56BA}">
      <formula1>SDD</formula1>
    </dataValidation>
    <dataValidation type="list" allowBlank="1" showInputMessage="1" showErrorMessage="1" sqref="F183:F186 F198:F201" xr:uid="{FF311338-7DA2-4A0D-ACBF-3CD35B1454A6}">
      <formula1>ArbMode</formula1>
    </dataValidation>
    <dataValidation type="list" allowBlank="1" showInputMessage="1" showErrorMessage="1" sqref="M167:M170" xr:uid="{B61BB5C4-1351-4498-977A-16047EE24CE7}">
      <formula1>Equip</formula1>
    </dataValidation>
    <dataValidation type="list" allowBlank="1" showInputMessage="1" showErrorMessage="1" sqref="G183:G186 P167:P170 G198:G201 L157:L161 N157:N161" xr:uid="{C80FFC57-645F-4724-86C4-EDB56CEEC6F4}">
      <formula1>YesNo</formula1>
    </dataValidation>
    <dataValidation type="list" allowBlank="1" showInputMessage="1" showErrorMessage="1" sqref="O183:O186 O198:O201" xr:uid="{3BC0A51F-D7BB-4D1C-B605-9AE0B1789606}">
      <formula1 xml:space="preserve"> droppull</formula1>
    </dataValidation>
    <dataValidation type="list" showDropDown="1" showErrorMessage="1" sqref="O182 O197" xr:uid="{E7AF59E4-8903-4144-B67E-ED1B2169250D}">
      <formula1>Charges</formula1>
    </dataValidation>
    <dataValidation type="date" allowBlank="1" showInputMessage="1" showErrorMessage="1" sqref="J211:K236 X32:Y151" xr:uid="{6251FA00-63F8-43AA-B5C8-B349FC2E1882}">
      <formula1>10101</formula1>
      <formula2>311299</formula2>
    </dataValidation>
    <dataValidation type="list" showInputMessage="1" showErrorMessage="1" sqref="A305:A310 A292:A297" xr:uid="{B261B78D-C397-4589-9A01-F2F9BB1C6363}">
      <formula1>BULLET</formula1>
    </dataValidation>
    <dataValidation type="list" allowBlank="1" showInputMessage="1" showErrorMessage="1" sqref="E242:E245 E249:E252" xr:uid="{3D474336-A2D5-45BE-8BA0-2BD08D3C1EA1}">
      <formula1>GRIPSS_EQ</formula1>
    </dataValidation>
    <dataValidation type="decimal" allowBlank="1" showInputMessage="1" showErrorMessage="1" sqref="F249:I252 F242:I245 I167:L170 J198:M201 I157:K161 I32:L151" xr:uid="{7E7D55A7-CFAC-4885-9332-7BDD3A7D2ECD}">
      <formula1>0</formula1>
      <formula2>999999999999999</formula2>
    </dataValidation>
    <dataValidation type="list" allowBlank="1" showInputMessage="1" showErrorMessage="1" sqref="J242:J245 J249:J252" xr:uid="{436A477B-EEE6-40EE-88CA-D0834151E8D7}">
      <formula1>GRIPSS</formula1>
    </dataValidation>
    <dataValidation type="list" showInputMessage="1" showErrorMessage="1" sqref="K242:K245 K249:K252 N183:N186 A167:A170 N198:N201 A157:A161 A32:A151" xr:uid="{4696AB73-0BC2-4683-A5CB-B2485F585E73}">
      <formula1>$A$14:$A$18</formula1>
    </dataValidation>
    <dataValidation type="decimal" allowBlank="1" showInputMessage="1" showErrorMessage="1" error="Only numbers may be entered into this field" sqref="H305:H310 N305:N310 L305:L310 J305:J310" xr:uid="{818F6899-B8C4-4CA6-BEB5-5AB3E4721D94}">
      <formula1>1</formula1>
      <formula2>1000000000</formula2>
    </dataValidation>
    <dataValidation type="whole" allowBlank="1" showInputMessage="1" showErrorMessage="1" error="Only whole numbers may be entered into this field_x000a_" sqref="G305:G310 M305:M310 K305:K310 I305:I310" xr:uid="{3C7C1E9A-36EF-4E8D-BEA3-BFF7E81349E2}">
      <formula1>1</formula1>
      <formula2>99</formula2>
    </dataValidation>
    <dataValidation type="list" showInputMessage="1" showErrorMessage="1" sqref="E305:E310 E292:E297" xr:uid="{C14047CA-8E4F-4C9C-B267-AA2C07B20426}">
      <formula1>DAYS</formula1>
    </dataValidation>
    <dataValidation type="whole" allowBlank="1" showInputMessage="1" showErrorMessage="1" error="Only whole numbers can be entered into this field" sqref="D305:D310 D292:D297" xr:uid="{EB2502FE-8C9B-4635-824F-393C67FBFD1F}">
      <formula1>1</formula1>
      <formula2>99</formula2>
    </dataValidation>
    <dataValidation type="list" allowBlank="1" showInputMessage="1" showErrorMessage="1" sqref="F305:F310" xr:uid="{89EE9D05-FAAA-4010-8218-934EBD6E980B}">
      <formula1>CURRENCY</formula1>
    </dataValidation>
    <dataValidation type="list" allowBlank="1" showInputMessage="1" showErrorMessage="1" sqref="P305:P310 G292:G297" xr:uid="{54ED6951-0DAB-4CDB-80B6-9AC005B43DCD}">
      <formula1>OPREEFER</formula1>
    </dataValidation>
    <dataValidation type="list" allowBlank="1" showInputMessage="1" showErrorMessage="1" sqref="O305:O310 F292:F297" xr:uid="{47E1BC3B-BD84-411F-8B8B-1D4F2B7069E5}">
      <formula1>EQTYPE</formula1>
    </dataValidation>
    <dataValidation type="list" allowBlank="1" showInputMessage="1" showErrorMessage="1" sqref="B305:B310 B292:B297" xr:uid="{DBAC2DFC-57F0-40BD-AA3E-DC0A61F4C291}">
      <formula1>EXPIMP</formula1>
    </dataValidation>
    <dataValidation type="list" showInputMessage="1" showErrorMessage="1" sqref="C305:C310 C292:C297" xr:uid="{2437743C-6DE1-4AA4-A8A9-FCEEDB68F309}">
      <formula1>IF($B292="I",DDTARIFFUS,DDTARIFF)</formula1>
    </dataValidation>
    <dataValidation type="list" allowBlank="1" showInputMessage="1" showErrorMessage="1" sqref="B315:B323" xr:uid="{C3C26874-233D-4472-8241-03F246170B12}">
      <formula1>Autom</formula1>
    </dataValidation>
  </dataValidations>
  <pageMargins left="0.25" right="0.25" top="0.25" bottom="0.25" header="0.5" footer="0"/>
  <pageSetup scale="27" fitToHeight="0" orientation="landscape" r:id="rId3"/>
  <headerFooter alignWithMargins="0"/>
  <rowBreaks count="1" manualBreakCount="1">
    <brk id="206" max="16383" man="1"/>
  </rowBreaks>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
    <pageSetUpPr fitToPage="1"/>
  </sheetPr>
  <dimension ref="A1:I5000"/>
  <sheetViews>
    <sheetView showGridLines="0" zoomScaleNormal="100" workbookViewId="0"/>
  </sheetViews>
  <sheetFormatPr defaultColWidth="9.109375" defaultRowHeight="13.2" x14ac:dyDescent="0.25"/>
  <cols>
    <col min="1" max="1" width="18.44140625" style="15" bestFit="1" customWidth="1"/>
    <col min="2" max="2" width="54.5546875" style="15" customWidth="1"/>
    <col min="3" max="3" width="33.5546875" style="15" customWidth="1"/>
    <col min="4" max="4" width="20.88671875" style="15" customWidth="1"/>
    <col min="5" max="5" width="19.44140625" style="15" customWidth="1"/>
    <col min="6" max="6" width="20.88671875" style="15" customWidth="1"/>
    <col min="7" max="7" width="23.44140625" style="15" bestFit="1" customWidth="1"/>
    <col min="8" max="8" width="10" style="15" customWidth="1"/>
    <col min="9" max="16384" width="9.109375" style="15"/>
  </cols>
  <sheetData>
    <row r="1" spans="1:9" x14ac:dyDescent="0.25">
      <c r="A1" s="134" t="s">
        <v>455</v>
      </c>
      <c r="B1" s="268" t="str">
        <f>Cover!B1</f>
        <v>25-3117</v>
      </c>
      <c r="I1" s="5">
        <v>21</v>
      </c>
    </row>
    <row r="2" spans="1:9" x14ac:dyDescent="0.25">
      <c r="A2" s="136" t="s">
        <v>1025</v>
      </c>
      <c r="B2" s="269"/>
    </row>
    <row r="3" spans="1:9" x14ac:dyDescent="0.25">
      <c r="A3" s="136" t="s">
        <v>466</v>
      </c>
      <c r="B3" s="270">
        <f>Cover!B2</f>
        <v>58</v>
      </c>
    </row>
    <row r="4" spans="1:9" x14ac:dyDescent="0.25">
      <c r="A4" s="136" t="s">
        <v>1019</v>
      </c>
      <c r="B4" s="271" t="str">
        <f>Cover!B7</f>
        <v>LOGISTIQUE PRIME FREIGHT INC</v>
      </c>
    </row>
    <row r="5" spans="1:9" ht="13.8" thickBot="1" x14ac:dyDescent="0.3">
      <c r="A5" s="249" t="s">
        <v>472</v>
      </c>
      <c r="B5" s="272" t="str">
        <f>Cover!C62</f>
        <v>Affiliates</v>
      </c>
    </row>
    <row r="6" spans="1:9" ht="13.8" thickBot="1" x14ac:dyDescent="0.3">
      <c r="A6" s="138">
        <v>41</v>
      </c>
    </row>
    <row r="7" spans="1:9" ht="13.8" thickBot="1" x14ac:dyDescent="0.3">
      <c r="A7" s="665" t="s">
        <v>426</v>
      </c>
      <c r="B7" s="666"/>
      <c r="C7" s="666"/>
      <c r="D7" s="666"/>
      <c r="E7" s="666"/>
      <c r="F7" s="666"/>
      <c r="G7" s="667"/>
    </row>
    <row r="8" spans="1:9" ht="13.8" thickBot="1" x14ac:dyDescent="0.3">
      <c r="A8" s="582" t="s">
        <v>71</v>
      </c>
      <c r="B8" s="583"/>
      <c r="C8" s="583"/>
      <c r="D8" s="583"/>
      <c r="E8" s="583"/>
      <c r="F8" s="584"/>
      <c r="G8" s="273" t="s">
        <v>425</v>
      </c>
    </row>
    <row r="9" spans="1:9" ht="13.8" thickBot="1" x14ac:dyDescent="0.3">
      <c r="A9" s="274" t="s">
        <v>554</v>
      </c>
      <c r="B9" s="275" t="s">
        <v>72</v>
      </c>
      <c r="C9" s="275" t="s">
        <v>420</v>
      </c>
      <c r="D9" s="275" t="s">
        <v>421</v>
      </c>
      <c r="E9" s="275" t="s">
        <v>422</v>
      </c>
      <c r="F9" s="275" t="s">
        <v>423</v>
      </c>
      <c r="G9" s="276" t="s">
        <v>424</v>
      </c>
    </row>
    <row r="10" spans="1:9" s="28" customFormat="1" x14ac:dyDescent="0.25">
      <c r="A10" s="399" t="s">
        <v>1659</v>
      </c>
      <c r="B10" s="399" t="s">
        <v>1660</v>
      </c>
      <c r="C10" s="399" t="s">
        <v>1661</v>
      </c>
      <c r="D10" s="399" t="s">
        <v>1662</v>
      </c>
      <c r="E10" s="399" t="s">
        <v>1663</v>
      </c>
      <c r="F10" s="399" t="s">
        <v>1664</v>
      </c>
      <c r="G10" s="399"/>
    </row>
    <row r="11" spans="1:9" s="28" customFormat="1" x14ac:dyDescent="0.25">
      <c r="A11" s="400"/>
      <c r="B11" s="400"/>
      <c r="C11" s="400"/>
      <c r="D11" s="400"/>
      <c r="E11" s="400"/>
      <c r="F11" s="400"/>
      <c r="G11" s="400"/>
    </row>
    <row r="12" spans="1:9" s="28" customFormat="1" x14ac:dyDescent="0.25">
      <c r="A12" s="400"/>
      <c r="B12" s="400"/>
      <c r="C12" s="400"/>
      <c r="D12" s="400"/>
      <c r="E12" s="400"/>
      <c r="F12" s="400"/>
      <c r="G12" s="400"/>
    </row>
    <row r="13" spans="1:9" s="28" customFormat="1" x14ac:dyDescent="0.25">
      <c r="A13" s="400"/>
      <c r="B13" s="400"/>
      <c r="C13" s="400"/>
      <c r="D13" s="400"/>
      <c r="E13" s="400"/>
      <c r="F13" s="400"/>
      <c r="G13" s="400"/>
    </row>
    <row r="14" spans="1:9" s="28" customFormat="1" x14ac:dyDescent="0.25">
      <c r="A14" s="400"/>
      <c r="B14" s="400"/>
      <c r="C14" s="400"/>
      <c r="D14" s="400"/>
      <c r="E14" s="400"/>
      <c r="F14" s="400"/>
      <c r="G14" s="400"/>
    </row>
    <row r="15" spans="1:9" s="28" customFormat="1" x14ac:dyDescent="0.25">
      <c r="A15" s="400"/>
      <c r="B15" s="400"/>
      <c r="C15" s="400"/>
      <c r="D15" s="400"/>
      <c r="E15" s="400"/>
      <c r="F15" s="400"/>
      <c r="G15" s="400"/>
    </row>
    <row r="16" spans="1:9" s="28" customFormat="1" x14ac:dyDescent="0.25">
      <c r="A16" s="400"/>
      <c r="B16" s="400"/>
      <c r="C16" s="400"/>
      <c r="D16" s="400"/>
      <c r="E16" s="400"/>
      <c r="F16" s="400"/>
      <c r="G16" s="400"/>
    </row>
    <row r="17" spans="1:7" s="28" customFormat="1" x14ac:dyDescent="0.25">
      <c r="A17" s="400"/>
      <c r="B17" s="400"/>
      <c r="C17" s="400"/>
      <c r="D17" s="400"/>
      <c r="E17" s="400"/>
      <c r="F17" s="400"/>
      <c r="G17" s="400"/>
    </row>
    <row r="18" spans="1:7" s="28" customFormat="1" x14ac:dyDescent="0.25">
      <c r="A18" s="400"/>
      <c r="B18" s="400"/>
      <c r="C18" s="400"/>
      <c r="D18" s="400"/>
      <c r="E18" s="400"/>
      <c r="F18" s="400"/>
      <c r="G18" s="400"/>
    </row>
    <row r="19" spans="1:7" s="28" customFormat="1" x14ac:dyDescent="0.25">
      <c r="A19" s="400"/>
      <c r="B19" s="400"/>
      <c r="C19" s="400"/>
      <c r="D19" s="400"/>
      <c r="E19" s="400"/>
      <c r="F19" s="400"/>
      <c r="G19" s="400"/>
    </row>
    <row r="20" spans="1:7" s="28" customFormat="1" x14ac:dyDescent="0.25">
      <c r="A20" s="400"/>
      <c r="B20" s="400"/>
      <c r="C20" s="400"/>
      <c r="D20" s="400"/>
      <c r="E20" s="400"/>
      <c r="F20" s="400"/>
      <c r="G20" s="400"/>
    </row>
    <row r="21" spans="1:7" s="28" customFormat="1" x14ac:dyDescent="0.25">
      <c r="A21" s="400"/>
      <c r="B21" s="400"/>
      <c r="C21" s="400"/>
      <c r="D21" s="400"/>
      <c r="E21" s="400"/>
      <c r="F21" s="400"/>
      <c r="G21" s="400"/>
    </row>
    <row r="22" spans="1:7" s="28" customFormat="1" x14ac:dyDescent="0.25">
      <c r="A22" s="400"/>
      <c r="B22" s="400"/>
      <c r="C22" s="400"/>
      <c r="D22" s="400"/>
      <c r="E22" s="400"/>
      <c r="F22" s="400"/>
      <c r="G22" s="400"/>
    </row>
    <row r="23" spans="1:7" s="28" customFormat="1" x14ac:dyDescent="0.25">
      <c r="A23" s="400"/>
      <c r="B23" s="400"/>
      <c r="C23" s="400"/>
      <c r="D23" s="400"/>
      <c r="E23" s="400"/>
      <c r="F23" s="400"/>
      <c r="G23" s="400"/>
    </row>
    <row r="24" spans="1:7" s="28" customFormat="1" x14ac:dyDescent="0.25">
      <c r="A24" s="400"/>
      <c r="B24" s="400"/>
      <c r="C24" s="400"/>
      <c r="D24" s="400"/>
      <c r="E24" s="400"/>
      <c r="F24" s="400"/>
      <c r="G24" s="400"/>
    </row>
    <row r="25" spans="1:7" s="28" customFormat="1" x14ac:dyDescent="0.25">
      <c r="A25" s="400"/>
      <c r="B25" s="400"/>
      <c r="C25" s="400"/>
      <c r="D25" s="400"/>
      <c r="E25" s="400"/>
      <c r="F25" s="400"/>
      <c r="G25" s="400"/>
    </row>
    <row r="26" spans="1:7" s="28" customFormat="1" x14ac:dyDescent="0.25">
      <c r="A26" s="400"/>
      <c r="B26" s="400"/>
      <c r="C26" s="400"/>
      <c r="D26" s="400"/>
      <c r="E26" s="400"/>
      <c r="F26" s="400"/>
      <c r="G26" s="400"/>
    </row>
    <row r="27" spans="1:7" s="28" customFormat="1" x14ac:dyDescent="0.25">
      <c r="A27" s="400"/>
      <c r="B27" s="400"/>
      <c r="C27" s="400"/>
      <c r="D27" s="400"/>
      <c r="E27" s="400"/>
      <c r="F27" s="400"/>
      <c r="G27" s="400"/>
    </row>
    <row r="28" spans="1:7" s="28" customFormat="1" x14ac:dyDescent="0.25">
      <c r="A28" s="400"/>
      <c r="B28" s="400"/>
      <c r="C28" s="400"/>
      <c r="D28" s="400"/>
      <c r="E28" s="400"/>
      <c r="F28" s="400"/>
      <c r="G28" s="400"/>
    </row>
    <row r="29" spans="1:7" s="28" customFormat="1" x14ac:dyDescent="0.25">
      <c r="A29" s="400"/>
      <c r="B29" s="400"/>
      <c r="C29" s="400"/>
      <c r="D29" s="400"/>
      <c r="E29" s="400"/>
      <c r="F29" s="400"/>
      <c r="G29" s="400"/>
    </row>
    <row r="30" spans="1:7" s="28" customFormat="1" x14ac:dyDescent="0.25">
      <c r="A30" s="400"/>
      <c r="B30" s="400"/>
      <c r="C30" s="400"/>
      <c r="D30" s="400"/>
      <c r="E30" s="400"/>
      <c r="F30" s="400"/>
      <c r="G30" s="400"/>
    </row>
    <row r="31" spans="1:7" s="28" customFormat="1" x14ac:dyDescent="0.25">
      <c r="A31" s="400"/>
      <c r="B31" s="400"/>
      <c r="C31" s="400"/>
      <c r="D31" s="400"/>
      <c r="E31" s="400"/>
      <c r="F31" s="400"/>
      <c r="G31" s="400"/>
    </row>
    <row r="32" spans="1:7" s="28" customFormat="1" x14ac:dyDescent="0.25">
      <c r="A32" s="400"/>
      <c r="B32" s="400"/>
      <c r="C32" s="400"/>
      <c r="D32" s="400"/>
      <c r="E32" s="400"/>
      <c r="F32" s="400"/>
      <c r="G32" s="400"/>
    </row>
    <row r="33" spans="1:7" s="28" customFormat="1" x14ac:dyDescent="0.25">
      <c r="A33" s="400"/>
      <c r="B33" s="400"/>
      <c r="C33" s="400"/>
      <c r="D33" s="400"/>
      <c r="E33" s="400"/>
      <c r="F33" s="400"/>
      <c r="G33" s="400"/>
    </row>
    <row r="34" spans="1:7" s="28" customFormat="1" x14ac:dyDescent="0.25">
      <c r="A34" s="400"/>
      <c r="B34" s="400"/>
      <c r="C34" s="400"/>
      <c r="D34" s="400"/>
      <c r="E34" s="400"/>
      <c r="F34" s="400"/>
      <c r="G34" s="400"/>
    </row>
    <row r="35" spans="1:7" s="28" customFormat="1" x14ac:dyDescent="0.25">
      <c r="A35" s="400"/>
      <c r="B35" s="400"/>
      <c r="C35" s="400"/>
      <c r="D35" s="400"/>
      <c r="E35" s="400"/>
      <c r="F35" s="400"/>
      <c r="G35" s="400"/>
    </row>
    <row r="36" spans="1:7" s="28" customFormat="1" x14ac:dyDescent="0.25">
      <c r="A36" s="400"/>
      <c r="B36" s="400"/>
      <c r="C36" s="400"/>
      <c r="D36" s="400"/>
      <c r="E36" s="400"/>
      <c r="F36" s="400"/>
      <c r="G36" s="400"/>
    </row>
    <row r="37" spans="1:7" s="28" customFormat="1" x14ac:dyDescent="0.25">
      <c r="A37" s="400"/>
      <c r="B37" s="400"/>
      <c r="C37" s="400"/>
      <c r="D37" s="400"/>
      <c r="E37" s="400"/>
      <c r="F37" s="400"/>
      <c r="G37" s="400"/>
    </row>
    <row r="38" spans="1:7" s="28" customFormat="1" x14ac:dyDescent="0.25">
      <c r="A38" s="400"/>
      <c r="B38" s="400"/>
      <c r="C38" s="400"/>
      <c r="D38" s="400"/>
      <c r="E38" s="400"/>
      <c r="F38" s="400"/>
      <c r="G38" s="400"/>
    </row>
    <row r="39" spans="1:7" s="28" customFormat="1" x14ac:dyDescent="0.25">
      <c r="A39" s="400"/>
      <c r="B39" s="400"/>
      <c r="C39" s="400"/>
      <c r="D39" s="400"/>
      <c r="E39" s="400"/>
      <c r="F39" s="400"/>
      <c r="G39" s="400"/>
    </row>
    <row r="40" spans="1:7" s="28" customFormat="1" x14ac:dyDescent="0.25">
      <c r="A40" s="400"/>
      <c r="B40" s="400"/>
      <c r="C40" s="400"/>
      <c r="D40" s="400"/>
      <c r="E40" s="400"/>
      <c r="F40" s="400"/>
      <c r="G40" s="400"/>
    </row>
    <row r="41" spans="1:7" s="28" customFormat="1" x14ac:dyDescent="0.25">
      <c r="A41" s="400"/>
      <c r="B41" s="400"/>
      <c r="C41" s="400"/>
      <c r="D41" s="400"/>
      <c r="E41" s="400"/>
      <c r="F41" s="400"/>
      <c r="G41" s="400"/>
    </row>
    <row r="42" spans="1:7" s="28" customFormat="1" x14ac:dyDescent="0.25">
      <c r="A42" s="400"/>
      <c r="B42" s="400"/>
      <c r="C42" s="400"/>
      <c r="D42" s="400"/>
      <c r="E42" s="400"/>
      <c r="F42" s="400"/>
      <c r="G42" s="400"/>
    </row>
    <row r="43" spans="1:7" s="28" customFormat="1" x14ac:dyDescent="0.25">
      <c r="A43" s="400"/>
      <c r="B43" s="400"/>
      <c r="C43" s="400"/>
      <c r="D43" s="400"/>
      <c r="E43" s="400"/>
      <c r="F43" s="400"/>
      <c r="G43" s="400"/>
    </row>
    <row r="44" spans="1:7" s="28" customFormat="1" x14ac:dyDescent="0.25">
      <c r="A44" s="400"/>
      <c r="B44" s="400"/>
      <c r="C44" s="400"/>
      <c r="D44" s="400"/>
      <c r="E44" s="400"/>
      <c r="F44" s="400"/>
      <c r="G44" s="400"/>
    </row>
    <row r="45" spans="1:7" s="28" customFormat="1" x14ac:dyDescent="0.25">
      <c r="A45" s="400"/>
      <c r="B45" s="400"/>
      <c r="C45" s="400"/>
      <c r="D45" s="400"/>
      <c r="E45" s="400"/>
      <c r="F45" s="400"/>
      <c r="G45" s="400"/>
    </row>
    <row r="46" spans="1:7" s="28" customFormat="1" x14ac:dyDescent="0.25">
      <c r="A46" s="400"/>
      <c r="B46" s="400"/>
      <c r="C46" s="400"/>
      <c r="D46" s="400"/>
      <c r="E46" s="400"/>
      <c r="F46" s="400"/>
      <c r="G46" s="400"/>
    </row>
    <row r="47" spans="1:7" s="28" customFormat="1" x14ac:dyDescent="0.25">
      <c r="A47" s="400"/>
      <c r="B47" s="400"/>
      <c r="C47" s="400"/>
      <c r="D47" s="400"/>
      <c r="E47" s="400"/>
      <c r="F47" s="400"/>
      <c r="G47" s="400"/>
    </row>
    <row r="48" spans="1:7" s="28" customFormat="1" x14ac:dyDescent="0.25">
      <c r="A48" s="400"/>
      <c r="B48" s="400"/>
      <c r="C48" s="400"/>
      <c r="D48" s="400"/>
      <c r="E48" s="400"/>
      <c r="F48" s="400"/>
      <c r="G48" s="400"/>
    </row>
    <row r="49" spans="1:7" s="28" customFormat="1" x14ac:dyDescent="0.25">
      <c r="A49" s="400"/>
      <c r="B49" s="400"/>
      <c r="C49" s="400"/>
      <c r="D49" s="400"/>
      <c r="E49" s="400"/>
      <c r="F49" s="400"/>
      <c r="G49" s="400"/>
    </row>
    <row r="50" spans="1:7" s="28" customFormat="1" ht="13.8" thickBot="1" x14ac:dyDescent="0.3">
      <c r="A50" s="401"/>
      <c r="B50" s="401"/>
      <c r="C50" s="401"/>
      <c r="D50" s="401"/>
      <c r="E50" s="401"/>
      <c r="F50" s="401"/>
      <c r="G50" s="401"/>
    </row>
    <row r="65" s="15" customFormat="1" x14ac:dyDescent="0.25"/>
    <row r="66" s="15" customFormat="1" x14ac:dyDescent="0.25"/>
    <row r="67" s="15" customFormat="1" x14ac:dyDescent="0.25"/>
    <row r="68" s="15" customFormat="1" x14ac:dyDescent="0.25"/>
    <row r="69" s="15" customFormat="1" x14ac:dyDescent="0.25"/>
    <row r="70" s="15" customFormat="1" x14ac:dyDescent="0.25"/>
    <row r="71" s="15" customFormat="1" x14ac:dyDescent="0.25"/>
    <row r="72" s="15" customFormat="1" x14ac:dyDescent="0.25"/>
    <row r="73" s="15" customFormat="1" x14ac:dyDescent="0.25"/>
    <row r="74" s="15" customFormat="1" x14ac:dyDescent="0.25"/>
    <row r="75" s="15" customFormat="1" x14ac:dyDescent="0.25"/>
    <row r="76" s="15" customFormat="1" x14ac:dyDescent="0.25"/>
    <row r="77" s="15" customFormat="1" x14ac:dyDescent="0.25"/>
    <row r="78" s="15" customFormat="1" x14ac:dyDescent="0.25"/>
    <row r="79" s="15" customFormat="1" x14ac:dyDescent="0.25"/>
    <row r="80" s="15" customFormat="1" x14ac:dyDescent="0.25"/>
    <row r="81" s="15" customFormat="1" x14ac:dyDescent="0.25"/>
    <row r="82" s="15" customFormat="1" x14ac:dyDescent="0.25"/>
    <row r="83" s="15" customFormat="1" x14ac:dyDescent="0.25"/>
    <row r="84" s="15" customFormat="1" x14ac:dyDescent="0.25"/>
    <row r="85" s="15" customFormat="1" x14ac:dyDescent="0.25"/>
    <row r="86" s="15" customFormat="1" x14ac:dyDescent="0.25"/>
    <row r="87" s="15" customFormat="1" x14ac:dyDescent="0.25"/>
    <row r="88" s="15" customFormat="1" x14ac:dyDescent="0.25"/>
    <row r="89" s="15" customFormat="1" x14ac:dyDescent="0.25"/>
    <row r="90" s="15" customFormat="1" x14ac:dyDescent="0.25"/>
    <row r="91" s="15" customFormat="1" x14ac:dyDescent="0.25"/>
    <row r="92" s="15" customFormat="1" x14ac:dyDescent="0.25"/>
    <row r="93" s="15" customFormat="1" x14ac:dyDescent="0.25"/>
    <row r="94" s="15" customFormat="1" x14ac:dyDescent="0.25"/>
    <row r="95" s="15" customFormat="1" x14ac:dyDescent="0.25"/>
    <row r="96" s="15" customFormat="1" x14ac:dyDescent="0.25"/>
    <row r="97" s="15" customFormat="1" x14ac:dyDescent="0.25"/>
    <row r="98" s="15" customFormat="1" x14ac:dyDescent="0.25"/>
    <row r="99" s="15" customFormat="1" x14ac:dyDescent="0.25"/>
    <row r="100" s="15" customFormat="1" x14ac:dyDescent="0.25"/>
    <row r="101" s="15" customFormat="1" x14ac:dyDescent="0.25"/>
    <row r="102" s="15" customFormat="1" x14ac:dyDescent="0.25"/>
    <row r="103" s="15" customFormat="1" x14ac:dyDescent="0.25"/>
    <row r="104" s="15" customFormat="1" x14ac:dyDescent="0.25"/>
    <row r="105" s="15" customFormat="1" x14ac:dyDescent="0.25"/>
    <row r="106" s="15" customFormat="1" x14ac:dyDescent="0.25"/>
    <row r="107" s="15" customFormat="1" x14ac:dyDescent="0.25"/>
    <row r="108" s="15" customFormat="1" x14ac:dyDescent="0.25"/>
    <row r="109" s="15" customFormat="1" x14ac:dyDescent="0.25"/>
    <row r="110" s="15" customFormat="1" x14ac:dyDescent="0.25"/>
    <row r="111" s="15" customFormat="1" x14ac:dyDescent="0.25"/>
    <row r="112" s="15" customFormat="1" x14ac:dyDescent="0.25"/>
    <row r="113" s="15" customFormat="1" x14ac:dyDescent="0.25"/>
    <row r="114" s="15" customFormat="1" x14ac:dyDescent="0.25"/>
    <row r="115" s="15" customFormat="1" x14ac:dyDescent="0.25"/>
    <row r="116" s="15" customFormat="1" x14ac:dyDescent="0.25"/>
    <row r="117" s="15" customFormat="1" x14ac:dyDescent="0.25"/>
    <row r="118" s="15" customFormat="1" x14ac:dyDescent="0.25"/>
    <row r="119" s="15" customFormat="1" x14ac:dyDescent="0.25"/>
    <row r="120" s="15" customFormat="1" x14ac:dyDescent="0.25"/>
    <row r="121" s="15" customFormat="1" x14ac:dyDescent="0.25"/>
    <row r="122" s="15" customFormat="1" x14ac:dyDescent="0.25"/>
    <row r="123" s="15" customFormat="1" x14ac:dyDescent="0.25"/>
    <row r="124" s="15" customFormat="1" x14ac:dyDescent="0.25"/>
    <row r="125" s="15" customFormat="1" x14ac:dyDescent="0.25"/>
    <row r="126" s="15" customFormat="1" x14ac:dyDescent="0.25"/>
    <row r="127" s="15" customFormat="1" x14ac:dyDescent="0.25"/>
    <row r="128" s="15" customFormat="1" x14ac:dyDescent="0.25"/>
    <row r="129" s="15" customFormat="1" x14ac:dyDescent="0.25"/>
    <row r="130" s="15" customFormat="1" x14ac:dyDescent="0.25"/>
    <row r="131" s="15" customFormat="1" x14ac:dyDescent="0.25"/>
    <row r="132" s="15" customFormat="1" x14ac:dyDescent="0.25"/>
    <row r="133" s="15" customFormat="1" x14ac:dyDescent="0.25"/>
    <row r="134" s="15" customFormat="1" x14ac:dyDescent="0.25"/>
    <row r="135" s="15" customFormat="1" x14ac:dyDescent="0.25"/>
    <row r="136" s="15" customFormat="1" x14ac:dyDescent="0.25"/>
    <row r="137" s="15" customFormat="1" x14ac:dyDescent="0.25"/>
    <row r="138" s="15" customFormat="1" x14ac:dyDescent="0.25"/>
    <row r="139" s="15" customFormat="1" x14ac:dyDescent="0.25"/>
    <row r="140" s="15" customFormat="1" x14ac:dyDescent="0.25"/>
    <row r="141" s="15" customFormat="1" x14ac:dyDescent="0.25"/>
    <row r="142" s="15" customFormat="1" x14ac:dyDescent="0.25"/>
    <row r="143" s="15" customFormat="1" x14ac:dyDescent="0.25"/>
    <row r="144" s="15" customFormat="1" x14ac:dyDescent="0.25"/>
    <row r="145" s="15" customFormat="1" x14ac:dyDescent="0.25"/>
    <row r="146" s="15" customFormat="1" x14ac:dyDescent="0.25"/>
    <row r="147" s="15" customFormat="1" x14ac:dyDescent="0.25"/>
    <row r="148" s="15" customFormat="1" x14ac:dyDescent="0.25"/>
    <row r="149" s="15" customFormat="1" x14ac:dyDescent="0.25"/>
    <row r="150" s="15" customFormat="1" x14ac:dyDescent="0.25"/>
    <row r="151" s="15" customFormat="1" x14ac:dyDescent="0.25"/>
    <row r="152" s="15" customFormat="1" x14ac:dyDescent="0.25"/>
    <row r="153" s="15" customFormat="1" x14ac:dyDescent="0.25"/>
    <row r="154" s="15" customFormat="1" x14ac:dyDescent="0.25"/>
    <row r="155" s="15" customFormat="1" x14ac:dyDescent="0.25"/>
    <row r="156" s="15" customFormat="1" x14ac:dyDescent="0.25"/>
    <row r="157" s="15" customFormat="1" x14ac:dyDescent="0.25"/>
    <row r="158" s="15" customFormat="1" x14ac:dyDescent="0.25"/>
    <row r="159" s="15" customFormat="1" x14ac:dyDescent="0.25"/>
    <row r="160" s="15" customFormat="1" x14ac:dyDescent="0.25"/>
    <row r="161" s="15" customFormat="1" x14ac:dyDescent="0.25"/>
    <row r="162" s="15" customFormat="1" x14ac:dyDescent="0.25"/>
    <row r="163" s="15" customFormat="1" x14ac:dyDescent="0.25"/>
    <row r="164" s="15" customFormat="1" x14ac:dyDescent="0.25"/>
    <row r="165" s="15" customFormat="1" x14ac:dyDescent="0.25"/>
    <row r="166" s="15" customFormat="1" x14ac:dyDescent="0.25"/>
    <row r="167" s="15" customFormat="1" x14ac:dyDescent="0.25"/>
    <row r="168" s="15" customFormat="1" x14ac:dyDescent="0.25"/>
    <row r="169" s="15" customFormat="1" x14ac:dyDescent="0.25"/>
    <row r="170" s="15" customFormat="1" x14ac:dyDescent="0.25"/>
    <row r="171" s="15" customFormat="1" x14ac:dyDescent="0.25"/>
    <row r="172" s="15" customFormat="1" x14ac:dyDescent="0.25"/>
    <row r="173" s="15" customFormat="1" x14ac:dyDescent="0.25"/>
    <row r="174" s="15" customFormat="1" x14ac:dyDescent="0.25"/>
    <row r="175" s="15" customFormat="1" x14ac:dyDescent="0.25"/>
    <row r="176" s="15" customFormat="1" x14ac:dyDescent="0.25"/>
    <row r="177" s="15" customFormat="1" x14ac:dyDescent="0.25"/>
    <row r="178" s="15" customFormat="1" x14ac:dyDescent="0.25"/>
    <row r="179" s="15" customFormat="1" x14ac:dyDescent="0.25"/>
    <row r="180" s="15" customFormat="1" x14ac:dyDescent="0.25"/>
    <row r="181" s="15" customFormat="1" x14ac:dyDescent="0.25"/>
    <row r="182" s="15" customFormat="1" x14ac:dyDescent="0.25"/>
    <row r="183" s="15" customFormat="1" x14ac:dyDescent="0.25"/>
    <row r="184" s="15" customFormat="1" x14ac:dyDescent="0.25"/>
    <row r="185" s="15" customFormat="1" x14ac:dyDescent="0.25"/>
    <row r="186" s="15" customFormat="1" x14ac:dyDescent="0.25"/>
    <row r="187" s="15" customFormat="1" x14ac:dyDescent="0.25"/>
    <row r="188" s="15" customFormat="1" x14ac:dyDescent="0.25"/>
    <row r="189" s="15" customFormat="1" x14ac:dyDescent="0.25"/>
    <row r="190" s="15" customFormat="1" x14ac:dyDescent="0.25"/>
    <row r="191" s="15" customFormat="1" x14ac:dyDescent="0.25"/>
    <row r="192" s="15" customFormat="1" x14ac:dyDescent="0.25"/>
    <row r="193" s="15" customFormat="1" x14ac:dyDescent="0.25"/>
    <row r="194" s="15" customFormat="1" x14ac:dyDescent="0.25"/>
    <row r="195" s="15" customFormat="1" x14ac:dyDescent="0.25"/>
    <row r="196" s="15" customFormat="1" x14ac:dyDescent="0.25"/>
    <row r="197" s="15" customFormat="1" x14ac:dyDescent="0.25"/>
    <row r="198" s="15" customFormat="1" x14ac:dyDescent="0.25"/>
    <row r="199" s="15" customFormat="1" x14ac:dyDescent="0.25"/>
    <row r="200" s="15" customFormat="1" x14ac:dyDescent="0.25"/>
    <row r="201" s="15" customFormat="1" x14ac:dyDescent="0.25"/>
    <row r="202" s="15" customFormat="1" x14ac:dyDescent="0.25"/>
    <row r="203" s="15" customFormat="1" x14ac:dyDescent="0.25"/>
    <row r="204" s="15" customFormat="1" x14ac:dyDescent="0.25"/>
    <row r="205" s="15" customFormat="1" x14ac:dyDescent="0.25"/>
    <row r="206" s="15" customFormat="1" x14ac:dyDescent="0.25"/>
    <row r="207" s="15" customFormat="1" x14ac:dyDescent="0.25"/>
    <row r="208" s="15" customFormat="1" x14ac:dyDescent="0.25"/>
    <row r="209" s="15" customFormat="1" x14ac:dyDescent="0.25"/>
    <row r="210" s="15" customFormat="1" x14ac:dyDescent="0.25"/>
    <row r="211" s="15" customFormat="1" x14ac:dyDescent="0.25"/>
    <row r="212" s="15" customFormat="1" x14ac:dyDescent="0.25"/>
    <row r="213" s="15" customFormat="1" x14ac:dyDescent="0.25"/>
    <row r="214" s="15" customFormat="1" x14ac:dyDescent="0.25"/>
    <row r="215" s="15" customFormat="1" x14ac:dyDescent="0.25"/>
    <row r="216" s="15" customFormat="1" x14ac:dyDescent="0.25"/>
    <row r="217" s="15" customFormat="1" x14ac:dyDescent="0.25"/>
    <row r="218" s="15" customFormat="1" x14ac:dyDescent="0.25"/>
    <row r="219" s="15" customFormat="1" x14ac:dyDescent="0.25"/>
    <row r="220" s="15" customFormat="1" x14ac:dyDescent="0.25"/>
    <row r="221" s="15" customFormat="1" x14ac:dyDescent="0.25"/>
    <row r="222" s="15" customFormat="1" x14ac:dyDescent="0.25"/>
    <row r="223" s="15" customFormat="1" x14ac:dyDescent="0.25"/>
    <row r="224" s="15" customFormat="1" x14ac:dyDescent="0.25"/>
    <row r="225" s="15" customFormat="1" x14ac:dyDescent="0.25"/>
    <row r="226" s="15" customFormat="1" x14ac:dyDescent="0.25"/>
    <row r="227" s="15" customFormat="1" x14ac:dyDescent="0.25"/>
    <row r="228" s="15" customFormat="1" x14ac:dyDescent="0.25"/>
    <row r="229" s="15" customFormat="1" x14ac:dyDescent="0.25"/>
    <row r="230" s="15" customFormat="1" x14ac:dyDescent="0.25"/>
    <row r="231" s="15" customFormat="1" x14ac:dyDescent="0.25"/>
    <row r="232" s="15" customFormat="1" x14ac:dyDescent="0.25"/>
    <row r="233" s="15" customFormat="1" x14ac:dyDescent="0.25"/>
    <row r="234" s="15" customFormat="1" x14ac:dyDescent="0.25"/>
    <row r="235" s="15" customFormat="1" x14ac:dyDescent="0.25"/>
    <row r="236" s="15" customFormat="1" x14ac:dyDescent="0.25"/>
    <row r="237" s="15" customFormat="1" x14ac:dyDescent="0.25"/>
    <row r="238" s="15" customFormat="1" x14ac:dyDescent="0.25"/>
    <row r="239" s="15" customFormat="1" x14ac:dyDescent="0.25"/>
    <row r="240" s="15" customFormat="1" x14ac:dyDescent="0.25"/>
    <row r="241" s="15" customFormat="1" x14ac:dyDescent="0.25"/>
    <row r="242" s="15" customFormat="1" x14ac:dyDescent="0.25"/>
    <row r="243" s="15" customFormat="1" x14ac:dyDescent="0.25"/>
    <row r="244" s="15" customFormat="1" x14ac:dyDescent="0.25"/>
    <row r="245" s="15" customFormat="1" x14ac:dyDescent="0.25"/>
    <row r="246" s="15" customFormat="1" x14ac:dyDescent="0.25"/>
    <row r="247" s="15" customFormat="1" x14ac:dyDescent="0.25"/>
    <row r="248" s="15" customFormat="1" x14ac:dyDescent="0.25"/>
    <row r="249" s="15" customFormat="1" x14ac:dyDescent="0.25"/>
    <row r="250" s="15" customFormat="1" x14ac:dyDescent="0.25"/>
    <row r="251" s="15" customFormat="1" x14ac:dyDescent="0.25"/>
    <row r="252" s="15" customFormat="1" x14ac:dyDescent="0.25"/>
    <row r="253" s="15" customFormat="1" x14ac:dyDescent="0.25"/>
    <row r="254" s="15" customFormat="1" x14ac:dyDescent="0.25"/>
    <row r="255" s="15" customFormat="1" x14ac:dyDescent="0.25"/>
    <row r="256" s="15" customFormat="1" x14ac:dyDescent="0.25"/>
    <row r="257" s="15" customFormat="1" x14ac:dyDescent="0.25"/>
    <row r="258" s="15" customFormat="1" x14ac:dyDescent="0.25"/>
    <row r="259" s="15" customFormat="1" x14ac:dyDescent="0.25"/>
    <row r="260" s="15" customFormat="1" x14ac:dyDescent="0.25"/>
    <row r="261" s="15" customFormat="1" x14ac:dyDescent="0.25"/>
    <row r="262" s="15" customFormat="1" x14ac:dyDescent="0.25"/>
    <row r="263" s="15" customFormat="1" x14ac:dyDescent="0.25"/>
    <row r="264" s="15" customFormat="1" x14ac:dyDescent="0.25"/>
    <row r="265" s="15" customFormat="1" x14ac:dyDescent="0.25"/>
    <row r="266" s="15" customFormat="1" x14ac:dyDescent="0.25"/>
    <row r="267" s="15" customFormat="1" x14ac:dyDescent="0.25"/>
    <row r="268" s="15" customFormat="1" x14ac:dyDescent="0.25"/>
    <row r="269" s="15" customFormat="1" x14ac:dyDescent="0.25"/>
    <row r="270" s="15" customFormat="1" x14ac:dyDescent="0.25"/>
    <row r="271" s="15" customFormat="1" x14ac:dyDescent="0.25"/>
    <row r="272" s="15" customFormat="1" x14ac:dyDescent="0.25"/>
    <row r="273" s="15" customFormat="1" x14ac:dyDescent="0.25"/>
    <row r="274" s="15" customFormat="1" x14ac:dyDescent="0.25"/>
    <row r="275" s="15" customFormat="1" x14ac:dyDescent="0.25"/>
    <row r="276" s="15" customFormat="1" x14ac:dyDescent="0.25"/>
    <row r="277" s="15" customFormat="1" x14ac:dyDescent="0.25"/>
    <row r="278" s="15" customFormat="1" x14ac:dyDescent="0.25"/>
    <row r="279" s="15" customFormat="1" x14ac:dyDescent="0.25"/>
    <row r="280" s="15" customFormat="1" x14ac:dyDescent="0.25"/>
    <row r="281" s="15" customFormat="1" x14ac:dyDescent="0.25"/>
    <row r="282" s="15" customFormat="1" x14ac:dyDescent="0.25"/>
    <row r="283" s="15" customFormat="1" x14ac:dyDescent="0.25"/>
    <row r="284" s="15" customFormat="1" x14ac:dyDescent="0.25"/>
    <row r="285" s="15" customFormat="1" x14ac:dyDescent="0.25"/>
    <row r="286" s="15" customFormat="1" x14ac:dyDescent="0.25"/>
    <row r="287" s="15" customFormat="1" x14ac:dyDescent="0.25"/>
    <row r="288" s="15" customFormat="1" x14ac:dyDescent="0.25"/>
    <row r="289" s="15" customFormat="1" x14ac:dyDescent="0.25"/>
    <row r="290" s="15" customFormat="1" x14ac:dyDescent="0.25"/>
    <row r="291" s="15" customFormat="1" x14ac:dyDescent="0.25"/>
    <row r="292" s="15" customFormat="1" x14ac:dyDescent="0.25"/>
    <row r="293" s="15" customFormat="1" x14ac:dyDescent="0.25"/>
    <row r="294" s="15" customFormat="1" x14ac:dyDescent="0.25"/>
    <row r="295" s="15" customFormat="1" x14ac:dyDescent="0.25"/>
    <row r="296" s="15" customFormat="1" x14ac:dyDescent="0.25"/>
    <row r="297" s="15" customFormat="1" x14ac:dyDescent="0.25"/>
    <row r="298" s="15" customFormat="1" x14ac:dyDescent="0.25"/>
    <row r="299" s="15" customFormat="1" x14ac:dyDescent="0.25"/>
    <row r="300" s="15" customFormat="1" x14ac:dyDescent="0.25"/>
    <row r="301" s="15" customFormat="1" x14ac:dyDescent="0.25"/>
    <row r="302" s="15" customFormat="1" x14ac:dyDescent="0.25"/>
    <row r="303" s="15" customFormat="1" x14ac:dyDescent="0.25"/>
    <row r="304" s="15" customFormat="1" x14ac:dyDescent="0.25"/>
    <row r="305" s="15" customFormat="1" x14ac:dyDescent="0.25"/>
    <row r="306" s="15" customFormat="1" x14ac:dyDescent="0.25"/>
    <row r="307" s="15" customFormat="1" x14ac:dyDescent="0.25"/>
    <row r="308" s="15" customFormat="1" x14ac:dyDescent="0.25"/>
    <row r="309" s="15" customFormat="1" x14ac:dyDescent="0.25"/>
    <row r="310" s="15" customFormat="1" x14ac:dyDescent="0.25"/>
    <row r="311" s="15" customFormat="1" x14ac:dyDescent="0.25"/>
    <row r="312" s="15" customFormat="1" x14ac:dyDescent="0.25"/>
    <row r="313" s="15" customFormat="1" x14ac:dyDescent="0.25"/>
    <row r="314" s="15" customFormat="1" x14ac:dyDescent="0.25"/>
    <row r="315" s="15" customFormat="1" x14ac:dyDescent="0.25"/>
    <row r="316" s="15" customFormat="1" x14ac:dyDescent="0.25"/>
    <row r="317" s="15" customFormat="1" x14ac:dyDescent="0.25"/>
    <row r="318" s="15" customFormat="1" x14ac:dyDescent="0.25"/>
    <row r="319" s="15" customFormat="1" x14ac:dyDescent="0.25"/>
    <row r="320" s="15" customFormat="1" x14ac:dyDescent="0.25"/>
    <row r="321" s="15" customFormat="1" x14ac:dyDescent="0.25"/>
    <row r="322" s="15" customFormat="1" x14ac:dyDescent="0.25"/>
    <row r="323" s="15" customFormat="1" x14ac:dyDescent="0.25"/>
    <row r="324" s="15" customFormat="1" x14ac:dyDescent="0.25"/>
    <row r="325" s="15" customFormat="1" x14ac:dyDescent="0.25"/>
    <row r="326" s="15" customFormat="1" x14ac:dyDescent="0.25"/>
    <row r="327" s="15" customFormat="1" x14ac:dyDescent="0.25"/>
    <row r="328" s="15" customFormat="1" x14ac:dyDescent="0.25"/>
    <row r="329" s="15" customFormat="1" x14ac:dyDescent="0.25"/>
    <row r="330" s="15" customFormat="1" x14ac:dyDescent="0.25"/>
    <row r="331" s="15" customFormat="1" x14ac:dyDescent="0.25"/>
    <row r="332" s="15" customFormat="1" x14ac:dyDescent="0.25"/>
    <row r="333" s="15" customFormat="1" x14ac:dyDescent="0.25"/>
    <row r="334" s="15" customFormat="1" x14ac:dyDescent="0.25"/>
    <row r="335" s="15" customFormat="1" x14ac:dyDescent="0.25"/>
    <row r="336" s="15" customFormat="1" x14ac:dyDescent="0.25"/>
    <row r="337" s="15" customFormat="1" x14ac:dyDescent="0.25"/>
    <row r="338" s="15" customFormat="1" x14ac:dyDescent="0.25"/>
    <row r="339" s="15" customFormat="1" x14ac:dyDescent="0.25"/>
    <row r="340" s="15" customFormat="1" x14ac:dyDescent="0.25"/>
    <row r="341" s="15" customFormat="1" x14ac:dyDescent="0.25"/>
    <row r="342" s="15" customFormat="1" x14ac:dyDescent="0.25"/>
    <row r="343" s="15" customFormat="1" x14ac:dyDescent="0.25"/>
    <row r="344" s="15" customFormat="1" x14ac:dyDescent="0.25"/>
    <row r="345" s="15" customFormat="1" x14ac:dyDescent="0.25"/>
    <row r="346" s="15" customFormat="1" x14ac:dyDescent="0.25"/>
    <row r="347" s="15" customFormat="1" x14ac:dyDescent="0.25"/>
    <row r="348" s="15" customFormat="1" x14ac:dyDescent="0.25"/>
    <row r="349" s="15" customFormat="1" x14ac:dyDescent="0.25"/>
    <row r="350" s="15" customFormat="1" x14ac:dyDescent="0.25"/>
    <row r="351" s="15" customFormat="1" x14ac:dyDescent="0.25"/>
    <row r="352" s="15" customFormat="1" x14ac:dyDescent="0.25"/>
    <row r="353" s="15" customFormat="1" x14ac:dyDescent="0.25"/>
    <row r="354" s="15" customFormat="1" x14ac:dyDescent="0.25"/>
    <row r="355" s="15" customFormat="1" x14ac:dyDescent="0.25"/>
    <row r="356" s="15" customFormat="1" x14ac:dyDescent="0.25"/>
    <row r="357" s="15" customFormat="1" x14ac:dyDescent="0.25"/>
    <row r="358" s="15" customFormat="1" x14ac:dyDescent="0.25"/>
    <row r="359" s="15" customFormat="1" x14ac:dyDescent="0.25"/>
    <row r="360" s="15" customFormat="1" x14ac:dyDescent="0.25"/>
    <row r="361" s="15" customFormat="1" x14ac:dyDescent="0.25"/>
    <row r="362" s="15" customFormat="1" x14ac:dyDescent="0.25"/>
    <row r="363" s="15" customFormat="1" x14ac:dyDescent="0.25"/>
    <row r="364" s="15" customFormat="1" x14ac:dyDescent="0.25"/>
    <row r="365" s="15" customFormat="1" x14ac:dyDescent="0.25"/>
    <row r="366" s="15" customFormat="1" x14ac:dyDescent="0.25"/>
    <row r="367" s="15" customFormat="1" x14ac:dyDescent="0.25"/>
    <row r="368" s="15" customFormat="1" x14ac:dyDescent="0.25"/>
    <row r="369" s="15" customFormat="1" x14ac:dyDescent="0.25"/>
    <row r="370" s="15" customFormat="1" x14ac:dyDescent="0.25"/>
    <row r="371" s="15" customFormat="1" x14ac:dyDescent="0.25"/>
    <row r="372" s="15" customFormat="1" x14ac:dyDescent="0.25"/>
    <row r="373" s="15" customFormat="1" x14ac:dyDescent="0.25"/>
    <row r="374" s="15" customFormat="1" x14ac:dyDescent="0.25"/>
    <row r="375" s="15" customFormat="1" x14ac:dyDescent="0.25"/>
    <row r="376" s="15" customFormat="1" x14ac:dyDescent="0.25"/>
    <row r="377" s="15" customFormat="1" x14ac:dyDescent="0.25"/>
    <row r="378" s="15" customFormat="1" x14ac:dyDescent="0.25"/>
    <row r="379" s="15" customFormat="1" x14ac:dyDescent="0.25"/>
    <row r="380" s="15" customFormat="1" x14ac:dyDescent="0.25"/>
    <row r="381" s="15" customFormat="1" x14ac:dyDescent="0.25"/>
    <row r="382" s="15" customFormat="1" x14ac:dyDescent="0.25"/>
    <row r="383" s="15" customFormat="1" x14ac:dyDescent="0.25"/>
    <row r="384" s="15" customFormat="1" x14ac:dyDescent="0.25"/>
    <row r="385" s="15" customFormat="1" x14ac:dyDescent="0.25"/>
    <row r="386" s="15" customFormat="1" x14ac:dyDescent="0.25"/>
    <row r="387" s="15" customFormat="1" x14ac:dyDescent="0.25"/>
    <row r="388" s="15" customFormat="1" x14ac:dyDescent="0.25"/>
    <row r="389" s="15" customFormat="1" x14ac:dyDescent="0.25"/>
    <row r="390" s="15" customFormat="1" x14ac:dyDescent="0.25"/>
    <row r="391" s="15" customFormat="1" x14ac:dyDescent="0.25"/>
    <row r="392" s="15" customFormat="1" x14ac:dyDescent="0.25"/>
    <row r="393" s="15" customFormat="1" x14ac:dyDescent="0.25"/>
    <row r="394" s="15" customFormat="1" x14ac:dyDescent="0.25"/>
    <row r="395" s="15" customFormat="1" x14ac:dyDescent="0.25"/>
    <row r="396" s="15" customFormat="1" x14ac:dyDescent="0.25"/>
    <row r="397" s="15" customFormat="1" x14ac:dyDescent="0.25"/>
    <row r="398" s="15" customFormat="1" x14ac:dyDescent="0.25"/>
    <row r="399" s="15" customFormat="1" x14ac:dyDescent="0.25"/>
    <row r="400" s="15" customFormat="1" x14ac:dyDescent="0.25"/>
    <row r="401" s="15" customFormat="1" x14ac:dyDescent="0.25"/>
    <row r="402" s="15" customFormat="1" x14ac:dyDescent="0.25"/>
    <row r="403" s="15" customFormat="1" x14ac:dyDescent="0.25"/>
    <row r="404" s="15" customFormat="1" x14ac:dyDescent="0.25"/>
    <row r="405" s="15" customFormat="1" x14ac:dyDescent="0.25"/>
    <row r="406" s="15" customFormat="1" x14ac:dyDescent="0.25"/>
    <row r="407" s="15" customFormat="1" x14ac:dyDescent="0.25"/>
    <row r="408" s="15" customFormat="1" x14ac:dyDescent="0.25"/>
    <row r="409" s="15" customFormat="1" x14ac:dyDescent="0.25"/>
    <row r="410" s="15" customFormat="1" x14ac:dyDescent="0.25"/>
    <row r="411" s="15" customFormat="1" x14ac:dyDescent="0.25"/>
    <row r="412" s="15" customFormat="1" x14ac:dyDescent="0.25"/>
    <row r="413" s="15" customFormat="1" x14ac:dyDescent="0.25"/>
    <row r="414" s="15" customFormat="1" x14ac:dyDescent="0.25"/>
    <row r="415" s="15" customFormat="1" x14ac:dyDescent="0.25"/>
    <row r="416" s="15" customFormat="1" x14ac:dyDescent="0.25"/>
    <row r="417" s="15" customFormat="1" x14ac:dyDescent="0.25"/>
    <row r="418" s="15" customFormat="1" x14ac:dyDescent="0.25"/>
    <row r="419" s="15" customFormat="1" x14ac:dyDescent="0.25"/>
    <row r="420" s="15" customFormat="1" x14ac:dyDescent="0.25"/>
    <row r="421" s="15" customFormat="1" x14ac:dyDescent="0.25"/>
    <row r="422" s="15" customFormat="1" x14ac:dyDescent="0.25"/>
    <row r="423" s="15" customFormat="1" x14ac:dyDescent="0.25"/>
    <row r="424" s="15" customFormat="1" x14ac:dyDescent="0.25"/>
    <row r="425" s="15" customFormat="1" x14ac:dyDescent="0.25"/>
    <row r="426" s="15" customFormat="1" x14ac:dyDescent="0.25"/>
    <row r="427" s="15" customFormat="1" x14ac:dyDescent="0.25"/>
    <row r="428" s="15" customFormat="1" x14ac:dyDescent="0.25"/>
    <row r="429" s="15" customFormat="1" x14ac:dyDescent="0.25"/>
    <row r="430" s="15" customFormat="1" x14ac:dyDescent="0.25"/>
    <row r="431" s="15" customFormat="1" x14ac:dyDescent="0.25"/>
    <row r="432" s="15" customFormat="1" x14ac:dyDescent="0.25"/>
    <row r="433" s="15" customFormat="1" x14ac:dyDescent="0.25"/>
    <row r="434" s="15" customFormat="1" x14ac:dyDescent="0.25"/>
    <row r="435" s="15" customFormat="1" x14ac:dyDescent="0.25"/>
    <row r="436" s="15" customFormat="1" x14ac:dyDescent="0.25"/>
    <row r="437" s="15" customFormat="1" x14ac:dyDescent="0.25"/>
    <row r="438" s="15" customFormat="1" x14ac:dyDescent="0.25"/>
    <row r="439" s="15" customFormat="1" x14ac:dyDescent="0.25"/>
    <row r="440" s="15" customFormat="1" x14ac:dyDescent="0.25"/>
    <row r="441" s="15" customFormat="1" x14ac:dyDescent="0.25"/>
    <row r="442" s="15" customFormat="1" x14ac:dyDescent="0.25"/>
    <row r="443" s="15" customFormat="1" x14ac:dyDescent="0.25"/>
    <row r="444" s="15" customFormat="1" x14ac:dyDescent="0.25"/>
    <row r="445" s="15" customFormat="1" x14ac:dyDescent="0.25"/>
    <row r="446" s="15" customFormat="1" x14ac:dyDescent="0.25"/>
    <row r="447" s="15" customFormat="1" x14ac:dyDescent="0.25"/>
    <row r="448" s="15" customFormat="1" x14ac:dyDescent="0.25"/>
    <row r="449" s="15" customFormat="1" x14ac:dyDescent="0.25"/>
    <row r="450" s="15" customFormat="1" x14ac:dyDescent="0.25"/>
    <row r="451" s="15" customFormat="1" x14ac:dyDescent="0.25"/>
    <row r="452" s="15" customFormat="1" x14ac:dyDescent="0.25"/>
    <row r="453" s="15" customFormat="1" x14ac:dyDescent="0.25"/>
    <row r="454" s="15" customFormat="1" x14ac:dyDescent="0.25"/>
    <row r="455" s="15" customFormat="1" x14ac:dyDescent="0.25"/>
    <row r="456" s="15" customFormat="1" x14ac:dyDescent="0.25"/>
    <row r="457" s="15" customFormat="1" x14ac:dyDescent="0.25"/>
    <row r="458" s="15" customFormat="1" x14ac:dyDescent="0.25"/>
    <row r="459" s="15" customFormat="1" x14ac:dyDescent="0.25"/>
    <row r="460" s="15" customFormat="1" x14ac:dyDescent="0.25"/>
    <row r="461" s="15" customFormat="1" x14ac:dyDescent="0.25"/>
    <row r="462" s="15" customFormat="1" x14ac:dyDescent="0.25"/>
    <row r="463" s="15" customFormat="1" x14ac:dyDescent="0.25"/>
    <row r="464" s="15" customFormat="1" x14ac:dyDescent="0.25"/>
    <row r="465" s="15" customFormat="1" x14ac:dyDescent="0.25"/>
    <row r="466" s="15" customFormat="1" x14ac:dyDescent="0.25"/>
    <row r="467" s="15" customFormat="1" x14ac:dyDescent="0.25"/>
    <row r="468" s="15" customFormat="1" x14ac:dyDescent="0.25"/>
    <row r="469" s="15" customFormat="1" x14ac:dyDescent="0.25"/>
    <row r="470" s="15" customFormat="1" x14ac:dyDescent="0.25"/>
    <row r="471" s="15" customFormat="1" x14ac:dyDescent="0.25"/>
    <row r="472" s="15" customFormat="1" x14ac:dyDescent="0.25"/>
    <row r="473" s="15" customFormat="1" x14ac:dyDescent="0.25"/>
    <row r="474" s="15" customFormat="1" x14ac:dyDescent="0.25"/>
    <row r="475" s="15" customFormat="1" x14ac:dyDescent="0.25"/>
    <row r="476" s="15" customFormat="1" x14ac:dyDescent="0.25"/>
    <row r="477" s="15" customFormat="1" x14ac:dyDescent="0.25"/>
    <row r="478" s="15" customFormat="1" x14ac:dyDescent="0.25"/>
    <row r="479" s="15" customFormat="1" x14ac:dyDescent="0.25"/>
    <row r="480" s="15" customFormat="1" x14ac:dyDescent="0.25"/>
    <row r="481" s="15" customFormat="1" x14ac:dyDescent="0.25"/>
    <row r="482" s="15" customFormat="1" x14ac:dyDescent="0.25"/>
    <row r="483" s="15" customFormat="1" x14ac:dyDescent="0.25"/>
    <row r="484" s="15" customFormat="1" x14ac:dyDescent="0.25"/>
    <row r="485" s="15" customFormat="1" x14ac:dyDescent="0.25"/>
    <row r="486" s="15" customFormat="1" x14ac:dyDescent="0.25"/>
    <row r="487" s="15" customFormat="1" x14ac:dyDescent="0.25"/>
    <row r="488" s="15" customFormat="1" x14ac:dyDescent="0.25"/>
    <row r="489" s="15" customFormat="1" x14ac:dyDescent="0.25"/>
    <row r="490" s="15" customFormat="1" x14ac:dyDescent="0.25"/>
    <row r="491" s="15" customFormat="1" x14ac:dyDescent="0.25"/>
    <row r="492" s="15" customFormat="1" x14ac:dyDescent="0.25"/>
    <row r="493" s="15" customFormat="1" x14ac:dyDescent="0.25"/>
    <row r="494" s="15" customFormat="1" x14ac:dyDescent="0.25"/>
    <row r="495" s="15" customFormat="1" x14ac:dyDescent="0.25"/>
    <row r="496" s="15" customFormat="1" x14ac:dyDescent="0.25"/>
    <row r="497" s="15" customFormat="1" x14ac:dyDescent="0.25"/>
    <row r="498" s="15" customFormat="1" x14ac:dyDescent="0.25"/>
    <row r="499" s="15" customFormat="1" x14ac:dyDescent="0.25"/>
    <row r="500" s="15" customFormat="1" x14ac:dyDescent="0.25"/>
    <row r="501" s="15" customFormat="1" x14ac:dyDescent="0.25"/>
    <row r="502" s="15" customFormat="1" x14ac:dyDescent="0.25"/>
    <row r="503" s="15" customFormat="1" x14ac:dyDescent="0.25"/>
    <row r="504" s="15" customFormat="1" x14ac:dyDescent="0.25"/>
    <row r="505" s="15" customFormat="1" x14ac:dyDescent="0.25"/>
    <row r="506" s="15" customFormat="1" x14ac:dyDescent="0.25"/>
    <row r="507" s="15" customFormat="1" x14ac:dyDescent="0.25"/>
    <row r="508" s="15" customFormat="1" x14ac:dyDescent="0.25"/>
    <row r="509" s="15" customFormat="1" x14ac:dyDescent="0.25"/>
    <row r="510" s="15" customFormat="1" x14ac:dyDescent="0.25"/>
    <row r="511" s="15" customFormat="1" x14ac:dyDescent="0.25"/>
    <row r="512" s="15" customFormat="1" x14ac:dyDescent="0.25"/>
    <row r="513" s="15" customFormat="1" x14ac:dyDescent="0.25"/>
    <row r="514" s="15" customFormat="1" x14ac:dyDescent="0.25"/>
    <row r="515" s="15" customFormat="1" x14ac:dyDescent="0.25"/>
    <row r="516" s="15" customFormat="1" x14ac:dyDescent="0.25"/>
    <row r="517" s="15" customFormat="1" x14ac:dyDescent="0.25"/>
    <row r="518" s="15" customFormat="1" x14ac:dyDescent="0.25"/>
    <row r="519" s="15" customFormat="1" x14ac:dyDescent="0.25"/>
    <row r="520" s="15" customFormat="1" x14ac:dyDescent="0.25"/>
    <row r="521" s="15" customFormat="1" x14ac:dyDescent="0.25"/>
    <row r="522" s="15" customFormat="1" x14ac:dyDescent="0.25"/>
    <row r="523" s="15" customFormat="1" x14ac:dyDescent="0.25"/>
    <row r="524" s="15" customFormat="1" x14ac:dyDescent="0.25"/>
    <row r="525" s="15" customFormat="1" x14ac:dyDescent="0.25"/>
    <row r="526" s="15" customFormat="1" x14ac:dyDescent="0.25"/>
    <row r="527" s="15" customFormat="1" x14ac:dyDescent="0.25"/>
    <row r="528" s="15" customFormat="1" x14ac:dyDescent="0.25"/>
    <row r="529" s="15" customFormat="1" x14ac:dyDescent="0.25"/>
    <row r="530" s="15" customFormat="1" x14ac:dyDescent="0.25"/>
    <row r="531" s="15" customFormat="1" x14ac:dyDescent="0.25"/>
    <row r="532" s="15" customFormat="1" x14ac:dyDescent="0.25"/>
    <row r="533" s="15" customFormat="1" x14ac:dyDescent="0.25"/>
    <row r="534" s="15" customFormat="1" x14ac:dyDescent="0.25"/>
    <row r="535" s="15" customFormat="1" x14ac:dyDescent="0.25"/>
    <row r="536" s="15" customFormat="1" x14ac:dyDescent="0.25"/>
    <row r="537" s="15" customFormat="1" x14ac:dyDescent="0.25"/>
    <row r="538" s="15" customFormat="1" x14ac:dyDescent="0.25"/>
    <row r="539" s="15" customFormat="1" x14ac:dyDescent="0.25"/>
    <row r="540" s="15" customFormat="1" x14ac:dyDescent="0.25"/>
    <row r="541" s="15" customFormat="1" x14ac:dyDescent="0.25"/>
    <row r="542" s="15" customFormat="1" x14ac:dyDescent="0.25"/>
    <row r="543" s="15" customFormat="1" x14ac:dyDescent="0.25"/>
    <row r="544" s="15" customFormat="1" x14ac:dyDescent="0.25"/>
    <row r="545" s="15" customFormat="1" x14ac:dyDescent="0.25"/>
    <row r="546" s="15" customFormat="1" x14ac:dyDescent="0.25"/>
    <row r="547" s="15" customFormat="1" x14ac:dyDescent="0.25"/>
    <row r="548" s="15" customFormat="1" x14ac:dyDescent="0.25"/>
    <row r="549" s="15" customFormat="1" x14ac:dyDescent="0.25"/>
    <row r="550" s="15" customFormat="1" x14ac:dyDescent="0.25"/>
    <row r="551" s="15" customFormat="1" x14ac:dyDescent="0.25"/>
    <row r="552" s="15" customFormat="1" x14ac:dyDescent="0.25"/>
    <row r="553" s="15" customFormat="1" x14ac:dyDescent="0.25"/>
    <row r="554" s="15" customFormat="1" x14ac:dyDescent="0.25"/>
    <row r="555" s="15" customFormat="1" x14ac:dyDescent="0.25"/>
    <row r="556" s="15" customFormat="1" x14ac:dyDescent="0.25"/>
    <row r="557" s="15" customFormat="1" x14ac:dyDescent="0.25"/>
    <row r="558" s="15" customFormat="1" x14ac:dyDescent="0.25"/>
    <row r="559" s="15" customFormat="1" x14ac:dyDescent="0.25"/>
    <row r="560" s="15" customFormat="1" x14ac:dyDescent="0.25"/>
    <row r="561" s="15" customFormat="1" x14ac:dyDescent="0.25"/>
    <row r="562" s="15" customFormat="1" x14ac:dyDescent="0.25"/>
    <row r="563" s="15" customFormat="1" x14ac:dyDescent="0.25"/>
    <row r="564" s="15" customFormat="1" x14ac:dyDescent="0.25"/>
    <row r="565" s="15" customFormat="1" x14ac:dyDescent="0.25"/>
    <row r="566" s="15" customFormat="1" x14ac:dyDescent="0.25"/>
    <row r="567" s="15" customFormat="1" x14ac:dyDescent="0.25"/>
    <row r="568" s="15" customFormat="1" x14ac:dyDescent="0.25"/>
    <row r="569" s="15" customFormat="1" x14ac:dyDescent="0.25"/>
    <row r="570" s="15" customFormat="1" x14ac:dyDescent="0.25"/>
    <row r="571" s="15" customFormat="1" x14ac:dyDescent="0.25"/>
    <row r="572" s="15" customFormat="1" x14ac:dyDescent="0.25"/>
    <row r="573" s="15" customFormat="1" x14ac:dyDescent="0.25"/>
    <row r="574" s="15" customFormat="1" x14ac:dyDescent="0.25"/>
    <row r="575" s="15" customFormat="1" x14ac:dyDescent="0.25"/>
    <row r="576" s="15" customFormat="1" x14ac:dyDescent="0.25"/>
    <row r="577" s="15" customFormat="1" x14ac:dyDescent="0.25"/>
    <row r="578" s="15" customFormat="1" x14ac:dyDescent="0.25"/>
    <row r="579" s="15" customFormat="1" x14ac:dyDescent="0.25"/>
    <row r="580" s="15" customFormat="1" x14ac:dyDescent="0.25"/>
    <row r="581" s="15" customFormat="1" x14ac:dyDescent="0.25"/>
    <row r="582" s="15" customFormat="1" x14ac:dyDescent="0.25"/>
    <row r="583" s="15" customFormat="1" x14ac:dyDescent="0.25"/>
    <row r="584" s="15" customFormat="1" x14ac:dyDescent="0.25"/>
    <row r="585" s="15" customFormat="1" x14ac:dyDescent="0.25"/>
    <row r="586" s="15" customFormat="1" x14ac:dyDescent="0.25"/>
    <row r="587" s="15" customFormat="1" x14ac:dyDescent="0.25"/>
    <row r="588" s="15" customFormat="1" x14ac:dyDescent="0.25"/>
    <row r="589" s="15" customFormat="1" x14ac:dyDescent="0.25"/>
    <row r="590" s="15" customFormat="1" x14ac:dyDescent="0.25"/>
    <row r="591" s="15" customFormat="1" x14ac:dyDescent="0.25"/>
    <row r="592" s="15" customFormat="1" x14ac:dyDescent="0.25"/>
    <row r="593" s="15" customFormat="1" x14ac:dyDescent="0.25"/>
    <row r="594" s="15" customFormat="1" x14ac:dyDescent="0.25"/>
    <row r="595" s="15" customFormat="1" x14ac:dyDescent="0.25"/>
    <row r="596" s="15" customFormat="1" x14ac:dyDescent="0.25"/>
    <row r="597" s="15" customFormat="1" x14ac:dyDescent="0.25"/>
    <row r="598" s="15" customFormat="1" x14ac:dyDescent="0.25"/>
    <row r="599" s="15" customFormat="1" x14ac:dyDescent="0.25"/>
    <row r="600" s="15" customFormat="1" x14ac:dyDescent="0.25"/>
    <row r="601" s="15" customFormat="1" x14ac:dyDescent="0.25"/>
    <row r="602" s="15" customFormat="1" x14ac:dyDescent="0.25"/>
    <row r="603" s="15" customFormat="1" x14ac:dyDescent="0.25"/>
    <row r="604" s="15" customFormat="1" x14ac:dyDescent="0.25"/>
    <row r="605" s="15" customFormat="1" x14ac:dyDescent="0.25"/>
    <row r="606" s="15" customFormat="1" x14ac:dyDescent="0.25"/>
    <row r="607" s="15" customFormat="1" x14ac:dyDescent="0.25"/>
    <row r="608" s="15" customFormat="1" x14ac:dyDescent="0.25"/>
    <row r="609" s="15" customFormat="1" x14ac:dyDescent="0.25"/>
    <row r="610" s="15" customFormat="1" x14ac:dyDescent="0.25"/>
    <row r="611" s="15" customFormat="1" x14ac:dyDescent="0.25"/>
    <row r="612" s="15" customFormat="1" x14ac:dyDescent="0.25"/>
    <row r="613" s="15" customFormat="1" x14ac:dyDescent="0.25"/>
    <row r="614" s="15" customFormat="1" x14ac:dyDescent="0.25"/>
    <row r="615" s="15" customFormat="1" x14ac:dyDescent="0.25"/>
    <row r="616" s="15" customFormat="1" x14ac:dyDescent="0.25"/>
    <row r="617" s="15" customFormat="1" x14ac:dyDescent="0.25"/>
    <row r="618" s="15" customFormat="1" x14ac:dyDescent="0.25"/>
    <row r="619" s="15" customFormat="1" x14ac:dyDescent="0.25"/>
    <row r="620" s="15" customFormat="1" x14ac:dyDescent="0.25"/>
    <row r="621" s="15" customFormat="1" x14ac:dyDescent="0.25"/>
    <row r="622" s="15" customFormat="1" x14ac:dyDescent="0.25"/>
    <row r="623" s="15" customFormat="1" x14ac:dyDescent="0.25"/>
    <row r="624" s="15" customFormat="1" x14ac:dyDescent="0.25"/>
    <row r="625" s="15" customFormat="1" x14ac:dyDescent="0.25"/>
    <row r="626" s="15" customFormat="1" x14ac:dyDescent="0.25"/>
    <row r="627" s="15" customFormat="1" x14ac:dyDescent="0.25"/>
    <row r="628" s="15" customFormat="1" x14ac:dyDescent="0.25"/>
    <row r="629" s="15" customFormat="1" x14ac:dyDescent="0.25"/>
    <row r="630" s="15" customFormat="1" x14ac:dyDescent="0.25"/>
    <row r="631" s="15" customFormat="1" x14ac:dyDescent="0.25"/>
    <row r="632" s="15" customFormat="1" x14ac:dyDescent="0.25"/>
    <row r="633" s="15" customFormat="1" x14ac:dyDescent="0.25"/>
    <row r="634" s="15" customFormat="1" x14ac:dyDescent="0.25"/>
    <row r="635" s="15" customFormat="1" x14ac:dyDescent="0.25"/>
    <row r="636" s="15" customFormat="1" x14ac:dyDescent="0.25"/>
    <row r="637" s="15" customFormat="1" x14ac:dyDescent="0.25"/>
    <row r="638" s="15" customFormat="1" x14ac:dyDescent="0.25"/>
    <row r="639" s="15" customFormat="1" x14ac:dyDescent="0.25"/>
    <row r="640" s="15" customFormat="1" x14ac:dyDescent="0.25"/>
    <row r="641" s="15" customFormat="1" x14ac:dyDescent="0.25"/>
    <row r="642" s="15" customFormat="1" x14ac:dyDescent="0.25"/>
    <row r="643" s="15" customFormat="1" x14ac:dyDescent="0.25"/>
    <row r="644" s="15" customFormat="1" x14ac:dyDescent="0.25"/>
    <row r="645" s="15" customFormat="1" x14ac:dyDescent="0.25"/>
    <row r="646" s="15" customFormat="1" x14ac:dyDescent="0.25"/>
    <row r="647" s="15" customFormat="1" x14ac:dyDescent="0.25"/>
    <row r="648" s="15" customFormat="1" x14ac:dyDescent="0.25"/>
    <row r="649" s="15" customFormat="1" x14ac:dyDescent="0.25"/>
    <row r="650" s="15" customFormat="1" x14ac:dyDescent="0.25"/>
    <row r="651" s="15" customFormat="1" x14ac:dyDescent="0.25"/>
    <row r="652" s="15" customFormat="1" x14ac:dyDescent="0.25"/>
    <row r="653" s="15" customFormat="1" x14ac:dyDescent="0.25"/>
    <row r="654" s="15" customFormat="1" x14ac:dyDescent="0.25"/>
    <row r="655" s="15" customFormat="1" x14ac:dyDescent="0.25"/>
    <row r="656" s="15" customFormat="1" x14ac:dyDescent="0.25"/>
    <row r="657" s="15" customFormat="1" x14ac:dyDescent="0.25"/>
    <row r="658" s="15" customFormat="1" x14ac:dyDescent="0.25"/>
    <row r="659" s="15" customFormat="1" x14ac:dyDescent="0.25"/>
    <row r="660" s="15" customFormat="1" x14ac:dyDescent="0.25"/>
    <row r="661" s="15" customFormat="1" x14ac:dyDescent="0.25"/>
    <row r="662" s="15" customFormat="1" x14ac:dyDescent="0.25"/>
    <row r="663" s="15" customFormat="1" x14ac:dyDescent="0.25"/>
    <row r="664" s="15" customFormat="1" x14ac:dyDescent="0.25"/>
    <row r="665" s="15" customFormat="1" x14ac:dyDescent="0.25"/>
    <row r="666" s="15" customFormat="1" x14ac:dyDescent="0.25"/>
    <row r="667" s="15" customFormat="1" x14ac:dyDescent="0.25"/>
    <row r="668" s="15" customFormat="1" x14ac:dyDescent="0.25"/>
    <row r="669" s="15" customFormat="1" x14ac:dyDescent="0.25"/>
    <row r="670" s="15" customFormat="1" x14ac:dyDescent="0.25"/>
    <row r="671" s="15" customFormat="1" x14ac:dyDescent="0.25"/>
    <row r="672" s="15" customFormat="1" x14ac:dyDescent="0.25"/>
    <row r="673" s="15" customFormat="1" x14ac:dyDescent="0.25"/>
    <row r="674" s="15" customFormat="1" x14ac:dyDescent="0.25"/>
    <row r="675" s="15" customFormat="1" x14ac:dyDescent="0.25"/>
    <row r="676" s="15" customFormat="1" x14ac:dyDescent="0.25"/>
    <row r="677" s="15" customFormat="1" x14ac:dyDescent="0.25"/>
    <row r="678" s="15" customFormat="1" x14ac:dyDescent="0.25"/>
    <row r="679" s="15" customFormat="1" x14ac:dyDescent="0.25"/>
    <row r="680" s="15" customFormat="1" x14ac:dyDescent="0.25"/>
    <row r="681" s="15" customFormat="1" x14ac:dyDescent="0.25"/>
    <row r="682" s="15" customFormat="1" x14ac:dyDescent="0.25"/>
    <row r="683" s="15" customFormat="1" x14ac:dyDescent="0.25"/>
    <row r="684" s="15" customFormat="1" x14ac:dyDescent="0.25"/>
    <row r="685" s="15" customFormat="1" x14ac:dyDescent="0.25"/>
    <row r="686" s="15" customFormat="1" x14ac:dyDescent="0.25"/>
    <row r="687" s="15" customFormat="1" x14ac:dyDescent="0.25"/>
    <row r="688" s="15" customFormat="1" x14ac:dyDescent="0.25"/>
    <row r="689" s="15" customFormat="1" x14ac:dyDescent="0.25"/>
    <row r="690" s="15" customFormat="1" x14ac:dyDescent="0.25"/>
    <row r="691" s="15" customFormat="1" x14ac:dyDescent="0.25"/>
    <row r="692" s="15" customFormat="1" x14ac:dyDescent="0.25"/>
    <row r="693" s="15" customFormat="1" x14ac:dyDescent="0.25"/>
    <row r="694" s="15" customFormat="1" x14ac:dyDescent="0.25"/>
    <row r="695" s="15" customFormat="1" x14ac:dyDescent="0.25"/>
    <row r="696" s="15" customFormat="1" x14ac:dyDescent="0.25"/>
    <row r="697" s="15" customFormat="1" x14ac:dyDescent="0.25"/>
    <row r="698" s="15" customFormat="1" x14ac:dyDescent="0.25"/>
    <row r="699" s="15" customFormat="1" x14ac:dyDescent="0.25"/>
    <row r="700" s="15" customFormat="1" x14ac:dyDescent="0.25"/>
    <row r="701" s="15" customFormat="1" x14ac:dyDescent="0.25"/>
    <row r="702" s="15" customFormat="1" x14ac:dyDescent="0.25"/>
    <row r="703" s="15" customFormat="1" x14ac:dyDescent="0.25"/>
    <row r="704" s="15" customFormat="1" x14ac:dyDescent="0.25"/>
    <row r="705" s="15" customFormat="1" x14ac:dyDescent="0.25"/>
    <row r="706" s="15" customFormat="1" x14ac:dyDescent="0.25"/>
    <row r="707" s="15" customFormat="1" x14ac:dyDescent="0.25"/>
    <row r="708" s="15" customFormat="1" x14ac:dyDescent="0.25"/>
    <row r="709" s="15" customFormat="1" x14ac:dyDescent="0.25"/>
    <row r="710" s="15" customFormat="1" x14ac:dyDescent="0.25"/>
    <row r="711" s="15" customFormat="1" x14ac:dyDescent="0.25"/>
    <row r="712" s="15" customFormat="1" x14ac:dyDescent="0.25"/>
    <row r="713" s="15" customFormat="1" x14ac:dyDescent="0.25"/>
    <row r="714" s="15" customFormat="1" x14ac:dyDescent="0.25"/>
    <row r="715" s="15" customFormat="1" x14ac:dyDescent="0.25"/>
    <row r="716" s="15" customFormat="1" x14ac:dyDescent="0.25"/>
    <row r="717" s="15" customFormat="1" x14ac:dyDescent="0.25"/>
    <row r="718" s="15" customFormat="1" x14ac:dyDescent="0.25"/>
    <row r="719" s="15" customFormat="1" x14ac:dyDescent="0.25"/>
    <row r="720" s="15" customFormat="1" x14ac:dyDescent="0.25"/>
    <row r="721" s="15" customFormat="1" x14ac:dyDescent="0.25"/>
    <row r="722" s="15" customFormat="1" x14ac:dyDescent="0.25"/>
    <row r="723" s="15" customFormat="1" x14ac:dyDescent="0.25"/>
    <row r="724" s="15" customFormat="1" x14ac:dyDescent="0.25"/>
    <row r="725" s="15" customFormat="1" x14ac:dyDescent="0.25"/>
    <row r="726" s="15" customFormat="1" x14ac:dyDescent="0.25"/>
    <row r="727" s="15" customFormat="1" x14ac:dyDescent="0.25"/>
    <row r="728" s="15" customFormat="1" x14ac:dyDescent="0.25"/>
    <row r="729" s="15" customFormat="1" x14ac:dyDescent="0.25"/>
    <row r="730" s="15" customFormat="1" x14ac:dyDescent="0.25"/>
    <row r="731" s="15" customFormat="1" x14ac:dyDescent="0.25"/>
    <row r="732" s="15" customFormat="1" x14ac:dyDescent="0.25"/>
    <row r="733" s="15" customFormat="1" x14ac:dyDescent="0.25"/>
    <row r="734" s="15" customFormat="1" x14ac:dyDescent="0.25"/>
    <row r="735" s="15" customFormat="1" x14ac:dyDescent="0.25"/>
    <row r="736" s="15" customFormat="1" x14ac:dyDescent="0.25"/>
    <row r="737" s="15" customFormat="1" x14ac:dyDescent="0.25"/>
    <row r="738" s="15" customFormat="1" x14ac:dyDescent="0.25"/>
    <row r="739" s="15" customFormat="1" x14ac:dyDescent="0.25"/>
    <row r="740" s="15" customFormat="1" x14ac:dyDescent="0.25"/>
    <row r="741" s="15" customFormat="1" x14ac:dyDescent="0.25"/>
    <row r="742" s="15" customFormat="1" x14ac:dyDescent="0.25"/>
    <row r="743" s="15" customFormat="1" x14ac:dyDescent="0.25"/>
    <row r="744" s="15" customFormat="1" x14ac:dyDescent="0.25"/>
    <row r="745" s="15" customFormat="1" x14ac:dyDescent="0.25"/>
    <row r="746" s="15" customFormat="1" x14ac:dyDescent="0.25"/>
    <row r="747" s="15" customFormat="1" x14ac:dyDescent="0.25"/>
    <row r="748" s="15" customFormat="1" x14ac:dyDescent="0.25"/>
    <row r="749" s="15" customFormat="1" x14ac:dyDescent="0.25"/>
    <row r="750" s="15" customFormat="1" x14ac:dyDescent="0.25"/>
    <row r="751" s="15" customFormat="1" x14ac:dyDescent="0.25"/>
    <row r="752" s="15" customFormat="1" x14ac:dyDescent="0.25"/>
    <row r="753" s="15" customFormat="1" x14ac:dyDescent="0.25"/>
    <row r="754" s="15" customFormat="1" x14ac:dyDescent="0.25"/>
    <row r="755" s="15" customFormat="1" x14ac:dyDescent="0.25"/>
    <row r="756" s="15" customFormat="1" x14ac:dyDescent="0.25"/>
    <row r="757" s="15" customFormat="1" x14ac:dyDescent="0.25"/>
    <row r="758" s="15" customFormat="1" x14ac:dyDescent="0.25"/>
    <row r="759" s="15" customFormat="1" x14ac:dyDescent="0.25"/>
    <row r="760" s="15" customFormat="1" x14ac:dyDescent="0.25"/>
    <row r="761" s="15" customFormat="1" x14ac:dyDescent="0.25"/>
    <row r="762" s="15" customFormat="1" x14ac:dyDescent="0.25"/>
    <row r="763" s="15" customFormat="1" x14ac:dyDescent="0.25"/>
    <row r="764" s="15" customFormat="1" x14ac:dyDescent="0.25"/>
    <row r="765" s="15" customFormat="1" x14ac:dyDescent="0.25"/>
    <row r="766" s="15" customFormat="1" x14ac:dyDescent="0.25"/>
    <row r="767" s="15" customFormat="1" x14ac:dyDescent="0.25"/>
    <row r="768" s="15" customFormat="1" x14ac:dyDescent="0.25"/>
    <row r="769" s="15" customFormat="1" x14ac:dyDescent="0.25"/>
    <row r="770" s="15" customFormat="1" x14ac:dyDescent="0.25"/>
    <row r="771" s="15" customFormat="1" x14ac:dyDescent="0.25"/>
    <row r="772" s="15" customFormat="1" x14ac:dyDescent="0.25"/>
    <row r="773" s="15" customFormat="1" x14ac:dyDescent="0.25"/>
    <row r="774" s="15" customFormat="1" x14ac:dyDescent="0.25"/>
    <row r="775" s="15" customFormat="1" x14ac:dyDescent="0.25"/>
    <row r="776" s="15" customFormat="1" x14ac:dyDescent="0.25"/>
    <row r="777" s="15" customFormat="1" x14ac:dyDescent="0.25"/>
    <row r="778" s="15" customFormat="1" x14ac:dyDescent="0.25"/>
    <row r="779" s="15" customFormat="1" x14ac:dyDescent="0.25"/>
    <row r="780" s="15" customFormat="1" x14ac:dyDescent="0.25"/>
    <row r="781" s="15" customFormat="1" x14ac:dyDescent="0.25"/>
    <row r="782" s="15" customFormat="1" x14ac:dyDescent="0.25"/>
    <row r="783" s="15" customFormat="1" x14ac:dyDescent="0.25"/>
    <row r="784" s="15" customFormat="1" x14ac:dyDescent="0.25"/>
    <row r="785" s="15" customFormat="1" x14ac:dyDescent="0.25"/>
    <row r="786" s="15" customFormat="1" x14ac:dyDescent="0.25"/>
    <row r="787" s="15" customFormat="1" x14ac:dyDescent="0.25"/>
    <row r="788" s="15" customFormat="1" x14ac:dyDescent="0.25"/>
    <row r="789" s="15" customFormat="1" x14ac:dyDescent="0.25"/>
    <row r="790" s="15" customFormat="1" x14ac:dyDescent="0.25"/>
    <row r="791" s="15" customFormat="1" x14ac:dyDescent="0.25"/>
    <row r="792" s="15" customFormat="1" x14ac:dyDescent="0.25"/>
    <row r="793" s="15" customFormat="1" x14ac:dyDescent="0.25"/>
    <row r="794" s="15" customFormat="1" x14ac:dyDescent="0.25"/>
    <row r="795" s="15" customFormat="1" x14ac:dyDescent="0.25"/>
    <row r="796" s="15" customFormat="1" x14ac:dyDescent="0.25"/>
    <row r="797" s="15" customFormat="1" x14ac:dyDescent="0.25"/>
    <row r="798" s="15" customFormat="1" x14ac:dyDescent="0.25"/>
    <row r="799" s="15" customFormat="1" x14ac:dyDescent="0.25"/>
    <row r="800" s="15" customFormat="1" x14ac:dyDescent="0.25"/>
    <row r="801" s="15" customFormat="1" x14ac:dyDescent="0.25"/>
    <row r="802" s="15" customFormat="1" x14ac:dyDescent="0.25"/>
    <row r="803" s="15" customFormat="1" x14ac:dyDescent="0.25"/>
    <row r="804" s="15" customFormat="1" x14ac:dyDescent="0.25"/>
    <row r="805" s="15" customFormat="1" x14ac:dyDescent="0.25"/>
    <row r="806" s="15" customFormat="1" x14ac:dyDescent="0.25"/>
    <row r="807" s="15" customFormat="1" x14ac:dyDescent="0.25"/>
    <row r="808" s="15" customFormat="1" x14ac:dyDescent="0.25"/>
    <row r="809" s="15" customFormat="1" x14ac:dyDescent="0.25"/>
    <row r="810" s="15" customFormat="1" x14ac:dyDescent="0.25"/>
    <row r="811" s="15" customFormat="1" x14ac:dyDescent="0.25"/>
    <row r="812" s="15" customFormat="1" x14ac:dyDescent="0.25"/>
    <row r="813" s="15" customFormat="1" x14ac:dyDescent="0.25"/>
    <row r="814" s="15" customFormat="1" x14ac:dyDescent="0.25"/>
    <row r="815" s="15" customFormat="1" x14ac:dyDescent="0.25"/>
    <row r="816" s="15" customFormat="1" x14ac:dyDescent="0.25"/>
    <row r="817" s="15" customFormat="1" x14ac:dyDescent="0.25"/>
    <row r="818" s="15" customFormat="1" x14ac:dyDescent="0.25"/>
    <row r="819" s="15" customFormat="1" x14ac:dyDescent="0.25"/>
    <row r="820" s="15" customFormat="1" x14ac:dyDescent="0.25"/>
    <row r="821" s="15" customFormat="1" x14ac:dyDescent="0.25"/>
    <row r="822" s="15" customFormat="1" x14ac:dyDescent="0.25"/>
    <row r="823" s="15" customFormat="1" x14ac:dyDescent="0.25"/>
    <row r="824" s="15" customFormat="1" x14ac:dyDescent="0.25"/>
    <row r="825" s="15" customFormat="1" x14ac:dyDescent="0.25"/>
    <row r="826" s="15" customFormat="1" x14ac:dyDescent="0.25"/>
    <row r="827" s="15" customFormat="1" x14ac:dyDescent="0.25"/>
    <row r="828" s="15" customFormat="1" x14ac:dyDescent="0.25"/>
    <row r="829" s="15" customFormat="1" x14ac:dyDescent="0.25"/>
    <row r="830" s="15" customFormat="1" x14ac:dyDescent="0.25"/>
    <row r="831" s="15" customFormat="1" x14ac:dyDescent="0.25"/>
    <row r="832" s="15" customFormat="1" x14ac:dyDescent="0.25"/>
    <row r="833" s="15" customFormat="1" x14ac:dyDescent="0.25"/>
    <row r="834" s="15" customFormat="1" x14ac:dyDescent="0.25"/>
    <row r="835" s="15" customFormat="1" x14ac:dyDescent="0.25"/>
    <row r="836" s="15" customFormat="1" x14ac:dyDescent="0.25"/>
    <row r="837" s="15" customFormat="1" x14ac:dyDescent="0.25"/>
    <row r="838" s="15" customFormat="1" x14ac:dyDescent="0.25"/>
    <row r="839" s="15" customFormat="1" x14ac:dyDescent="0.25"/>
    <row r="840" s="15" customFormat="1" x14ac:dyDescent="0.25"/>
    <row r="841" s="15" customFormat="1" x14ac:dyDescent="0.25"/>
    <row r="842" s="15" customFormat="1" x14ac:dyDescent="0.25"/>
    <row r="843" s="15" customFormat="1" x14ac:dyDescent="0.25"/>
    <row r="844" s="15" customFormat="1" x14ac:dyDescent="0.25"/>
    <row r="845" s="15" customFormat="1" x14ac:dyDescent="0.25"/>
    <row r="846" s="15" customFormat="1" x14ac:dyDescent="0.25"/>
    <row r="847" s="15" customFormat="1" x14ac:dyDescent="0.25"/>
    <row r="848" s="15" customFormat="1" x14ac:dyDescent="0.25"/>
    <row r="849" s="15" customFormat="1" x14ac:dyDescent="0.25"/>
    <row r="850" s="15" customFormat="1" x14ac:dyDescent="0.25"/>
    <row r="851" s="15" customFormat="1" x14ac:dyDescent="0.25"/>
    <row r="852" s="15" customFormat="1" x14ac:dyDescent="0.25"/>
    <row r="853" s="15" customFormat="1" x14ac:dyDescent="0.25"/>
    <row r="854" s="15" customFormat="1" x14ac:dyDescent="0.25"/>
    <row r="855" s="15" customFormat="1" x14ac:dyDescent="0.25"/>
    <row r="856" s="15" customFormat="1" x14ac:dyDescent="0.25"/>
    <row r="857" s="15" customFormat="1" x14ac:dyDescent="0.25"/>
    <row r="858" s="15" customFormat="1" x14ac:dyDescent="0.25"/>
    <row r="859" s="15" customFormat="1" x14ac:dyDescent="0.25"/>
    <row r="860" s="15" customFormat="1" x14ac:dyDescent="0.25"/>
    <row r="861" s="15" customFormat="1" x14ac:dyDescent="0.25"/>
    <row r="862" s="15" customFormat="1" x14ac:dyDescent="0.25"/>
    <row r="863" s="15" customFormat="1" x14ac:dyDescent="0.25"/>
    <row r="864" s="15" customFormat="1" x14ac:dyDescent="0.25"/>
    <row r="865" s="15" customFormat="1" x14ac:dyDescent="0.25"/>
    <row r="866" s="15" customFormat="1" x14ac:dyDescent="0.25"/>
    <row r="867" s="15" customFormat="1" x14ac:dyDescent="0.25"/>
    <row r="868" s="15" customFormat="1" x14ac:dyDescent="0.25"/>
    <row r="869" s="15" customFormat="1" x14ac:dyDescent="0.25"/>
    <row r="870" s="15" customFormat="1" x14ac:dyDescent="0.25"/>
    <row r="871" s="15" customFormat="1" x14ac:dyDescent="0.25"/>
    <row r="872" s="15" customFormat="1" x14ac:dyDescent="0.25"/>
    <row r="873" s="15" customFormat="1" x14ac:dyDescent="0.25"/>
    <row r="874" s="15" customFormat="1" x14ac:dyDescent="0.25"/>
    <row r="875" s="15" customFormat="1" x14ac:dyDescent="0.25"/>
    <row r="876" s="15" customFormat="1" x14ac:dyDescent="0.25"/>
    <row r="877" s="15" customFormat="1" x14ac:dyDescent="0.25"/>
    <row r="878" s="15" customFormat="1" x14ac:dyDescent="0.25"/>
    <row r="879" s="15" customFormat="1" x14ac:dyDescent="0.25"/>
    <row r="880" s="15" customFormat="1" x14ac:dyDescent="0.25"/>
    <row r="881" s="15" customFormat="1" x14ac:dyDescent="0.25"/>
    <row r="882" s="15" customFormat="1" x14ac:dyDescent="0.25"/>
    <row r="883" s="15" customFormat="1" x14ac:dyDescent="0.25"/>
    <row r="884" s="15" customFormat="1" x14ac:dyDescent="0.25"/>
    <row r="885" s="15" customFormat="1" x14ac:dyDescent="0.25"/>
    <row r="886" s="15" customFormat="1" x14ac:dyDescent="0.25"/>
    <row r="887" s="15" customFormat="1" x14ac:dyDescent="0.25"/>
    <row r="888" s="15" customFormat="1" x14ac:dyDescent="0.25"/>
    <row r="889" s="15" customFormat="1" x14ac:dyDescent="0.25"/>
    <row r="890" s="15" customFormat="1" x14ac:dyDescent="0.25"/>
    <row r="891" s="15" customFormat="1" x14ac:dyDescent="0.25"/>
    <row r="892" s="15" customFormat="1" x14ac:dyDescent="0.25"/>
    <row r="893" s="15" customFormat="1" x14ac:dyDescent="0.25"/>
    <row r="894" s="15" customFormat="1" x14ac:dyDescent="0.25"/>
    <row r="895" s="15" customFormat="1" x14ac:dyDescent="0.25"/>
    <row r="896" s="15" customFormat="1" x14ac:dyDescent="0.25"/>
    <row r="897" s="15" customFormat="1" x14ac:dyDescent="0.25"/>
    <row r="898" s="15" customFormat="1" x14ac:dyDescent="0.25"/>
    <row r="899" s="15" customFormat="1" x14ac:dyDescent="0.25"/>
    <row r="900" s="15" customFormat="1" x14ac:dyDescent="0.25"/>
    <row r="901" s="15" customFormat="1" x14ac:dyDescent="0.25"/>
    <row r="902" s="15" customFormat="1" x14ac:dyDescent="0.25"/>
    <row r="903" s="15" customFormat="1" x14ac:dyDescent="0.25"/>
    <row r="904" s="15" customFormat="1" x14ac:dyDescent="0.25"/>
    <row r="905" s="15" customFormat="1" x14ac:dyDescent="0.25"/>
    <row r="906" s="15" customFormat="1" x14ac:dyDescent="0.25"/>
    <row r="907" s="15" customFormat="1" x14ac:dyDescent="0.25"/>
    <row r="908" s="15" customFormat="1" x14ac:dyDescent="0.25"/>
    <row r="909" s="15" customFormat="1" x14ac:dyDescent="0.25"/>
    <row r="910" s="15" customFormat="1" x14ac:dyDescent="0.25"/>
    <row r="911" s="15" customFormat="1" x14ac:dyDescent="0.25"/>
    <row r="912" s="15" customFormat="1" x14ac:dyDescent="0.25"/>
    <row r="913" s="15" customFormat="1" x14ac:dyDescent="0.25"/>
    <row r="914" s="15" customFormat="1" x14ac:dyDescent="0.25"/>
    <row r="915" s="15" customFormat="1" x14ac:dyDescent="0.25"/>
    <row r="916" s="15" customFormat="1" x14ac:dyDescent="0.25"/>
    <row r="917" s="15" customFormat="1" x14ac:dyDescent="0.25"/>
    <row r="918" s="15" customFormat="1" x14ac:dyDescent="0.25"/>
    <row r="919" s="15" customFormat="1" x14ac:dyDescent="0.25"/>
    <row r="920" s="15" customFormat="1" x14ac:dyDescent="0.25"/>
    <row r="921" s="15" customFormat="1" x14ac:dyDescent="0.25"/>
    <row r="922" s="15" customFormat="1" x14ac:dyDescent="0.25"/>
    <row r="923" s="15" customFormat="1" x14ac:dyDescent="0.25"/>
    <row r="924" s="15" customFormat="1" x14ac:dyDescent="0.25"/>
    <row r="925" s="15" customFormat="1" x14ac:dyDescent="0.25"/>
    <row r="926" s="15" customFormat="1" x14ac:dyDescent="0.25"/>
    <row r="927" s="15" customFormat="1" x14ac:dyDescent="0.25"/>
    <row r="928" s="15" customFormat="1" x14ac:dyDescent="0.25"/>
    <row r="929" s="15" customFormat="1" x14ac:dyDescent="0.25"/>
    <row r="930" s="15" customFormat="1" x14ac:dyDescent="0.25"/>
    <row r="931" s="15" customFormat="1" x14ac:dyDescent="0.25"/>
    <row r="932" s="15" customFormat="1" x14ac:dyDescent="0.25"/>
    <row r="933" s="15" customFormat="1" x14ac:dyDescent="0.25"/>
    <row r="934" s="15" customFormat="1" x14ac:dyDescent="0.25"/>
    <row r="935" s="15" customFormat="1" x14ac:dyDescent="0.25"/>
    <row r="936" s="15" customFormat="1" x14ac:dyDescent="0.25"/>
    <row r="937" s="15" customFormat="1" x14ac:dyDescent="0.25"/>
    <row r="938" s="15" customFormat="1" x14ac:dyDescent="0.25"/>
    <row r="939" s="15" customFormat="1" x14ac:dyDescent="0.25"/>
    <row r="940" s="15" customFormat="1" x14ac:dyDescent="0.25"/>
    <row r="941" s="15" customFormat="1" x14ac:dyDescent="0.25"/>
    <row r="942" s="15" customFormat="1" x14ac:dyDescent="0.25"/>
    <row r="943" s="15" customFormat="1" x14ac:dyDescent="0.25"/>
    <row r="944" s="15" customFormat="1" x14ac:dyDescent="0.25"/>
    <row r="945" s="15" customFormat="1" x14ac:dyDescent="0.25"/>
    <row r="946" s="15" customFormat="1" x14ac:dyDescent="0.25"/>
    <row r="947" s="15" customFormat="1" x14ac:dyDescent="0.25"/>
    <row r="948" s="15" customFormat="1" x14ac:dyDescent="0.25"/>
    <row r="949" s="15" customFormat="1" x14ac:dyDescent="0.25"/>
    <row r="950" s="15" customFormat="1" x14ac:dyDescent="0.25"/>
    <row r="951" s="15" customFormat="1" x14ac:dyDescent="0.25"/>
    <row r="952" s="15" customFormat="1" x14ac:dyDescent="0.25"/>
    <row r="953" s="15" customFormat="1" x14ac:dyDescent="0.25"/>
    <row r="954" s="15" customFormat="1" x14ac:dyDescent="0.25"/>
    <row r="955" s="15" customFormat="1" x14ac:dyDescent="0.25"/>
    <row r="956" s="15" customFormat="1" x14ac:dyDescent="0.25"/>
    <row r="957" s="15" customFormat="1" x14ac:dyDescent="0.25"/>
    <row r="958" s="15" customFormat="1" x14ac:dyDescent="0.25"/>
    <row r="959" s="15" customFormat="1" x14ac:dyDescent="0.25"/>
    <row r="960" s="15" customFormat="1" x14ac:dyDescent="0.25"/>
    <row r="961" s="15" customFormat="1" x14ac:dyDescent="0.25"/>
    <row r="962" s="15" customFormat="1" x14ac:dyDescent="0.25"/>
    <row r="963" s="15" customFormat="1" x14ac:dyDescent="0.25"/>
    <row r="964" s="15" customFormat="1" x14ac:dyDescent="0.25"/>
    <row r="965" s="15" customFormat="1" x14ac:dyDescent="0.25"/>
    <row r="966" s="15" customFormat="1" x14ac:dyDescent="0.25"/>
    <row r="967" s="15" customFormat="1" x14ac:dyDescent="0.25"/>
    <row r="968" s="15" customFormat="1" x14ac:dyDescent="0.25"/>
    <row r="969" s="15" customFormat="1" x14ac:dyDescent="0.25"/>
    <row r="970" s="15" customFormat="1" x14ac:dyDescent="0.25"/>
    <row r="971" s="15" customFormat="1" x14ac:dyDescent="0.25"/>
    <row r="972" s="15" customFormat="1" x14ac:dyDescent="0.25"/>
    <row r="973" s="15" customFormat="1" x14ac:dyDescent="0.25"/>
    <row r="974" s="15" customFormat="1" x14ac:dyDescent="0.25"/>
    <row r="975" s="15" customFormat="1" x14ac:dyDescent="0.25"/>
    <row r="976" s="15" customFormat="1" x14ac:dyDescent="0.25"/>
    <row r="977" s="15" customFormat="1" x14ac:dyDescent="0.25"/>
    <row r="978" s="15" customFormat="1" x14ac:dyDescent="0.25"/>
    <row r="979" s="15" customFormat="1" x14ac:dyDescent="0.25"/>
    <row r="980" s="15" customFormat="1" x14ac:dyDescent="0.25"/>
    <row r="981" s="15" customFormat="1" x14ac:dyDescent="0.25"/>
    <row r="982" s="15" customFormat="1" x14ac:dyDescent="0.25"/>
    <row r="983" s="15" customFormat="1" x14ac:dyDescent="0.25"/>
    <row r="984" s="15" customFormat="1" x14ac:dyDescent="0.25"/>
    <row r="985" s="15" customFormat="1" x14ac:dyDescent="0.25"/>
    <row r="986" s="15" customFormat="1" x14ac:dyDescent="0.25"/>
    <row r="987" s="15" customFormat="1" x14ac:dyDescent="0.25"/>
    <row r="988" s="15" customFormat="1" x14ac:dyDescent="0.25"/>
    <row r="989" s="15" customFormat="1" x14ac:dyDescent="0.25"/>
    <row r="990" s="15" customFormat="1" x14ac:dyDescent="0.25"/>
    <row r="991" s="15" customFormat="1" x14ac:dyDescent="0.25"/>
    <row r="992" s="15" customFormat="1" x14ac:dyDescent="0.25"/>
    <row r="993" s="15" customFormat="1" x14ac:dyDescent="0.25"/>
    <row r="994" s="15" customFormat="1" x14ac:dyDescent="0.25"/>
    <row r="995" s="15" customFormat="1" x14ac:dyDescent="0.25"/>
    <row r="996" s="15" customFormat="1" x14ac:dyDescent="0.25"/>
    <row r="997" s="15" customFormat="1" x14ac:dyDescent="0.25"/>
    <row r="998" s="15" customFormat="1" x14ac:dyDescent="0.25"/>
    <row r="999" s="15" customFormat="1" x14ac:dyDescent="0.25"/>
    <row r="1000" s="15" customFormat="1" x14ac:dyDescent="0.25"/>
    <row r="1001" s="15" customFormat="1" x14ac:dyDescent="0.25"/>
    <row r="1002" s="15" customFormat="1" x14ac:dyDescent="0.25"/>
    <row r="1003" s="15" customFormat="1" x14ac:dyDescent="0.25"/>
    <row r="1004" s="15" customFormat="1" x14ac:dyDescent="0.25"/>
    <row r="1005" s="15" customFormat="1" x14ac:dyDescent="0.25"/>
    <row r="1006" s="15" customFormat="1" x14ac:dyDescent="0.25"/>
    <row r="1007" s="15" customFormat="1" x14ac:dyDescent="0.25"/>
    <row r="1008" s="15" customFormat="1" x14ac:dyDescent="0.25"/>
    <row r="1009" s="15" customFormat="1" x14ac:dyDescent="0.25"/>
    <row r="1010" s="15" customFormat="1" x14ac:dyDescent="0.25"/>
    <row r="1011" s="15" customFormat="1" x14ac:dyDescent="0.25"/>
    <row r="1012" s="15" customFormat="1" x14ac:dyDescent="0.25"/>
    <row r="1013" s="15" customFormat="1" x14ac:dyDescent="0.25"/>
    <row r="1014" s="15" customFormat="1" x14ac:dyDescent="0.25"/>
    <row r="1015" s="15" customFormat="1" x14ac:dyDescent="0.25"/>
    <row r="1016" s="15" customFormat="1" x14ac:dyDescent="0.25"/>
    <row r="1017" s="15" customFormat="1" x14ac:dyDescent="0.25"/>
    <row r="1018" s="15" customFormat="1" x14ac:dyDescent="0.25"/>
    <row r="1019" s="15" customFormat="1" x14ac:dyDescent="0.25"/>
    <row r="1020" s="15" customFormat="1" x14ac:dyDescent="0.25"/>
    <row r="1021" s="15" customFormat="1" x14ac:dyDescent="0.25"/>
    <row r="1022" s="15" customFormat="1" x14ac:dyDescent="0.25"/>
    <row r="1023" s="15" customFormat="1" x14ac:dyDescent="0.25"/>
    <row r="1024" s="15" customFormat="1" x14ac:dyDescent="0.25"/>
    <row r="1025" s="15" customFormat="1" x14ac:dyDescent="0.25"/>
    <row r="1026" s="15" customFormat="1" x14ac:dyDescent="0.25"/>
    <row r="1027" s="15" customFormat="1" x14ac:dyDescent="0.25"/>
    <row r="1028" s="15" customFormat="1" x14ac:dyDescent="0.25"/>
    <row r="1029" s="15" customFormat="1" x14ac:dyDescent="0.25"/>
    <row r="1030" s="15" customFormat="1" x14ac:dyDescent="0.25"/>
    <row r="1031" s="15" customFormat="1" x14ac:dyDescent="0.25"/>
    <row r="1032" s="15" customFormat="1" x14ac:dyDescent="0.25"/>
    <row r="1033" s="15" customFormat="1" x14ac:dyDescent="0.25"/>
    <row r="1034" s="15" customFormat="1" x14ac:dyDescent="0.25"/>
    <row r="1035" s="15" customFormat="1" x14ac:dyDescent="0.25"/>
    <row r="1036" s="15" customFormat="1" x14ac:dyDescent="0.25"/>
    <row r="1037" s="15" customFormat="1" x14ac:dyDescent="0.25"/>
    <row r="1038" s="15" customFormat="1" x14ac:dyDescent="0.25"/>
    <row r="1039" s="15" customFormat="1" x14ac:dyDescent="0.25"/>
    <row r="1040" s="15" customFormat="1" x14ac:dyDescent="0.25"/>
    <row r="1041" s="15" customFormat="1" x14ac:dyDescent="0.25"/>
    <row r="1042" s="15" customFormat="1" x14ac:dyDescent="0.25"/>
    <row r="1043" s="15" customFormat="1" x14ac:dyDescent="0.25"/>
    <row r="1044" s="15" customFormat="1" x14ac:dyDescent="0.25"/>
    <row r="1045" s="15" customFormat="1" x14ac:dyDescent="0.25"/>
    <row r="1046" s="15" customFormat="1" x14ac:dyDescent="0.25"/>
    <row r="1047" s="15" customFormat="1" x14ac:dyDescent="0.25"/>
    <row r="1048" s="15" customFormat="1" x14ac:dyDescent="0.25"/>
    <row r="1049" s="15" customFormat="1" x14ac:dyDescent="0.25"/>
    <row r="1050" s="15" customFormat="1" x14ac:dyDescent="0.25"/>
    <row r="1051" s="15" customFormat="1" x14ac:dyDescent="0.25"/>
    <row r="1052" s="15" customFormat="1" x14ac:dyDescent="0.25"/>
    <row r="1053" s="15" customFormat="1" x14ac:dyDescent="0.25"/>
    <row r="1054" s="15" customFormat="1" x14ac:dyDescent="0.25"/>
    <row r="1055" s="15" customFormat="1" x14ac:dyDescent="0.25"/>
    <row r="1056" s="15" customFormat="1" x14ac:dyDescent="0.25"/>
    <row r="1057" s="15" customFormat="1" x14ac:dyDescent="0.25"/>
    <row r="1058" s="15" customFormat="1" x14ac:dyDescent="0.25"/>
    <row r="1059" s="15" customFormat="1" x14ac:dyDescent="0.25"/>
    <row r="1060" s="15" customFormat="1" x14ac:dyDescent="0.25"/>
    <row r="1061" s="15" customFormat="1" x14ac:dyDescent="0.25"/>
    <row r="1062" s="15" customFormat="1" x14ac:dyDescent="0.25"/>
    <row r="1063" s="15" customFormat="1" x14ac:dyDescent="0.25"/>
    <row r="1064" s="15" customFormat="1" x14ac:dyDescent="0.25"/>
    <row r="1065" s="15" customFormat="1" x14ac:dyDescent="0.25"/>
    <row r="1066" s="15" customFormat="1" x14ac:dyDescent="0.25"/>
    <row r="1067" s="15" customFormat="1" x14ac:dyDescent="0.25"/>
    <row r="1068" s="15" customFormat="1" x14ac:dyDescent="0.25"/>
    <row r="1069" s="15" customFormat="1" x14ac:dyDescent="0.25"/>
    <row r="1070" s="15" customFormat="1" x14ac:dyDescent="0.25"/>
    <row r="1071" s="15" customFormat="1" x14ac:dyDescent="0.25"/>
    <row r="1072" s="15" customFormat="1" x14ac:dyDescent="0.25"/>
    <row r="1073" s="15" customFormat="1" x14ac:dyDescent="0.25"/>
    <row r="1074" s="15" customFormat="1" x14ac:dyDescent="0.25"/>
    <row r="1075" s="15" customFormat="1" x14ac:dyDescent="0.25"/>
    <row r="1076" s="15" customFormat="1" x14ac:dyDescent="0.25"/>
    <row r="1077" s="15" customFormat="1" x14ac:dyDescent="0.25"/>
    <row r="1078" s="15" customFormat="1" x14ac:dyDescent="0.25"/>
    <row r="1079" s="15" customFormat="1" x14ac:dyDescent="0.25"/>
    <row r="1080" s="15" customFormat="1" x14ac:dyDescent="0.25"/>
    <row r="1081" s="15" customFormat="1" x14ac:dyDescent="0.25"/>
    <row r="1082" s="15" customFormat="1" x14ac:dyDescent="0.25"/>
    <row r="1083" s="15" customFormat="1" x14ac:dyDescent="0.25"/>
    <row r="1084" s="15" customFormat="1" x14ac:dyDescent="0.25"/>
    <row r="1085" s="15" customFormat="1" x14ac:dyDescent="0.25"/>
    <row r="1086" s="15" customFormat="1" x14ac:dyDescent="0.25"/>
    <row r="1087" s="15" customFormat="1" x14ac:dyDescent="0.25"/>
    <row r="1088" s="15" customFormat="1" x14ac:dyDescent="0.25"/>
    <row r="1089" s="15" customFormat="1" x14ac:dyDescent="0.25"/>
    <row r="1090" s="15" customFormat="1" x14ac:dyDescent="0.25"/>
    <row r="1091" s="15" customFormat="1" x14ac:dyDescent="0.25"/>
    <row r="1092" s="15" customFormat="1" x14ac:dyDescent="0.25"/>
    <row r="1093" s="15" customFormat="1" x14ac:dyDescent="0.25"/>
    <row r="1094" s="15" customFormat="1" x14ac:dyDescent="0.25"/>
    <row r="1095" s="15" customFormat="1" x14ac:dyDescent="0.25"/>
    <row r="1096" s="15" customFormat="1" x14ac:dyDescent="0.25"/>
    <row r="1097" s="15" customFormat="1" x14ac:dyDescent="0.25"/>
    <row r="1098" s="15" customFormat="1" x14ac:dyDescent="0.25"/>
    <row r="1099" s="15" customFormat="1" x14ac:dyDescent="0.25"/>
    <row r="1100" s="15" customFormat="1" x14ac:dyDescent="0.25"/>
    <row r="1101" s="15" customFormat="1" x14ac:dyDescent="0.25"/>
    <row r="1102" s="15" customFormat="1" x14ac:dyDescent="0.25"/>
    <row r="1103" s="15" customFormat="1" x14ac:dyDescent="0.25"/>
    <row r="1104" s="15" customFormat="1" x14ac:dyDescent="0.25"/>
    <row r="1105" s="15" customFormat="1" x14ac:dyDescent="0.25"/>
    <row r="1106" s="15" customFormat="1" x14ac:dyDescent="0.25"/>
    <row r="1107" s="15" customFormat="1" x14ac:dyDescent="0.25"/>
    <row r="1108" s="15" customFormat="1" x14ac:dyDescent="0.25"/>
    <row r="1109" s="15" customFormat="1" x14ac:dyDescent="0.25"/>
    <row r="1110" s="15" customFormat="1" x14ac:dyDescent="0.25"/>
    <row r="1111" s="15" customFormat="1" x14ac:dyDescent="0.25"/>
    <row r="1112" s="15" customFormat="1" x14ac:dyDescent="0.25"/>
    <row r="1113" s="15" customFormat="1" x14ac:dyDescent="0.25"/>
    <row r="1114" s="15" customFormat="1" x14ac:dyDescent="0.25"/>
    <row r="1115" s="15" customFormat="1" x14ac:dyDescent="0.25"/>
    <row r="1116" s="15" customFormat="1" x14ac:dyDescent="0.25"/>
    <row r="1117" s="15" customFormat="1" x14ac:dyDescent="0.25"/>
    <row r="1118" s="15" customFormat="1" x14ac:dyDescent="0.25"/>
    <row r="1119" s="15" customFormat="1" x14ac:dyDescent="0.25"/>
    <row r="1120" s="15" customFormat="1" x14ac:dyDescent="0.25"/>
    <row r="1121" s="15" customFormat="1" x14ac:dyDescent="0.25"/>
    <row r="1122" s="15" customFormat="1" x14ac:dyDescent="0.25"/>
    <row r="1123" s="15" customFormat="1" x14ac:dyDescent="0.25"/>
    <row r="1124" s="15" customFormat="1" x14ac:dyDescent="0.25"/>
    <row r="1125" s="15" customFormat="1" x14ac:dyDescent="0.25"/>
    <row r="1126" s="15" customFormat="1" x14ac:dyDescent="0.25"/>
    <row r="1127" s="15" customFormat="1" x14ac:dyDescent="0.25"/>
    <row r="1128" s="15" customFormat="1" x14ac:dyDescent="0.25"/>
    <row r="1129" s="15" customFormat="1" x14ac:dyDescent="0.25"/>
    <row r="1130" s="15" customFormat="1" x14ac:dyDescent="0.25"/>
    <row r="1131" s="15" customFormat="1" x14ac:dyDescent="0.25"/>
    <row r="1132" s="15" customFormat="1" x14ac:dyDescent="0.25"/>
    <row r="1133" s="15" customFormat="1" x14ac:dyDescent="0.25"/>
    <row r="1134" s="15" customFormat="1" x14ac:dyDescent="0.25"/>
    <row r="1135" s="15" customFormat="1" x14ac:dyDescent="0.25"/>
    <row r="1136" s="15" customFormat="1" x14ac:dyDescent="0.25"/>
    <row r="1137" s="15" customFormat="1" x14ac:dyDescent="0.25"/>
    <row r="1138" s="15" customFormat="1" x14ac:dyDescent="0.25"/>
    <row r="1139" s="15" customFormat="1" x14ac:dyDescent="0.25"/>
    <row r="1140" s="15" customFormat="1" x14ac:dyDescent="0.25"/>
    <row r="1141" s="15" customFormat="1" x14ac:dyDescent="0.25"/>
    <row r="1142" s="15" customFormat="1" x14ac:dyDescent="0.25"/>
    <row r="1143" s="15" customFormat="1" x14ac:dyDescent="0.25"/>
    <row r="1144" s="15" customFormat="1" x14ac:dyDescent="0.25"/>
    <row r="1145" s="15" customFormat="1" x14ac:dyDescent="0.25"/>
    <row r="1146" s="15" customFormat="1" x14ac:dyDescent="0.25"/>
    <row r="1147" s="15" customFormat="1" x14ac:dyDescent="0.25"/>
    <row r="1148" s="15" customFormat="1" x14ac:dyDescent="0.25"/>
    <row r="1149" s="15" customFormat="1" x14ac:dyDescent="0.25"/>
    <row r="1150" s="15" customFormat="1" x14ac:dyDescent="0.25"/>
    <row r="1151" s="15" customFormat="1" x14ac:dyDescent="0.25"/>
    <row r="1152" s="15" customFormat="1" x14ac:dyDescent="0.25"/>
    <row r="1153" s="15" customFormat="1" x14ac:dyDescent="0.25"/>
    <row r="1154" s="15" customFormat="1" x14ac:dyDescent="0.25"/>
    <row r="1155" s="15" customFormat="1" x14ac:dyDescent="0.25"/>
    <row r="1156" s="15" customFormat="1" x14ac:dyDescent="0.25"/>
    <row r="1157" s="15" customFormat="1" x14ac:dyDescent="0.25"/>
    <row r="1158" s="15" customFormat="1" x14ac:dyDescent="0.25"/>
    <row r="1159" s="15" customFormat="1" x14ac:dyDescent="0.25"/>
    <row r="1160" s="15" customFormat="1" x14ac:dyDescent="0.25"/>
    <row r="1161" s="15" customFormat="1" x14ac:dyDescent="0.25"/>
    <row r="1162" s="15" customFormat="1" x14ac:dyDescent="0.25"/>
    <row r="1163" s="15" customFormat="1" x14ac:dyDescent="0.25"/>
    <row r="1164" s="15" customFormat="1" x14ac:dyDescent="0.25"/>
    <row r="1165" s="15" customFormat="1" x14ac:dyDescent="0.25"/>
    <row r="1166" s="15" customFormat="1" x14ac:dyDescent="0.25"/>
    <row r="1167" s="15" customFormat="1" x14ac:dyDescent="0.25"/>
    <row r="1168" s="15" customFormat="1" x14ac:dyDescent="0.25"/>
    <row r="1169" s="15" customFormat="1" x14ac:dyDescent="0.25"/>
    <row r="1170" s="15" customFormat="1" x14ac:dyDescent="0.25"/>
    <row r="1171" s="15" customFormat="1" x14ac:dyDescent="0.25"/>
    <row r="1172" s="15" customFormat="1" x14ac:dyDescent="0.25"/>
    <row r="1173" s="15" customFormat="1" x14ac:dyDescent="0.25"/>
    <row r="1174" s="15" customFormat="1" x14ac:dyDescent="0.25"/>
    <row r="1175" s="15" customFormat="1" x14ac:dyDescent="0.25"/>
    <row r="1176" s="15" customFormat="1" x14ac:dyDescent="0.25"/>
    <row r="1177" s="15" customFormat="1" x14ac:dyDescent="0.25"/>
    <row r="1178" s="15" customFormat="1" x14ac:dyDescent="0.25"/>
    <row r="1179" s="15" customFormat="1" x14ac:dyDescent="0.25"/>
    <row r="1180" s="15" customFormat="1" x14ac:dyDescent="0.25"/>
    <row r="1181" s="15" customFormat="1" x14ac:dyDescent="0.25"/>
    <row r="1182" s="15" customFormat="1" x14ac:dyDescent="0.25"/>
    <row r="1183" s="15" customFormat="1" x14ac:dyDescent="0.25"/>
    <row r="1184" s="15" customFormat="1" x14ac:dyDescent="0.25"/>
    <row r="1185" s="15" customFormat="1" x14ac:dyDescent="0.25"/>
    <row r="1186" s="15" customFormat="1" x14ac:dyDescent="0.25"/>
    <row r="1187" s="15" customFormat="1" x14ac:dyDescent="0.25"/>
    <row r="1188" s="15" customFormat="1" x14ac:dyDescent="0.25"/>
    <row r="1189" s="15" customFormat="1" x14ac:dyDescent="0.25"/>
    <row r="1190" s="15" customFormat="1" x14ac:dyDescent="0.25"/>
    <row r="1191" s="15" customFormat="1" x14ac:dyDescent="0.25"/>
    <row r="1192" s="15" customFormat="1" x14ac:dyDescent="0.25"/>
    <row r="1193" s="15" customFormat="1" x14ac:dyDescent="0.25"/>
    <row r="1194" s="15" customFormat="1" x14ac:dyDescent="0.25"/>
    <row r="1195" s="15" customFormat="1" x14ac:dyDescent="0.25"/>
    <row r="1196" s="15" customFormat="1" x14ac:dyDescent="0.25"/>
    <row r="1197" s="15" customFormat="1" x14ac:dyDescent="0.25"/>
    <row r="1198" s="15" customFormat="1" x14ac:dyDescent="0.25"/>
    <row r="1199" s="15" customFormat="1" x14ac:dyDescent="0.25"/>
    <row r="1200" s="15" customFormat="1" x14ac:dyDescent="0.25"/>
    <row r="1201" s="15" customFormat="1" x14ac:dyDescent="0.25"/>
    <row r="1202" s="15" customFormat="1" x14ac:dyDescent="0.25"/>
    <row r="1203" s="15" customFormat="1" x14ac:dyDescent="0.25"/>
    <row r="1204" s="15" customFormat="1" x14ac:dyDescent="0.25"/>
    <row r="1205" s="15" customFormat="1" x14ac:dyDescent="0.25"/>
    <row r="1206" s="15" customFormat="1" x14ac:dyDescent="0.25"/>
    <row r="1207" s="15" customFormat="1" x14ac:dyDescent="0.25"/>
    <row r="1208" s="15" customFormat="1" x14ac:dyDescent="0.25"/>
    <row r="1209" s="15" customFormat="1" x14ac:dyDescent="0.25"/>
    <row r="1210" s="15" customFormat="1" x14ac:dyDescent="0.25"/>
    <row r="1211" s="15" customFormat="1" x14ac:dyDescent="0.25"/>
    <row r="1212" s="15" customFormat="1" x14ac:dyDescent="0.25"/>
    <row r="1213" s="15" customFormat="1" x14ac:dyDescent="0.25"/>
    <row r="1214" s="15" customFormat="1" x14ac:dyDescent="0.25"/>
    <row r="1215" s="15" customFormat="1" x14ac:dyDescent="0.25"/>
    <row r="1216" s="15" customFormat="1" x14ac:dyDescent="0.25"/>
    <row r="1217" s="15" customFormat="1" x14ac:dyDescent="0.25"/>
    <row r="1218" s="15" customFormat="1" x14ac:dyDescent="0.25"/>
    <row r="1219" s="15" customFormat="1" x14ac:dyDescent="0.25"/>
    <row r="1220" s="15" customFormat="1" x14ac:dyDescent="0.25"/>
    <row r="1221" s="15" customFormat="1" x14ac:dyDescent="0.25"/>
    <row r="1222" s="15" customFormat="1" x14ac:dyDescent="0.25"/>
    <row r="1223" s="15" customFormat="1" x14ac:dyDescent="0.25"/>
    <row r="1224" s="15" customFormat="1" x14ac:dyDescent="0.25"/>
    <row r="1225" s="15" customFormat="1" x14ac:dyDescent="0.25"/>
    <row r="1226" s="15" customFormat="1" x14ac:dyDescent="0.25"/>
    <row r="1227" s="15" customFormat="1" x14ac:dyDescent="0.25"/>
    <row r="1228" s="15" customFormat="1" x14ac:dyDescent="0.25"/>
    <row r="1229" s="15" customFormat="1" x14ac:dyDescent="0.25"/>
    <row r="1230" s="15" customFormat="1" x14ac:dyDescent="0.25"/>
    <row r="1231" s="15" customFormat="1" x14ac:dyDescent="0.25"/>
    <row r="1232" s="15" customFormat="1" x14ac:dyDescent="0.25"/>
    <row r="1233" s="15" customFormat="1" x14ac:dyDescent="0.25"/>
    <row r="1234" s="15" customFormat="1" x14ac:dyDescent="0.25"/>
    <row r="1235" s="15" customFormat="1" x14ac:dyDescent="0.25"/>
    <row r="1236" s="15" customFormat="1" x14ac:dyDescent="0.25"/>
    <row r="1237" s="15" customFormat="1" x14ac:dyDescent="0.25"/>
    <row r="1238" s="15" customFormat="1" x14ac:dyDescent="0.25"/>
    <row r="1239" s="15" customFormat="1" x14ac:dyDescent="0.25"/>
    <row r="1240" s="15" customFormat="1" x14ac:dyDescent="0.25"/>
    <row r="1241" s="15" customFormat="1" x14ac:dyDescent="0.25"/>
    <row r="1242" s="15" customFormat="1" x14ac:dyDescent="0.25"/>
    <row r="1243" s="15" customFormat="1" x14ac:dyDescent="0.25"/>
    <row r="1244" s="15" customFormat="1" x14ac:dyDescent="0.25"/>
    <row r="1245" s="15" customFormat="1" x14ac:dyDescent="0.25"/>
    <row r="1246" s="15" customFormat="1" x14ac:dyDescent="0.25"/>
    <row r="1247" s="15" customFormat="1" x14ac:dyDescent="0.25"/>
    <row r="1248" s="15" customFormat="1" x14ac:dyDescent="0.25"/>
    <row r="1249" s="15" customFormat="1" x14ac:dyDescent="0.25"/>
    <row r="1250" s="15" customFormat="1" x14ac:dyDescent="0.25"/>
    <row r="1251" s="15" customFormat="1" x14ac:dyDescent="0.25"/>
    <row r="1252" s="15" customFormat="1" x14ac:dyDescent="0.25"/>
    <row r="1253" s="15" customFormat="1" x14ac:dyDescent="0.25"/>
    <row r="1254" s="15" customFormat="1" x14ac:dyDescent="0.25"/>
    <row r="1255" s="15" customFormat="1" x14ac:dyDescent="0.25"/>
    <row r="1256" s="15" customFormat="1" x14ac:dyDescent="0.25"/>
    <row r="1257" s="15" customFormat="1" x14ac:dyDescent="0.25"/>
    <row r="1258" s="15" customFormat="1" x14ac:dyDescent="0.25"/>
    <row r="1259" s="15" customFormat="1" x14ac:dyDescent="0.25"/>
    <row r="1260" s="15" customFormat="1" x14ac:dyDescent="0.25"/>
    <row r="1261" s="15" customFormat="1" x14ac:dyDescent="0.25"/>
    <row r="1262" s="15" customFormat="1" x14ac:dyDescent="0.25"/>
    <row r="1263" s="15" customFormat="1" x14ac:dyDescent="0.25"/>
    <row r="1264" s="15" customFormat="1" x14ac:dyDescent="0.25"/>
    <row r="1265" s="15" customFormat="1" x14ac:dyDescent="0.25"/>
    <row r="1266" s="15" customFormat="1" x14ac:dyDescent="0.25"/>
    <row r="1267" s="15" customFormat="1" x14ac:dyDescent="0.25"/>
    <row r="1268" s="15" customFormat="1" x14ac:dyDescent="0.25"/>
    <row r="1269" s="15" customFormat="1" x14ac:dyDescent="0.25"/>
    <row r="1270" s="15" customFormat="1" x14ac:dyDescent="0.25"/>
    <row r="1271" s="15" customFormat="1" x14ac:dyDescent="0.25"/>
    <row r="1272" s="15" customFormat="1" x14ac:dyDescent="0.25"/>
    <row r="1273" s="15" customFormat="1" x14ac:dyDescent="0.25"/>
    <row r="1274" s="15" customFormat="1" x14ac:dyDescent="0.25"/>
    <row r="1275" s="15" customFormat="1" x14ac:dyDescent="0.25"/>
    <row r="1276" s="15" customFormat="1" x14ac:dyDescent="0.25"/>
    <row r="1277" s="15" customFormat="1" x14ac:dyDescent="0.25"/>
    <row r="1278" s="15" customFormat="1" x14ac:dyDescent="0.25"/>
    <row r="1279" s="15" customFormat="1" x14ac:dyDescent="0.25"/>
    <row r="1280" s="15" customFormat="1" x14ac:dyDescent="0.25"/>
    <row r="1281" s="15" customFormat="1" x14ac:dyDescent="0.25"/>
    <row r="1282" s="15" customFormat="1" x14ac:dyDescent="0.25"/>
    <row r="1283" s="15" customFormat="1" x14ac:dyDescent="0.25"/>
    <row r="1284" s="15" customFormat="1" x14ac:dyDescent="0.25"/>
    <row r="1285" s="15" customFormat="1" x14ac:dyDescent="0.25"/>
    <row r="1286" s="15" customFormat="1" x14ac:dyDescent="0.25"/>
    <row r="1287" s="15" customFormat="1" x14ac:dyDescent="0.25"/>
    <row r="1288" s="15" customFormat="1" x14ac:dyDescent="0.25"/>
    <row r="1289" s="15" customFormat="1" x14ac:dyDescent="0.25"/>
    <row r="1290" s="15" customFormat="1" x14ac:dyDescent="0.25"/>
    <row r="1291" s="15" customFormat="1" x14ac:dyDescent="0.25"/>
    <row r="1292" s="15" customFormat="1" x14ac:dyDescent="0.25"/>
    <row r="1293" s="15" customFormat="1" x14ac:dyDescent="0.25"/>
    <row r="1294" s="15" customFormat="1" x14ac:dyDescent="0.25"/>
    <row r="1295" s="15" customFormat="1" x14ac:dyDescent="0.25"/>
    <row r="1296" s="15" customFormat="1" x14ac:dyDescent="0.25"/>
    <row r="1297" s="15" customFormat="1" x14ac:dyDescent="0.25"/>
    <row r="1298" s="15" customFormat="1" x14ac:dyDescent="0.25"/>
    <row r="1299" s="15" customFormat="1" x14ac:dyDescent="0.25"/>
    <row r="1300" s="15" customFormat="1" x14ac:dyDescent="0.25"/>
    <row r="1301" s="15" customFormat="1" x14ac:dyDescent="0.25"/>
    <row r="1302" s="15" customFormat="1" x14ac:dyDescent="0.25"/>
    <row r="1303" s="15" customFormat="1" x14ac:dyDescent="0.25"/>
    <row r="1304" s="15" customFormat="1" x14ac:dyDescent="0.25"/>
    <row r="1305" s="15" customFormat="1" x14ac:dyDescent="0.25"/>
    <row r="1306" s="15" customFormat="1" x14ac:dyDescent="0.25"/>
    <row r="1307" s="15" customFormat="1" x14ac:dyDescent="0.25"/>
    <row r="1308" s="15" customFormat="1" x14ac:dyDescent="0.25"/>
    <row r="1309" s="15" customFormat="1" x14ac:dyDescent="0.25"/>
    <row r="1310" s="15" customFormat="1" x14ac:dyDescent="0.25"/>
    <row r="1311" s="15" customFormat="1" x14ac:dyDescent="0.25"/>
    <row r="1312" s="15" customFormat="1" x14ac:dyDescent="0.25"/>
    <row r="1313" s="15" customFormat="1" x14ac:dyDescent="0.25"/>
    <row r="1314" s="15" customFormat="1" x14ac:dyDescent="0.25"/>
    <row r="1315" s="15" customFormat="1" x14ac:dyDescent="0.25"/>
    <row r="1316" s="15" customFormat="1" x14ac:dyDescent="0.25"/>
    <row r="1317" s="15" customFormat="1" x14ac:dyDescent="0.25"/>
    <row r="1318" s="15" customFormat="1" x14ac:dyDescent="0.25"/>
    <row r="1319" s="15" customFormat="1" x14ac:dyDescent="0.25"/>
    <row r="1320" s="15" customFormat="1" x14ac:dyDescent="0.25"/>
    <row r="1321" s="15" customFormat="1" x14ac:dyDescent="0.25"/>
    <row r="1322" s="15" customFormat="1" x14ac:dyDescent="0.25"/>
    <row r="1323" s="15" customFormat="1" x14ac:dyDescent="0.25"/>
    <row r="1324" s="15" customFormat="1" x14ac:dyDescent="0.25"/>
    <row r="1325" s="15" customFormat="1" x14ac:dyDescent="0.25"/>
    <row r="1326" s="15" customFormat="1" x14ac:dyDescent="0.25"/>
    <row r="1327" s="15" customFormat="1" x14ac:dyDescent="0.25"/>
    <row r="1328" s="15" customFormat="1" x14ac:dyDescent="0.25"/>
    <row r="1329" s="15" customFormat="1" x14ac:dyDescent="0.25"/>
    <row r="1330" s="15" customFormat="1" x14ac:dyDescent="0.25"/>
    <row r="1331" s="15" customFormat="1" x14ac:dyDescent="0.25"/>
    <row r="1332" s="15" customFormat="1" x14ac:dyDescent="0.25"/>
    <row r="1333" s="15" customFormat="1" x14ac:dyDescent="0.25"/>
    <row r="1334" s="15" customFormat="1" x14ac:dyDescent="0.25"/>
    <row r="1335" s="15" customFormat="1" x14ac:dyDescent="0.25"/>
    <row r="1336" s="15" customFormat="1" x14ac:dyDescent="0.25"/>
    <row r="1337" s="15" customFormat="1" x14ac:dyDescent="0.25"/>
    <row r="1338" s="15" customFormat="1" x14ac:dyDescent="0.25"/>
    <row r="1339" s="15" customFormat="1" x14ac:dyDescent="0.25"/>
    <row r="1340" s="15" customFormat="1" x14ac:dyDescent="0.25"/>
    <row r="1341" s="15" customFormat="1" x14ac:dyDescent="0.25"/>
    <row r="1342" s="15" customFormat="1" x14ac:dyDescent="0.25"/>
    <row r="1343" s="15" customFormat="1" x14ac:dyDescent="0.25"/>
    <row r="1344" s="15" customFormat="1" x14ac:dyDescent="0.25"/>
    <row r="1345" s="15" customFormat="1" x14ac:dyDescent="0.25"/>
    <row r="1346" s="15" customFormat="1" x14ac:dyDescent="0.25"/>
    <row r="1347" s="15" customFormat="1" x14ac:dyDescent="0.25"/>
    <row r="1348" s="15" customFormat="1" x14ac:dyDescent="0.25"/>
    <row r="1349" s="15" customFormat="1" x14ac:dyDescent="0.25"/>
    <row r="1350" s="15" customFormat="1" x14ac:dyDescent="0.25"/>
    <row r="1351" s="15" customFormat="1" x14ac:dyDescent="0.25"/>
    <row r="1352" s="15" customFormat="1" x14ac:dyDescent="0.25"/>
    <row r="1353" s="15" customFormat="1" x14ac:dyDescent="0.25"/>
    <row r="1354" s="15" customFormat="1" x14ac:dyDescent="0.25"/>
    <row r="1355" s="15" customFormat="1" x14ac:dyDescent="0.25"/>
    <row r="1356" s="15" customFormat="1" x14ac:dyDescent="0.25"/>
    <row r="1357" s="15" customFormat="1" x14ac:dyDescent="0.25"/>
    <row r="1358" s="15" customFormat="1" x14ac:dyDescent="0.25"/>
    <row r="1359" s="15" customFormat="1" x14ac:dyDescent="0.25"/>
    <row r="1360" s="15" customFormat="1" x14ac:dyDescent="0.25"/>
    <row r="1361" s="15" customFormat="1" x14ac:dyDescent="0.25"/>
    <row r="1362" s="15" customFormat="1" x14ac:dyDescent="0.25"/>
    <row r="1363" s="15" customFormat="1" x14ac:dyDescent="0.25"/>
    <row r="1364" s="15" customFormat="1" x14ac:dyDescent="0.25"/>
    <row r="1365" s="15" customFormat="1" x14ac:dyDescent="0.25"/>
    <row r="1366" s="15" customFormat="1" x14ac:dyDescent="0.25"/>
    <row r="1367" s="15" customFormat="1" x14ac:dyDescent="0.25"/>
    <row r="1368" s="15" customFormat="1" x14ac:dyDescent="0.25"/>
    <row r="1369" s="15" customFormat="1" x14ac:dyDescent="0.25"/>
    <row r="1370" s="15" customFormat="1" x14ac:dyDescent="0.25"/>
    <row r="1371" s="15" customFormat="1" x14ac:dyDescent="0.25"/>
    <row r="1372" s="15" customFormat="1" x14ac:dyDescent="0.25"/>
    <row r="1373" s="15" customFormat="1" x14ac:dyDescent="0.25"/>
    <row r="1374" s="15" customFormat="1" x14ac:dyDescent="0.25"/>
    <row r="1375" s="15" customFormat="1" x14ac:dyDescent="0.25"/>
    <row r="1376" s="15" customFormat="1" x14ac:dyDescent="0.25"/>
    <row r="1377" s="15" customFormat="1" x14ac:dyDescent="0.25"/>
    <row r="1378" s="15" customFormat="1" x14ac:dyDescent="0.25"/>
    <row r="1379" s="15" customFormat="1" x14ac:dyDescent="0.25"/>
    <row r="1380" s="15" customFormat="1" x14ac:dyDescent="0.25"/>
    <row r="1381" s="15" customFormat="1" x14ac:dyDescent="0.25"/>
    <row r="1382" s="15" customFormat="1" x14ac:dyDescent="0.25"/>
    <row r="1383" s="15" customFormat="1" x14ac:dyDescent="0.25"/>
    <row r="1384" s="15" customFormat="1" x14ac:dyDescent="0.25"/>
    <row r="1385" s="15" customFormat="1" x14ac:dyDescent="0.25"/>
    <row r="1386" s="15" customFormat="1" x14ac:dyDescent="0.25"/>
    <row r="1387" s="15" customFormat="1" x14ac:dyDescent="0.25"/>
    <row r="1388" s="15" customFormat="1" x14ac:dyDescent="0.25"/>
    <row r="1389" s="15" customFormat="1" x14ac:dyDescent="0.25"/>
    <row r="1390" s="15" customFormat="1" x14ac:dyDescent="0.25"/>
    <row r="1391" s="15" customFormat="1" x14ac:dyDescent="0.25"/>
    <row r="1392" s="15" customFormat="1" x14ac:dyDescent="0.25"/>
    <row r="1393" s="15" customFormat="1" x14ac:dyDescent="0.25"/>
    <row r="1394" s="15" customFormat="1" x14ac:dyDescent="0.25"/>
    <row r="1395" s="15" customFormat="1" x14ac:dyDescent="0.25"/>
    <row r="1396" s="15" customFormat="1" x14ac:dyDescent="0.25"/>
    <row r="1397" s="15" customFormat="1" x14ac:dyDescent="0.25"/>
    <row r="1398" s="15" customFormat="1" x14ac:dyDescent="0.25"/>
    <row r="1399" s="15" customFormat="1" x14ac:dyDescent="0.25"/>
    <row r="1400" s="15" customFormat="1" x14ac:dyDescent="0.25"/>
    <row r="1401" s="15" customFormat="1" x14ac:dyDescent="0.25"/>
    <row r="1402" s="15" customFormat="1" x14ac:dyDescent="0.25"/>
    <row r="1403" s="15" customFormat="1" x14ac:dyDescent="0.25"/>
    <row r="1404" s="15" customFormat="1" x14ac:dyDescent="0.25"/>
    <row r="1405" s="15" customFormat="1" x14ac:dyDescent="0.25"/>
    <row r="1406" s="15" customFormat="1" x14ac:dyDescent="0.25"/>
    <row r="1407" s="15" customFormat="1" x14ac:dyDescent="0.25"/>
    <row r="1408" s="15" customFormat="1" x14ac:dyDescent="0.25"/>
    <row r="1409" s="15" customFormat="1" x14ac:dyDescent="0.25"/>
    <row r="1410" s="15" customFormat="1" x14ac:dyDescent="0.25"/>
    <row r="1411" s="15" customFormat="1" x14ac:dyDescent="0.25"/>
    <row r="1412" s="15" customFormat="1" x14ac:dyDescent="0.25"/>
    <row r="1413" s="15" customFormat="1" x14ac:dyDescent="0.25"/>
    <row r="1414" s="15" customFormat="1" x14ac:dyDescent="0.25"/>
    <row r="1415" s="15" customFormat="1" x14ac:dyDescent="0.25"/>
    <row r="1416" s="15" customFormat="1" x14ac:dyDescent="0.25"/>
    <row r="1417" s="15" customFormat="1" x14ac:dyDescent="0.25"/>
    <row r="1418" s="15" customFormat="1" x14ac:dyDescent="0.25"/>
    <row r="1419" s="15" customFormat="1" x14ac:dyDescent="0.25"/>
    <row r="1420" s="15" customFormat="1" x14ac:dyDescent="0.25"/>
    <row r="1421" s="15" customFormat="1" x14ac:dyDescent="0.25"/>
    <row r="1422" s="15" customFormat="1" x14ac:dyDescent="0.25"/>
    <row r="1423" s="15" customFormat="1" x14ac:dyDescent="0.25"/>
    <row r="1424" s="15" customFormat="1" x14ac:dyDescent="0.25"/>
    <row r="1425" s="15" customFormat="1" x14ac:dyDescent="0.25"/>
    <row r="1426" s="15" customFormat="1" x14ac:dyDescent="0.25"/>
    <row r="1427" s="15" customFormat="1" x14ac:dyDescent="0.25"/>
    <row r="1428" s="15" customFormat="1" x14ac:dyDescent="0.25"/>
    <row r="1429" s="15" customFormat="1" x14ac:dyDescent="0.25"/>
    <row r="1430" s="15" customFormat="1" x14ac:dyDescent="0.25"/>
    <row r="1431" s="15" customFormat="1" x14ac:dyDescent="0.25"/>
    <row r="1432" s="15" customFormat="1" x14ac:dyDescent="0.25"/>
    <row r="1433" s="15" customFormat="1" x14ac:dyDescent="0.25"/>
    <row r="1434" s="15" customFormat="1" x14ac:dyDescent="0.25"/>
    <row r="1435" s="15" customFormat="1" x14ac:dyDescent="0.25"/>
    <row r="1436" s="15" customFormat="1" x14ac:dyDescent="0.25"/>
    <row r="1437" s="15" customFormat="1" x14ac:dyDescent="0.25"/>
    <row r="1438" s="15" customFormat="1" x14ac:dyDescent="0.25"/>
    <row r="1439" s="15" customFormat="1" x14ac:dyDescent="0.25"/>
    <row r="1440" s="15" customFormat="1" x14ac:dyDescent="0.25"/>
    <row r="1441" s="15" customFormat="1" x14ac:dyDescent="0.25"/>
    <row r="1442" s="15" customFormat="1" x14ac:dyDescent="0.25"/>
    <row r="1443" s="15" customFormat="1" x14ac:dyDescent="0.25"/>
    <row r="1444" s="15" customFormat="1" x14ac:dyDescent="0.25"/>
    <row r="1445" s="15" customFormat="1" x14ac:dyDescent="0.25"/>
    <row r="1446" s="15" customFormat="1" x14ac:dyDescent="0.25"/>
    <row r="1447" s="15" customFormat="1" x14ac:dyDescent="0.25"/>
    <row r="1448" s="15" customFormat="1" x14ac:dyDescent="0.25"/>
    <row r="1449" s="15" customFormat="1" x14ac:dyDescent="0.25"/>
    <row r="1450" s="15" customFormat="1" x14ac:dyDescent="0.25"/>
    <row r="1451" s="15" customFormat="1" x14ac:dyDescent="0.25"/>
    <row r="1452" s="15" customFormat="1" x14ac:dyDescent="0.25"/>
    <row r="1453" s="15" customFormat="1" x14ac:dyDescent="0.25"/>
    <row r="1454" s="15" customFormat="1" x14ac:dyDescent="0.25"/>
    <row r="1455" s="15" customFormat="1" x14ac:dyDescent="0.25"/>
    <row r="1456" s="15" customFormat="1" x14ac:dyDescent="0.25"/>
    <row r="1457" s="15" customFormat="1" x14ac:dyDescent="0.25"/>
    <row r="1458" s="15" customFormat="1" x14ac:dyDescent="0.25"/>
    <row r="1459" s="15" customFormat="1" x14ac:dyDescent="0.25"/>
    <row r="1460" s="15" customFormat="1" x14ac:dyDescent="0.25"/>
    <row r="1461" s="15" customFormat="1" x14ac:dyDescent="0.25"/>
    <row r="1462" s="15" customFormat="1" x14ac:dyDescent="0.25"/>
    <row r="1463" s="15" customFormat="1" x14ac:dyDescent="0.25"/>
    <row r="1464" s="15" customFormat="1" x14ac:dyDescent="0.25"/>
    <row r="1465" s="15" customFormat="1" x14ac:dyDescent="0.25"/>
    <row r="1466" s="15" customFormat="1" x14ac:dyDescent="0.25"/>
    <row r="1467" s="15" customFormat="1" x14ac:dyDescent="0.25"/>
    <row r="1468" s="15" customFormat="1" x14ac:dyDescent="0.25"/>
    <row r="1469" s="15" customFormat="1" x14ac:dyDescent="0.25"/>
    <row r="1470" s="15" customFormat="1" x14ac:dyDescent="0.25"/>
    <row r="1471" s="15" customFormat="1" x14ac:dyDescent="0.25"/>
    <row r="1472" s="15" customFormat="1" x14ac:dyDescent="0.25"/>
    <row r="1473" s="15" customFormat="1" x14ac:dyDescent="0.25"/>
    <row r="1474" s="15" customFormat="1" x14ac:dyDescent="0.25"/>
    <row r="1475" s="15" customFormat="1" x14ac:dyDescent="0.25"/>
    <row r="1476" s="15" customFormat="1" x14ac:dyDescent="0.25"/>
    <row r="1477" s="15" customFormat="1" x14ac:dyDescent="0.25"/>
    <row r="1478" s="15" customFormat="1" x14ac:dyDescent="0.25"/>
    <row r="1479" s="15" customFormat="1" x14ac:dyDescent="0.25"/>
    <row r="1480" s="15" customFormat="1" x14ac:dyDescent="0.25"/>
    <row r="1481" s="15" customFormat="1" x14ac:dyDescent="0.25"/>
    <row r="1482" s="15" customFormat="1" x14ac:dyDescent="0.25"/>
    <row r="1483" s="15" customFormat="1" x14ac:dyDescent="0.25"/>
    <row r="1484" s="15" customFormat="1" x14ac:dyDescent="0.25"/>
    <row r="1485" s="15" customFormat="1" x14ac:dyDescent="0.25"/>
    <row r="1486" s="15" customFormat="1" x14ac:dyDescent="0.25"/>
    <row r="1487" s="15" customFormat="1" x14ac:dyDescent="0.25"/>
    <row r="1488" s="15" customFormat="1" x14ac:dyDescent="0.25"/>
    <row r="1489" s="15" customFormat="1" x14ac:dyDescent="0.25"/>
    <row r="1490" s="15" customFormat="1" x14ac:dyDescent="0.25"/>
    <row r="1491" s="15" customFormat="1" x14ac:dyDescent="0.25"/>
    <row r="1492" s="15" customFormat="1" x14ac:dyDescent="0.25"/>
    <row r="1493" s="15" customFormat="1" x14ac:dyDescent="0.25"/>
    <row r="1494" s="15" customFormat="1" x14ac:dyDescent="0.25"/>
    <row r="1495" s="15" customFormat="1" x14ac:dyDescent="0.25"/>
    <row r="1496" s="15" customFormat="1" x14ac:dyDescent="0.25"/>
    <row r="1497" s="15" customFormat="1" x14ac:dyDescent="0.25"/>
    <row r="1498" s="15" customFormat="1" x14ac:dyDescent="0.25"/>
    <row r="1499" s="15" customFormat="1" x14ac:dyDescent="0.25"/>
    <row r="1500" s="15" customFormat="1" x14ac:dyDescent="0.25"/>
    <row r="1501" s="15" customFormat="1" x14ac:dyDescent="0.25"/>
    <row r="1502" s="15" customFormat="1" x14ac:dyDescent="0.25"/>
    <row r="1503" s="15" customFormat="1" x14ac:dyDescent="0.25"/>
    <row r="1504" s="15" customFormat="1" x14ac:dyDescent="0.25"/>
    <row r="1505" s="15" customFormat="1" x14ac:dyDescent="0.25"/>
    <row r="1506" s="15" customFormat="1" x14ac:dyDescent="0.25"/>
    <row r="1507" s="15" customFormat="1" x14ac:dyDescent="0.25"/>
    <row r="1508" s="15" customFormat="1" x14ac:dyDescent="0.25"/>
    <row r="1509" s="15" customFormat="1" x14ac:dyDescent="0.25"/>
    <row r="1510" s="15" customFormat="1" x14ac:dyDescent="0.25"/>
    <row r="1511" s="15" customFormat="1" x14ac:dyDescent="0.25"/>
    <row r="1512" s="15" customFormat="1" x14ac:dyDescent="0.25"/>
    <row r="1513" s="15" customFormat="1" x14ac:dyDescent="0.25"/>
    <row r="1514" s="15" customFormat="1" x14ac:dyDescent="0.25"/>
    <row r="1515" s="15" customFormat="1" x14ac:dyDescent="0.25"/>
    <row r="1516" s="15" customFormat="1" x14ac:dyDescent="0.25"/>
    <row r="1517" s="15" customFormat="1" x14ac:dyDescent="0.25"/>
    <row r="1518" s="15" customFormat="1" x14ac:dyDescent="0.25"/>
    <row r="1519" s="15" customFormat="1" x14ac:dyDescent="0.25"/>
    <row r="1520" s="15" customFormat="1" x14ac:dyDescent="0.25"/>
    <row r="1521" s="15" customFormat="1" x14ac:dyDescent="0.25"/>
    <row r="1522" s="15" customFormat="1" x14ac:dyDescent="0.25"/>
    <row r="1523" s="15" customFormat="1" x14ac:dyDescent="0.25"/>
    <row r="1524" s="15" customFormat="1" x14ac:dyDescent="0.25"/>
    <row r="1525" s="15" customFormat="1" x14ac:dyDescent="0.25"/>
    <row r="1526" s="15" customFormat="1" x14ac:dyDescent="0.25"/>
    <row r="1527" s="15" customFormat="1" x14ac:dyDescent="0.25"/>
    <row r="1528" s="15" customFormat="1" x14ac:dyDescent="0.25"/>
    <row r="1529" s="15" customFormat="1" x14ac:dyDescent="0.25"/>
    <row r="1530" s="15" customFormat="1" x14ac:dyDescent="0.25"/>
    <row r="1531" s="15" customFormat="1" x14ac:dyDescent="0.25"/>
    <row r="1532" s="15" customFormat="1" x14ac:dyDescent="0.25"/>
    <row r="1533" s="15" customFormat="1" x14ac:dyDescent="0.25"/>
    <row r="1534" s="15" customFormat="1" x14ac:dyDescent="0.25"/>
    <row r="1535" s="15" customFormat="1" x14ac:dyDescent="0.25"/>
    <row r="1536" s="15" customFormat="1" x14ac:dyDescent="0.25"/>
    <row r="1537" s="15" customFormat="1" x14ac:dyDescent="0.25"/>
    <row r="1538" s="15" customFormat="1" x14ac:dyDescent="0.25"/>
    <row r="1539" s="15" customFormat="1" x14ac:dyDescent="0.25"/>
    <row r="1540" s="15" customFormat="1" x14ac:dyDescent="0.25"/>
    <row r="1541" s="15" customFormat="1" x14ac:dyDescent="0.25"/>
    <row r="1542" s="15" customFormat="1" x14ac:dyDescent="0.25"/>
    <row r="1543" s="15" customFormat="1" x14ac:dyDescent="0.25"/>
    <row r="1544" s="15" customFormat="1" x14ac:dyDescent="0.25"/>
    <row r="1545" s="15" customFormat="1" x14ac:dyDescent="0.25"/>
    <row r="1546" s="15" customFormat="1" x14ac:dyDescent="0.25"/>
    <row r="1547" s="15" customFormat="1" x14ac:dyDescent="0.25"/>
    <row r="1548" s="15" customFormat="1" x14ac:dyDescent="0.25"/>
    <row r="1549" s="15" customFormat="1" x14ac:dyDescent="0.25"/>
    <row r="1550" s="15" customFormat="1" x14ac:dyDescent="0.25"/>
    <row r="1551" s="15" customFormat="1" x14ac:dyDescent="0.25"/>
    <row r="1552" s="15" customFormat="1" x14ac:dyDescent="0.25"/>
    <row r="1553" s="15" customFormat="1" x14ac:dyDescent="0.25"/>
    <row r="1554" s="15" customFormat="1" x14ac:dyDescent="0.25"/>
    <row r="1555" s="15" customFormat="1" x14ac:dyDescent="0.25"/>
    <row r="1556" s="15" customFormat="1" x14ac:dyDescent="0.25"/>
    <row r="1557" s="15" customFormat="1" x14ac:dyDescent="0.25"/>
    <row r="1558" s="15" customFormat="1" x14ac:dyDescent="0.25"/>
    <row r="1559" s="15" customFormat="1" x14ac:dyDescent="0.25"/>
    <row r="1560" s="15" customFormat="1" x14ac:dyDescent="0.25"/>
    <row r="1561" s="15" customFormat="1" x14ac:dyDescent="0.25"/>
    <row r="1562" s="15" customFormat="1" x14ac:dyDescent="0.25"/>
    <row r="1563" s="15" customFormat="1" x14ac:dyDescent="0.25"/>
    <row r="1564" s="15" customFormat="1" x14ac:dyDescent="0.25"/>
    <row r="1565" s="15" customFormat="1" x14ac:dyDescent="0.25"/>
    <row r="1566" s="15" customFormat="1" x14ac:dyDescent="0.25"/>
    <row r="1567" s="15" customFormat="1" x14ac:dyDescent="0.25"/>
    <row r="1568" s="15" customFormat="1" x14ac:dyDescent="0.25"/>
    <row r="1569" s="15" customFormat="1" x14ac:dyDescent="0.25"/>
    <row r="1570" s="15" customFormat="1" x14ac:dyDescent="0.25"/>
    <row r="1571" s="15" customFormat="1" x14ac:dyDescent="0.25"/>
    <row r="1572" s="15" customFormat="1" x14ac:dyDescent="0.25"/>
    <row r="1573" s="15" customFormat="1" x14ac:dyDescent="0.25"/>
    <row r="1574" s="15" customFormat="1" x14ac:dyDescent="0.25"/>
    <row r="1575" s="15" customFormat="1" x14ac:dyDescent="0.25"/>
    <row r="1576" s="15" customFormat="1" x14ac:dyDescent="0.25"/>
    <row r="1577" s="15" customFormat="1" x14ac:dyDescent="0.25"/>
    <row r="1578" s="15" customFormat="1" x14ac:dyDescent="0.25"/>
    <row r="1579" s="15" customFormat="1" x14ac:dyDescent="0.25"/>
    <row r="1580" s="15" customFormat="1" x14ac:dyDescent="0.25"/>
    <row r="1581" s="15" customFormat="1" x14ac:dyDescent="0.25"/>
    <row r="1582" s="15" customFormat="1" x14ac:dyDescent="0.25"/>
    <row r="1583" s="15" customFormat="1" x14ac:dyDescent="0.25"/>
    <row r="1584" s="15" customFormat="1" x14ac:dyDescent="0.25"/>
    <row r="1585" s="15" customFormat="1" x14ac:dyDescent="0.25"/>
    <row r="1586" s="15" customFormat="1" x14ac:dyDescent="0.25"/>
    <row r="1587" s="15" customFormat="1" x14ac:dyDescent="0.25"/>
    <row r="1588" s="15" customFormat="1" x14ac:dyDescent="0.25"/>
    <row r="1589" s="15" customFormat="1" x14ac:dyDescent="0.25"/>
    <row r="1590" s="15" customFormat="1" x14ac:dyDescent="0.25"/>
    <row r="1591" s="15" customFormat="1" x14ac:dyDescent="0.25"/>
    <row r="1592" s="15" customFormat="1" x14ac:dyDescent="0.25"/>
    <row r="1593" s="15" customFormat="1" x14ac:dyDescent="0.25"/>
    <row r="1594" s="15" customFormat="1" x14ac:dyDescent="0.25"/>
    <row r="1595" s="15" customFormat="1" x14ac:dyDescent="0.25"/>
    <row r="1596" s="15" customFormat="1" x14ac:dyDescent="0.25"/>
    <row r="1597" s="15" customFormat="1" x14ac:dyDescent="0.25"/>
    <row r="1598" s="15" customFormat="1" x14ac:dyDescent="0.25"/>
    <row r="1599" s="15" customFormat="1" x14ac:dyDescent="0.25"/>
    <row r="1600" s="15" customFormat="1" x14ac:dyDescent="0.25"/>
    <row r="1601" s="15" customFormat="1" x14ac:dyDescent="0.25"/>
    <row r="1602" s="15" customFormat="1" x14ac:dyDescent="0.25"/>
    <row r="1603" s="15" customFormat="1" x14ac:dyDescent="0.25"/>
    <row r="1604" s="15" customFormat="1" x14ac:dyDescent="0.25"/>
    <row r="1605" s="15" customFormat="1" x14ac:dyDescent="0.25"/>
    <row r="1606" s="15" customFormat="1" x14ac:dyDescent="0.25"/>
    <row r="1607" s="15" customFormat="1" x14ac:dyDescent="0.25"/>
    <row r="1608" s="15" customFormat="1" x14ac:dyDescent="0.25"/>
    <row r="1609" s="15" customFormat="1" x14ac:dyDescent="0.25"/>
    <row r="1610" s="15" customFormat="1" x14ac:dyDescent="0.25"/>
    <row r="1611" s="15" customFormat="1" x14ac:dyDescent="0.25"/>
    <row r="1612" s="15" customFormat="1" x14ac:dyDescent="0.25"/>
    <row r="1613" s="15" customFormat="1" x14ac:dyDescent="0.25"/>
    <row r="1614" s="15" customFormat="1" x14ac:dyDescent="0.25"/>
    <row r="1615" s="15" customFormat="1" x14ac:dyDescent="0.25"/>
    <row r="1616" s="15" customFormat="1" x14ac:dyDescent="0.25"/>
    <row r="1617" s="15" customFormat="1" x14ac:dyDescent="0.25"/>
    <row r="1618" s="15" customFormat="1" x14ac:dyDescent="0.25"/>
    <row r="1619" s="15" customFormat="1" x14ac:dyDescent="0.25"/>
    <row r="1620" s="15" customFormat="1" x14ac:dyDescent="0.25"/>
    <row r="1621" s="15" customFormat="1" x14ac:dyDescent="0.25"/>
    <row r="1622" s="15" customFormat="1" x14ac:dyDescent="0.25"/>
    <row r="1623" s="15" customFormat="1" x14ac:dyDescent="0.25"/>
    <row r="1624" s="15" customFormat="1" x14ac:dyDescent="0.25"/>
    <row r="1625" s="15" customFormat="1" x14ac:dyDescent="0.25"/>
    <row r="1626" s="15" customFormat="1" x14ac:dyDescent="0.25"/>
    <row r="1627" s="15" customFormat="1" x14ac:dyDescent="0.25"/>
    <row r="1628" s="15" customFormat="1" x14ac:dyDescent="0.25"/>
    <row r="1629" s="15" customFormat="1" x14ac:dyDescent="0.25"/>
    <row r="1630" s="15" customFormat="1" x14ac:dyDescent="0.25"/>
    <row r="1631" s="15" customFormat="1" x14ac:dyDescent="0.25"/>
    <row r="1632" s="15" customFormat="1" x14ac:dyDescent="0.25"/>
    <row r="1633" s="15" customFormat="1" x14ac:dyDescent="0.25"/>
    <row r="1634" s="15" customFormat="1" x14ac:dyDescent="0.25"/>
    <row r="1635" s="15" customFormat="1" x14ac:dyDescent="0.25"/>
    <row r="1636" s="15" customFormat="1" x14ac:dyDescent="0.25"/>
    <row r="1637" s="15" customFormat="1" x14ac:dyDescent="0.25"/>
    <row r="1638" s="15" customFormat="1" x14ac:dyDescent="0.25"/>
    <row r="1639" s="15" customFormat="1" x14ac:dyDescent="0.25"/>
    <row r="1640" s="15" customFormat="1" x14ac:dyDescent="0.25"/>
    <row r="1641" s="15" customFormat="1" x14ac:dyDescent="0.25"/>
    <row r="1642" s="15" customFormat="1" x14ac:dyDescent="0.25"/>
    <row r="1643" s="15" customFormat="1" x14ac:dyDescent="0.25"/>
    <row r="1644" s="15" customFormat="1" x14ac:dyDescent="0.25"/>
    <row r="1645" s="15" customFormat="1" x14ac:dyDescent="0.25"/>
    <row r="1646" s="15" customFormat="1" x14ac:dyDescent="0.25"/>
    <row r="1647" s="15" customFormat="1" x14ac:dyDescent="0.25"/>
    <row r="1648" s="15" customFormat="1" x14ac:dyDescent="0.25"/>
    <row r="1649" s="15" customFormat="1" x14ac:dyDescent="0.25"/>
    <row r="1650" s="15" customFormat="1" x14ac:dyDescent="0.25"/>
    <row r="1651" s="15" customFormat="1" x14ac:dyDescent="0.25"/>
    <row r="1652" s="15" customFormat="1" x14ac:dyDescent="0.25"/>
    <row r="1653" s="15" customFormat="1" x14ac:dyDescent="0.25"/>
    <row r="1654" s="15" customFormat="1" x14ac:dyDescent="0.25"/>
    <row r="1655" s="15" customFormat="1" x14ac:dyDescent="0.25"/>
    <row r="1656" s="15" customFormat="1" x14ac:dyDescent="0.25"/>
    <row r="1657" s="15" customFormat="1" x14ac:dyDescent="0.25"/>
    <row r="1658" s="15" customFormat="1" x14ac:dyDescent="0.25"/>
    <row r="1659" s="15" customFormat="1" x14ac:dyDescent="0.25"/>
    <row r="1660" s="15" customFormat="1" x14ac:dyDescent="0.25"/>
    <row r="1661" s="15" customFormat="1" x14ac:dyDescent="0.25"/>
    <row r="1662" s="15" customFormat="1" x14ac:dyDescent="0.25"/>
    <row r="1663" s="15" customFormat="1" x14ac:dyDescent="0.25"/>
    <row r="1664" s="15" customFormat="1" x14ac:dyDescent="0.25"/>
    <row r="1665" s="15" customFormat="1" x14ac:dyDescent="0.25"/>
    <row r="1666" s="15" customFormat="1" x14ac:dyDescent="0.25"/>
    <row r="1667" s="15" customFormat="1" x14ac:dyDescent="0.25"/>
    <row r="1668" s="15" customFormat="1" x14ac:dyDescent="0.25"/>
    <row r="1669" s="15" customFormat="1" x14ac:dyDescent="0.25"/>
    <row r="1670" s="15" customFormat="1" x14ac:dyDescent="0.25"/>
    <row r="1671" s="15" customFormat="1" x14ac:dyDescent="0.25"/>
    <row r="1672" s="15" customFormat="1" x14ac:dyDescent="0.25"/>
    <row r="1673" s="15" customFormat="1" x14ac:dyDescent="0.25"/>
    <row r="1674" s="15" customFormat="1" x14ac:dyDescent="0.25"/>
    <row r="1675" s="15" customFormat="1" x14ac:dyDescent="0.25"/>
    <row r="1676" s="15" customFormat="1" x14ac:dyDescent="0.25"/>
    <row r="1677" s="15" customFormat="1" x14ac:dyDescent="0.25"/>
    <row r="1678" s="15" customFormat="1" x14ac:dyDescent="0.25"/>
    <row r="1679" s="15" customFormat="1" x14ac:dyDescent="0.25"/>
    <row r="1680" s="15" customFormat="1" x14ac:dyDescent="0.25"/>
    <row r="1681" s="15" customFormat="1" x14ac:dyDescent="0.25"/>
    <row r="1682" s="15" customFormat="1" x14ac:dyDescent="0.25"/>
    <row r="1683" s="15" customFormat="1" x14ac:dyDescent="0.25"/>
    <row r="1684" s="15" customFormat="1" x14ac:dyDescent="0.25"/>
    <row r="1685" s="15" customFormat="1" x14ac:dyDescent="0.25"/>
    <row r="1686" s="15" customFormat="1" x14ac:dyDescent="0.25"/>
    <row r="1687" s="15" customFormat="1" x14ac:dyDescent="0.25"/>
    <row r="1688" s="15" customFormat="1" x14ac:dyDescent="0.25"/>
    <row r="1689" s="15" customFormat="1" x14ac:dyDescent="0.25"/>
    <row r="1690" s="15" customFormat="1" x14ac:dyDescent="0.25"/>
    <row r="1691" s="15" customFormat="1" x14ac:dyDescent="0.25"/>
    <row r="1692" s="15" customFormat="1" x14ac:dyDescent="0.25"/>
    <row r="1693" s="15" customFormat="1" x14ac:dyDescent="0.25"/>
    <row r="1694" s="15" customFormat="1" x14ac:dyDescent="0.25"/>
    <row r="1695" s="15" customFormat="1" x14ac:dyDescent="0.25"/>
    <row r="1696" s="15" customFormat="1" x14ac:dyDescent="0.25"/>
    <row r="1697" s="15" customFormat="1" x14ac:dyDescent="0.25"/>
    <row r="1698" s="15" customFormat="1" x14ac:dyDescent="0.25"/>
    <row r="1699" s="15" customFormat="1" x14ac:dyDescent="0.25"/>
    <row r="1700" s="15" customFormat="1" x14ac:dyDescent="0.25"/>
    <row r="1701" s="15" customFormat="1" x14ac:dyDescent="0.25"/>
    <row r="1702" s="15" customFormat="1" x14ac:dyDescent="0.25"/>
    <row r="1703" s="15" customFormat="1" x14ac:dyDescent="0.25"/>
    <row r="1704" s="15" customFormat="1" x14ac:dyDescent="0.25"/>
    <row r="1705" s="15" customFormat="1" x14ac:dyDescent="0.25"/>
    <row r="1706" s="15" customFormat="1" x14ac:dyDescent="0.25"/>
    <row r="1707" s="15" customFormat="1" x14ac:dyDescent="0.25"/>
    <row r="1708" s="15" customFormat="1" x14ac:dyDescent="0.25"/>
    <row r="1709" s="15" customFormat="1" x14ac:dyDescent="0.25"/>
    <row r="1710" s="15" customFormat="1" x14ac:dyDescent="0.25"/>
    <row r="1711" s="15" customFormat="1" x14ac:dyDescent="0.25"/>
    <row r="1712" s="15" customFormat="1" x14ac:dyDescent="0.25"/>
    <row r="1713" s="15" customFormat="1" x14ac:dyDescent="0.25"/>
    <row r="1714" s="15" customFormat="1" x14ac:dyDescent="0.25"/>
    <row r="1715" s="15" customFormat="1" x14ac:dyDescent="0.25"/>
    <row r="1716" s="15" customFormat="1" x14ac:dyDescent="0.25"/>
    <row r="1717" s="15" customFormat="1" x14ac:dyDescent="0.25"/>
    <row r="1718" s="15" customFormat="1" x14ac:dyDescent="0.25"/>
    <row r="1719" s="15" customFormat="1" x14ac:dyDescent="0.25"/>
    <row r="1720" s="15" customFormat="1" x14ac:dyDescent="0.25"/>
    <row r="1721" s="15" customFormat="1" x14ac:dyDescent="0.25"/>
    <row r="1722" s="15" customFormat="1" x14ac:dyDescent="0.25"/>
    <row r="1723" s="15" customFormat="1" x14ac:dyDescent="0.25"/>
    <row r="1724" s="15" customFormat="1" x14ac:dyDescent="0.25"/>
    <row r="1725" s="15" customFormat="1" x14ac:dyDescent="0.25"/>
    <row r="1726" s="15" customFormat="1" x14ac:dyDescent="0.25"/>
    <row r="1727" s="15" customFormat="1" x14ac:dyDescent="0.25"/>
    <row r="1728" s="15" customFormat="1" x14ac:dyDescent="0.25"/>
    <row r="1729" s="15" customFormat="1" x14ac:dyDescent="0.25"/>
    <row r="1730" s="15" customFormat="1" x14ac:dyDescent="0.25"/>
    <row r="1731" s="15" customFormat="1" x14ac:dyDescent="0.25"/>
    <row r="1732" s="15" customFormat="1" x14ac:dyDescent="0.25"/>
    <row r="1733" s="15" customFormat="1" x14ac:dyDescent="0.25"/>
    <row r="1734" s="15" customFormat="1" x14ac:dyDescent="0.25"/>
    <row r="1735" s="15" customFormat="1" x14ac:dyDescent="0.25"/>
    <row r="1736" s="15" customFormat="1" x14ac:dyDescent="0.25"/>
    <row r="1737" s="15" customFormat="1" x14ac:dyDescent="0.25"/>
    <row r="1738" s="15" customFormat="1" x14ac:dyDescent="0.25"/>
    <row r="1739" s="15" customFormat="1" x14ac:dyDescent="0.25"/>
    <row r="1740" s="15" customFormat="1" x14ac:dyDescent="0.25"/>
    <row r="1741" s="15" customFormat="1" x14ac:dyDescent="0.25"/>
    <row r="1742" s="15" customFormat="1" x14ac:dyDescent="0.25"/>
    <row r="1743" s="15" customFormat="1" x14ac:dyDescent="0.25"/>
    <row r="1744" s="15" customFormat="1" x14ac:dyDescent="0.25"/>
    <row r="1745" s="15" customFormat="1" x14ac:dyDescent="0.25"/>
    <row r="1746" s="15" customFormat="1" x14ac:dyDescent="0.25"/>
    <row r="1747" s="15" customFormat="1" x14ac:dyDescent="0.25"/>
    <row r="1748" s="15" customFormat="1" x14ac:dyDescent="0.25"/>
    <row r="1749" s="15" customFormat="1" x14ac:dyDescent="0.25"/>
    <row r="1750" s="15" customFormat="1" x14ac:dyDescent="0.25"/>
    <row r="1751" s="15" customFormat="1" x14ac:dyDescent="0.25"/>
    <row r="1752" s="15" customFormat="1" x14ac:dyDescent="0.25"/>
    <row r="1753" s="15" customFormat="1" x14ac:dyDescent="0.25"/>
    <row r="1754" s="15" customFormat="1" x14ac:dyDescent="0.25"/>
    <row r="1755" s="15" customFormat="1" x14ac:dyDescent="0.25"/>
    <row r="1756" s="15" customFormat="1" x14ac:dyDescent="0.25"/>
    <row r="1757" s="15" customFormat="1" x14ac:dyDescent="0.25"/>
    <row r="1758" s="15" customFormat="1" x14ac:dyDescent="0.25"/>
    <row r="1759" s="15" customFormat="1" x14ac:dyDescent="0.25"/>
    <row r="1760" s="15" customFormat="1" x14ac:dyDescent="0.25"/>
    <row r="1761" s="15" customFormat="1" x14ac:dyDescent="0.25"/>
    <row r="1762" s="15" customFormat="1" x14ac:dyDescent="0.25"/>
    <row r="1763" s="15" customFormat="1" x14ac:dyDescent="0.25"/>
    <row r="1764" s="15" customFormat="1" x14ac:dyDescent="0.25"/>
    <row r="1765" s="15" customFormat="1" x14ac:dyDescent="0.25"/>
    <row r="1766" s="15" customFormat="1" x14ac:dyDescent="0.25"/>
    <row r="1767" s="15" customFormat="1" x14ac:dyDescent="0.25"/>
    <row r="1768" s="15" customFormat="1" x14ac:dyDescent="0.25"/>
    <row r="1769" s="15" customFormat="1" x14ac:dyDescent="0.25"/>
    <row r="1770" s="15" customFormat="1" x14ac:dyDescent="0.25"/>
    <row r="1771" s="15" customFormat="1" x14ac:dyDescent="0.25"/>
    <row r="1772" s="15" customFormat="1" x14ac:dyDescent="0.25"/>
    <row r="1773" s="15" customFormat="1" x14ac:dyDescent="0.25"/>
    <row r="1774" s="15" customFormat="1" x14ac:dyDescent="0.25"/>
    <row r="1775" s="15" customFormat="1" x14ac:dyDescent="0.25"/>
    <row r="1776" s="15" customFormat="1" x14ac:dyDescent="0.25"/>
    <row r="1777" s="15" customFormat="1" x14ac:dyDescent="0.25"/>
    <row r="1778" s="15" customFormat="1" x14ac:dyDescent="0.25"/>
    <row r="1779" s="15" customFormat="1" x14ac:dyDescent="0.25"/>
    <row r="1780" s="15" customFormat="1" x14ac:dyDescent="0.25"/>
    <row r="1781" s="15" customFormat="1" x14ac:dyDescent="0.25"/>
    <row r="1782" s="15" customFormat="1" x14ac:dyDescent="0.25"/>
    <row r="1783" s="15" customFormat="1" x14ac:dyDescent="0.25"/>
    <row r="1784" s="15" customFormat="1" x14ac:dyDescent="0.25"/>
    <row r="1785" s="15" customFormat="1" x14ac:dyDescent="0.25"/>
    <row r="1786" s="15" customFormat="1" x14ac:dyDescent="0.25"/>
    <row r="1787" s="15" customFormat="1" x14ac:dyDescent="0.25"/>
    <row r="1788" s="15" customFormat="1" x14ac:dyDescent="0.25"/>
    <row r="1789" s="15" customFormat="1" x14ac:dyDescent="0.25"/>
    <row r="1790" s="15" customFormat="1" x14ac:dyDescent="0.25"/>
    <row r="1791" s="15" customFormat="1" x14ac:dyDescent="0.25"/>
    <row r="1792" s="15" customFormat="1" x14ac:dyDescent="0.25"/>
    <row r="1793" s="15" customFormat="1" x14ac:dyDescent="0.25"/>
    <row r="1794" s="15" customFormat="1" x14ac:dyDescent="0.25"/>
    <row r="1795" s="15" customFormat="1" x14ac:dyDescent="0.25"/>
    <row r="1796" s="15" customFormat="1" x14ac:dyDescent="0.25"/>
    <row r="1797" s="15" customFormat="1" x14ac:dyDescent="0.25"/>
    <row r="1798" s="15" customFormat="1" x14ac:dyDescent="0.25"/>
    <row r="1799" s="15" customFormat="1" x14ac:dyDescent="0.25"/>
    <row r="1800" s="15" customFormat="1" x14ac:dyDescent="0.25"/>
    <row r="1801" s="15" customFormat="1" x14ac:dyDescent="0.25"/>
    <row r="1802" s="15" customFormat="1" x14ac:dyDescent="0.25"/>
    <row r="1803" s="15" customFormat="1" x14ac:dyDescent="0.25"/>
    <row r="1804" s="15" customFormat="1" x14ac:dyDescent="0.25"/>
    <row r="1805" s="15" customFormat="1" x14ac:dyDescent="0.25"/>
    <row r="1806" s="15" customFormat="1" x14ac:dyDescent="0.25"/>
    <row r="1807" s="15" customFormat="1" x14ac:dyDescent="0.25"/>
    <row r="1808" s="15" customFormat="1" x14ac:dyDescent="0.25"/>
    <row r="1809" s="15" customFormat="1" x14ac:dyDescent="0.25"/>
    <row r="1810" s="15" customFormat="1" x14ac:dyDescent="0.25"/>
    <row r="1811" s="15" customFormat="1" x14ac:dyDescent="0.25"/>
    <row r="1812" s="15" customFormat="1" x14ac:dyDescent="0.25"/>
    <row r="1813" s="15" customFormat="1" x14ac:dyDescent="0.25"/>
    <row r="1814" s="15" customFormat="1" x14ac:dyDescent="0.25"/>
    <row r="1815" s="15" customFormat="1" x14ac:dyDescent="0.25"/>
    <row r="1816" s="15" customFormat="1" x14ac:dyDescent="0.25"/>
    <row r="1817" s="15" customFormat="1" x14ac:dyDescent="0.25"/>
    <row r="1818" s="15" customFormat="1" x14ac:dyDescent="0.25"/>
    <row r="1819" s="15" customFormat="1" x14ac:dyDescent="0.25"/>
    <row r="1820" s="15" customFormat="1" x14ac:dyDescent="0.25"/>
    <row r="1821" s="15" customFormat="1" x14ac:dyDescent="0.25"/>
    <row r="1822" s="15" customFormat="1" x14ac:dyDescent="0.25"/>
    <row r="1823" s="15" customFormat="1" x14ac:dyDescent="0.25"/>
    <row r="1824" s="15" customFormat="1" x14ac:dyDescent="0.25"/>
    <row r="1825" s="15" customFormat="1" x14ac:dyDescent="0.25"/>
    <row r="1826" s="15" customFormat="1" x14ac:dyDescent="0.25"/>
    <row r="1827" s="15" customFormat="1" x14ac:dyDescent="0.25"/>
    <row r="1828" s="15" customFormat="1" x14ac:dyDescent="0.25"/>
    <row r="1829" s="15" customFormat="1" x14ac:dyDescent="0.25"/>
    <row r="1830" s="15" customFormat="1" x14ac:dyDescent="0.25"/>
    <row r="1831" s="15" customFormat="1" x14ac:dyDescent="0.25"/>
    <row r="1832" s="15" customFormat="1" x14ac:dyDescent="0.25"/>
    <row r="1833" s="15" customFormat="1" x14ac:dyDescent="0.25"/>
    <row r="1834" s="15" customFormat="1" x14ac:dyDescent="0.25"/>
    <row r="1835" s="15" customFormat="1" x14ac:dyDescent="0.25"/>
    <row r="1836" s="15" customFormat="1" x14ac:dyDescent="0.25"/>
    <row r="1837" s="15" customFormat="1" x14ac:dyDescent="0.25"/>
    <row r="1838" s="15" customFormat="1" x14ac:dyDescent="0.25"/>
    <row r="1839" s="15" customFormat="1" x14ac:dyDescent="0.25"/>
    <row r="1840" s="15" customFormat="1" x14ac:dyDescent="0.25"/>
    <row r="1841" s="15" customFormat="1" x14ac:dyDescent="0.25"/>
    <row r="1842" s="15" customFormat="1" x14ac:dyDescent="0.25"/>
    <row r="1843" s="15" customFormat="1" x14ac:dyDescent="0.25"/>
    <row r="1844" s="15" customFormat="1" x14ac:dyDescent="0.25"/>
    <row r="1845" s="15" customFormat="1" x14ac:dyDescent="0.25"/>
    <row r="1846" s="15" customFormat="1" x14ac:dyDescent="0.25"/>
    <row r="1847" s="15" customFormat="1" x14ac:dyDescent="0.25"/>
    <row r="1848" s="15" customFormat="1" x14ac:dyDescent="0.25"/>
    <row r="1849" s="15" customFormat="1" x14ac:dyDescent="0.25"/>
    <row r="1850" s="15" customFormat="1" x14ac:dyDescent="0.25"/>
    <row r="1851" s="15" customFormat="1" x14ac:dyDescent="0.25"/>
    <row r="1852" s="15" customFormat="1" x14ac:dyDescent="0.25"/>
    <row r="1853" s="15" customFormat="1" x14ac:dyDescent="0.25"/>
    <row r="1854" s="15" customFormat="1" x14ac:dyDescent="0.25"/>
    <row r="1855" s="15" customFormat="1" x14ac:dyDescent="0.25"/>
    <row r="1856" s="15" customFormat="1" x14ac:dyDescent="0.25"/>
    <row r="1857" s="15" customFormat="1" x14ac:dyDescent="0.25"/>
    <row r="1858" s="15" customFormat="1" x14ac:dyDescent="0.25"/>
    <row r="1859" s="15" customFormat="1" x14ac:dyDescent="0.25"/>
    <row r="1860" s="15" customFormat="1" x14ac:dyDescent="0.25"/>
    <row r="1861" s="15" customFormat="1" x14ac:dyDescent="0.25"/>
    <row r="1862" s="15" customFormat="1" x14ac:dyDescent="0.25"/>
    <row r="1863" s="15" customFormat="1" x14ac:dyDescent="0.25"/>
    <row r="1864" s="15" customFormat="1" x14ac:dyDescent="0.25"/>
    <row r="1865" s="15" customFormat="1" x14ac:dyDescent="0.25"/>
    <row r="1866" s="15" customFormat="1" x14ac:dyDescent="0.25"/>
    <row r="1867" s="15" customFormat="1" x14ac:dyDescent="0.25"/>
    <row r="1868" s="15" customFormat="1" x14ac:dyDescent="0.25"/>
    <row r="1869" s="15" customFormat="1" x14ac:dyDescent="0.25"/>
    <row r="1870" s="15" customFormat="1" x14ac:dyDescent="0.25"/>
    <row r="1871" s="15" customFormat="1" x14ac:dyDescent="0.25"/>
    <row r="1872" s="15" customFormat="1" x14ac:dyDescent="0.25"/>
    <row r="1873" s="15" customFormat="1" x14ac:dyDescent="0.25"/>
    <row r="1874" s="15" customFormat="1" x14ac:dyDescent="0.25"/>
    <row r="1875" s="15" customFormat="1" x14ac:dyDescent="0.25"/>
    <row r="1876" s="15" customFormat="1" x14ac:dyDescent="0.25"/>
    <row r="1877" s="15" customFormat="1" x14ac:dyDescent="0.25"/>
    <row r="1878" s="15" customFormat="1" x14ac:dyDescent="0.25"/>
    <row r="1879" s="15" customFormat="1" x14ac:dyDescent="0.25"/>
    <row r="1880" s="15" customFormat="1" x14ac:dyDescent="0.25"/>
    <row r="1881" s="15" customFormat="1" x14ac:dyDescent="0.25"/>
    <row r="1882" s="15" customFormat="1" x14ac:dyDescent="0.25"/>
    <row r="1883" s="15" customFormat="1" x14ac:dyDescent="0.25"/>
    <row r="1884" s="15" customFormat="1" x14ac:dyDescent="0.25"/>
    <row r="1885" s="15" customFormat="1" x14ac:dyDescent="0.25"/>
    <row r="1886" s="15" customFormat="1" x14ac:dyDescent="0.25"/>
    <row r="1887" s="15" customFormat="1" x14ac:dyDescent="0.25"/>
    <row r="1888" s="15" customFormat="1" x14ac:dyDescent="0.25"/>
    <row r="1889" s="15" customFormat="1" x14ac:dyDescent="0.25"/>
    <row r="1890" s="15" customFormat="1" x14ac:dyDescent="0.25"/>
    <row r="1891" s="15" customFormat="1" x14ac:dyDescent="0.25"/>
    <row r="1892" s="15" customFormat="1" x14ac:dyDescent="0.25"/>
    <row r="1893" s="15" customFormat="1" x14ac:dyDescent="0.25"/>
    <row r="1894" s="15" customFormat="1" x14ac:dyDescent="0.25"/>
    <row r="1895" s="15" customFormat="1" x14ac:dyDescent="0.25"/>
    <row r="1896" s="15" customFormat="1" x14ac:dyDescent="0.25"/>
    <row r="1897" s="15" customFormat="1" x14ac:dyDescent="0.25"/>
    <row r="1898" s="15" customFormat="1" x14ac:dyDescent="0.25"/>
    <row r="1899" s="15" customFormat="1" x14ac:dyDescent="0.25"/>
    <row r="1900" s="15" customFormat="1" x14ac:dyDescent="0.25"/>
    <row r="1901" s="15" customFormat="1" x14ac:dyDescent="0.25"/>
    <row r="1902" s="15" customFormat="1" x14ac:dyDescent="0.25"/>
    <row r="1903" s="15" customFormat="1" x14ac:dyDescent="0.25"/>
    <row r="1904" s="15" customFormat="1" x14ac:dyDescent="0.25"/>
    <row r="1905" s="15" customFormat="1" x14ac:dyDescent="0.25"/>
    <row r="1906" s="15" customFormat="1" x14ac:dyDescent="0.25"/>
    <row r="1907" s="15" customFormat="1" x14ac:dyDescent="0.25"/>
    <row r="1908" s="15" customFormat="1" x14ac:dyDescent="0.25"/>
    <row r="1909" s="15" customFormat="1" x14ac:dyDescent="0.25"/>
    <row r="1910" s="15" customFormat="1" x14ac:dyDescent="0.25"/>
    <row r="1911" s="15" customFormat="1" x14ac:dyDescent="0.25"/>
    <row r="1912" s="15" customFormat="1" x14ac:dyDescent="0.25"/>
    <row r="1913" s="15" customFormat="1" x14ac:dyDescent="0.25"/>
    <row r="1914" s="15" customFormat="1" x14ac:dyDescent="0.25"/>
    <row r="1915" s="15" customFormat="1" x14ac:dyDescent="0.25"/>
    <row r="1916" s="15" customFormat="1" x14ac:dyDescent="0.25"/>
    <row r="1917" s="15" customFormat="1" x14ac:dyDescent="0.25"/>
    <row r="1918" s="15" customFormat="1" x14ac:dyDescent="0.25"/>
    <row r="1919" s="15" customFormat="1" x14ac:dyDescent="0.25"/>
    <row r="1920" s="15" customFormat="1" x14ac:dyDescent="0.25"/>
    <row r="1921" s="15" customFormat="1" x14ac:dyDescent="0.25"/>
    <row r="1922" s="15" customFormat="1" x14ac:dyDescent="0.25"/>
    <row r="1923" s="15" customFormat="1" x14ac:dyDescent="0.25"/>
    <row r="1924" s="15" customFormat="1" x14ac:dyDescent="0.25"/>
    <row r="1925" s="15" customFormat="1" x14ac:dyDescent="0.25"/>
    <row r="1926" s="15" customFormat="1" x14ac:dyDescent="0.25"/>
    <row r="1927" s="15" customFormat="1" x14ac:dyDescent="0.25"/>
    <row r="1928" s="15" customFormat="1" x14ac:dyDescent="0.25"/>
    <row r="1929" s="15" customFormat="1" x14ac:dyDescent="0.25"/>
    <row r="1930" s="15" customFormat="1" x14ac:dyDescent="0.25"/>
    <row r="1931" s="15" customFormat="1" x14ac:dyDescent="0.25"/>
    <row r="1932" s="15" customFormat="1" x14ac:dyDescent="0.25"/>
    <row r="1933" s="15" customFormat="1" x14ac:dyDescent="0.25"/>
    <row r="1934" s="15" customFormat="1" x14ac:dyDescent="0.25"/>
    <row r="1935" s="15" customFormat="1" x14ac:dyDescent="0.25"/>
    <row r="1936" s="15" customFormat="1" x14ac:dyDescent="0.25"/>
    <row r="1937" s="15" customFormat="1" x14ac:dyDescent="0.25"/>
    <row r="1938" s="15" customFormat="1" x14ac:dyDescent="0.25"/>
    <row r="1939" s="15" customFormat="1" x14ac:dyDescent="0.25"/>
    <row r="1940" s="15" customFormat="1" x14ac:dyDescent="0.25"/>
    <row r="1941" s="15" customFormat="1" x14ac:dyDescent="0.25"/>
    <row r="1942" s="15" customFormat="1" x14ac:dyDescent="0.25"/>
    <row r="1943" s="15" customFormat="1" x14ac:dyDescent="0.25"/>
    <row r="1944" s="15" customFormat="1" x14ac:dyDescent="0.25"/>
    <row r="1945" s="15" customFormat="1" x14ac:dyDescent="0.25"/>
    <row r="1946" s="15" customFormat="1" x14ac:dyDescent="0.25"/>
    <row r="1947" s="15" customFormat="1" x14ac:dyDescent="0.25"/>
    <row r="1948" s="15" customFormat="1" x14ac:dyDescent="0.25"/>
    <row r="1949" s="15" customFormat="1" x14ac:dyDescent="0.25"/>
    <row r="1950" s="15" customFormat="1" x14ac:dyDescent="0.25"/>
    <row r="1951" s="15" customFormat="1" x14ac:dyDescent="0.25"/>
    <row r="1952" s="15" customFormat="1" x14ac:dyDescent="0.25"/>
    <row r="1953" s="15" customFormat="1" x14ac:dyDescent="0.25"/>
    <row r="1954" s="15" customFormat="1" x14ac:dyDescent="0.25"/>
    <row r="1955" s="15" customFormat="1" x14ac:dyDescent="0.25"/>
    <row r="1956" s="15" customFormat="1" x14ac:dyDescent="0.25"/>
    <row r="1957" s="15" customFormat="1" x14ac:dyDescent="0.25"/>
    <row r="1958" s="15" customFormat="1" x14ac:dyDescent="0.25"/>
    <row r="1959" s="15" customFormat="1" x14ac:dyDescent="0.25"/>
    <row r="1960" s="15" customFormat="1" x14ac:dyDescent="0.25"/>
    <row r="1961" s="15" customFormat="1" x14ac:dyDescent="0.25"/>
    <row r="1962" s="15" customFormat="1" x14ac:dyDescent="0.25"/>
    <row r="1963" s="15" customFormat="1" x14ac:dyDescent="0.25"/>
    <row r="1964" s="15" customFormat="1" x14ac:dyDescent="0.25"/>
    <row r="1965" s="15" customFormat="1" x14ac:dyDescent="0.25"/>
    <row r="1966" s="15" customFormat="1" x14ac:dyDescent="0.25"/>
    <row r="1967" s="15" customFormat="1" x14ac:dyDescent="0.25"/>
    <row r="1968" s="15" customFormat="1" x14ac:dyDescent="0.25"/>
    <row r="1969" s="15" customFormat="1" x14ac:dyDescent="0.25"/>
    <row r="1970" s="15" customFormat="1" x14ac:dyDescent="0.25"/>
    <row r="1971" s="15" customFormat="1" x14ac:dyDescent="0.25"/>
    <row r="1972" s="15" customFormat="1" x14ac:dyDescent="0.25"/>
    <row r="1973" s="15" customFormat="1" x14ac:dyDescent="0.25"/>
    <row r="1974" s="15" customFormat="1" x14ac:dyDescent="0.25"/>
    <row r="1975" s="15" customFormat="1" x14ac:dyDescent="0.25"/>
    <row r="1976" s="15" customFormat="1" x14ac:dyDescent="0.25"/>
    <row r="1977" s="15" customFormat="1" x14ac:dyDescent="0.25"/>
    <row r="1978" s="15" customFormat="1" x14ac:dyDescent="0.25"/>
    <row r="1979" s="15" customFormat="1" x14ac:dyDescent="0.25"/>
    <row r="1980" s="15" customFormat="1" x14ac:dyDescent="0.25"/>
    <row r="1981" s="15" customFormat="1" x14ac:dyDescent="0.25"/>
    <row r="1982" s="15" customFormat="1" x14ac:dyDescent="0.25"/>
    <row r="1983" s="15" customFormat="1" x14ac:dyDescent="0.25"/>
    <row r="1984" s="15" customFormat="1" x14ac:dyDescent="0.25"/>
    <row r="1985" s="15" customFormat="1" x14ac:dyDescent="0.25"/>
    <row r="1986" s="15" customFormat="1" x14ac:dyDescent="0.25"/>
    <row r="1987" s="15" customFormat="1" x14ac:dyDescent="0.25"/>
    <row r="1988" s="15" customFormat="1" x14ac:dyDescent="0.25"/>
    <row r="1989" s="15" customFormat="1" x14ac:dyDescent="0.25"/>
    <row r="1990" s="15" customFormat="1" x14ac:dyDescent="0.25"/>
    <row r="1991" s="15" customFormat="1" x14ac:dyDescent="0.25"/>
    <row r="1992" s="15" customFormat="1" x14ac:dyDescent="0.25"/>
    <row r="1993" s="15" customFormat="1" x14ac:dyDescent="0.25"/>
    <row r="1994" s="15" customFormat="1" x14ac:dyDescent="0.25"/>
    <row r="1995" s="15" customFormat="1" x14ac:dyDescent="0.25"/>
    <row r="1996" s="15" customFormat="1" x14ac:dyDescent="0.25"/>
    <row r="1997" s="15" customFormat="1" x14ac:dyDescent="0.25"/>
    <row r="1998" s="15" customFormat="1" x14ac:dyDescent="0.25"/>
    <row r="1999" s="15" customFormat="1" x14ac:dyDescent="0.25"/>
    <row r="2000" s="15" customFormat="1" x14ac:dyDescent="0.25"/>
    <row r="2001" s="15" customFormat="1" x14ac:dyDescent="0.25"/>
    <row r="2002" s="15" customFormat="1" x14ac:dyDescent="0.25"/>
    <row r="2003" s="15" customFormat="1" x14ac:dyDescent="0.25"/>
    <row r="2004" s="15" customFormat="1" x14ac:dyDescent="0.25"/>
    <row r="2005" s="15" customFormat="1" x14ac:dyDescent="0.25"/>
    <row r="2006" s="15" customFormat="1" x14ac:dyDescent="0.25"/>
    <row r="2007" s="15" customFormat="1" x14ac:dyDescent="0.25"/>
    <row r="2008" s="15" customFormat="1" x14ac:dyDescent="0.25"/>
    <row r="2009" s="15" customFormat="1" x14ac:dyDescent="0.25"/>
    <row r="2010" s="15" customFormat="1" x14ac:dyDescent="0.25"/>
    <row r="2011" s="15" customFormat="1" x14ac:dyDescent="0.25"/>
    <row r="2012" s="15" customFormat="1" x14ac:dyDescent="0.25"/>
    <row r="2013" s="15" customFormat="1" x14ac:dyDescent="0.25"/>
    <row r="2014" s="15" customFormat="1" x14ac:dyDescent="0.25"/>
    <row r="2015" s="15" customFormat="1" x14ac:dyDescent="0.25"/>
    <row r="2016" s="15" customFormat="1" x14ac:dyDescent="0.25"/>
    <row r="2017" s="15" customFormat="1" x14ac:dyDescent="0.25"/>
    <row r="2018" s="15" customFormat="1" x14ac:dyDescent="0.25"/>
    <row r="2019" s="15" customFormat="1" x14ac:dyDescent="0.25"/>
    <row r="2020" s="15" customFormat="1" x14ac:dyDescent="0.25"/>
    <row r="2021" s="15" customFormat="1" x14ac:dyDescent="0.25"/>
    <row r="2022" s="15" customFormat="1" x14ac:dyDescent="0.25"/>
    <row r="2023" s="15" customFormat="1" x14ac:dyDescent="0.25"/>
    <row r="2024" s="15" customFormat="1" x14ac:dyDescent="0.25"/>
    <row r="2025" s="15" customFormat="1" x14ac:dyDescent="0.25"/>
    <row r="2026" s="15" customFormat="1" x14ac:dyDescent="0.25"/>
    <row r="2027" s="15" customFormat="1" x14ac:dyDescent="0.25"/>
    <row r="2028" s="15" customFormat="1" x14ac:dyDescent="0.25"/>
    <row r="2029" s="15" customFormat="1" x14ac:dyDescent="0.25"/>
    <row r="2030" s="15" customFormat="1" x14ac:dyDescent="0.25"/>
    <row r="2031" s="15" customFormat="1" x14ac:dyDescent="0.25"/>
    <row r="2032" s="15" customFormat="1" x14ac:dyDescent="0.25"/>
    <row r="2033" s="15" customFormat="1" x14ac:dyDescent="0.25"/>
    <row r="2034" s="15" customFormat="1" x14ac:dyDescent="0.25"/>
    <row r="2035" s="15" customFormat="1" x14ac:dyDescent="0.25"/>
    <row r="2036" s="15" customFormat="1" x14ac:dyDescent="0.25"/>
    <row r="2037" s="15" customFormat="1" x14ac:dyDescent="0.25"/>
    <row r="2038" s="15" customFormat="1" x14ac:dyDescent="0.25"/>
    <row r="2039" s="15" customFormat="1" x14ac:dyDescent="0.25"/>
    <row r="2040" s="15" customFormat="1" x14ac:dyDescent="0.25"/>
    <row r="2041" s="15" customFormat="1" x14ac:dyDescent="0.25"/>
    <row r="2042" s="15" customFormat="1" x14ac:dyDescent="0.25"/>
    <row r="2043" s="15" customFormat="1" x14ac:dyDescent="0.25"/>
    <row r="2044" s="15" customFormat="1" x14ac:dyDescent="0.25"/>
    <row r="2045" s="15" customFormat="1" x14ac:dyDescent="0.25"/>
    <row r="2046" s="15" customFormat="1" x14ac:dyDescent="0.25"/>
    <row r="2047" s="15" customFormat="1" x14ac:dyDescent="0.25"/>
    <row r="2048" s="15" customFormat="1" x14ac:dyDescent="0.25"/>
    <row r="2049" s="15" customFormat="1" x14ac:dyDescent="0.25"/>
    <row r="2050" s="15" customFormat="1" x14ac:dyDescent="0.25"/>
    <row r="2051" s="15" customFormat="1" x14ac:dyDescent="0.25"/>
    <row r="2052" s="15" customFormat="1" x14ac:dyDescent="0.25"/>
    <row r="2053" s="15" customFormat="1" x14ac:dyDescent="0.25"/>
    <row r="2054" s="15" customFormat="1" x14ac:dyDescent="0.25"/>
    <row r="2055" s="15" customFormat="1" x14ac:dyDescent="0.25"/>
    <row r="2056" s="15" customFormat="1" x14ac:dyDescent="0.25"/>
    <row r="2057" s="15" customFormat="1" x14ac:dyDescent="0.25"/>
    <row r="2058" s="15" customFormat="1" x14ac:dyDescent="0.25"/>
    <row r="2059" s="15" customFormat="1" x14ac:dyDescent="0.25"/>
    <row r="2060" s="15" customFormat="1" x14ac:dyDescent="0.25"/>
    <row r="2061" s="15" customFormat="1" x14ac:dyDescent="0.25"/>
    <row r="2062" s="15" customFormat="1" x14ac:dyDescent="0.25"/>
    <row r="2063" s="15" customFormat="1" x14ac:dyDescent="0.25"/>
    <row r="2064" s="15" customFormat="1" x14ac:dyDescent="0.25"/>
    <row r="2065" s="15" customFormat="1" x14ac:dyDescent="0.25"/>
    <row r="2066" s="15" customFormat="1" x14ac:dyDescent="0.25"/>
    <row r="2067" s="15" customFormat="1" x14ac:dyDescent="0.25"/>
    <row r="2068" s="15" customFormat="1" x14ac:dyDescent="0.25"/>
    <row r="2069" s="15" customFormat="1" x14ac:dyDescent="0.25"/>
    <row r="2070" s="15" customFormat="1" x14ac:dyDescent="0.25"/>
    <row r="2071" s="15" customFormat="1" x14ac:dyDescent="0.25"/>
    <row r="2072" s="15" customFormat="1" x14ac:dyDescent="0.25"/>
    <row r="2073" s="15" customFormat="1" x14ac:dyDescent="0.25"/>
    <row r="2074" s="15" customFormat="1" x14ac:dyDescent="0.25"/>
    <row r="2075" s="15" customFormat="1" x14ac:dyDescent="0.25"/>
    <row r="2076" s="15" customFormat="1" x14ac:dyDescent="0.25"/>
    <row r="2077" s="15" customFormat="1" x14ac:dyDescent="0.25"/>
    <row r="2078" s="15" customFormat="1" x14ac:dyDescent="0.25"/>
    <row r="2079" s="15" customFormat="1" x14ac:dyDescent="0.25"/>
    <row r="2080" s="15" customFormat="1" x14ac:dyDescent="0.25"/>
    <row r="2081" s="15" customFormat="1" x14ac:dyDescent="0.25"/>
    <row r="2082" s="15" customFormat="1" x14ac:dyDescent="0.25"/>
    <row r="2083" s="15" customFormat="1" x14ac:dyDescent="0.25"/>
    <row r="2084" s="15" customFormat="1" x14ac:dyDescent="0.25"/>
    <row r="2085" s="15" customFormat="1" x14ac:dyDescent="0.25"/>
    <row r="2086" s="15" customFormat="1" x14ac:dyDescent="0.25"/>
    <row r="2087" s="15" customFormat="1" x14ac:dyDescent="0.25"/>
    <row r="2088" s="15" customFormat="1" x14ac:dyDescent="0.25"/>
    <row r="2089" s="15" customFormat="1" x14ac:dyDescent="0.25"/>
    <row r="2090" s="15" customFormat="1" x14ac:dyDescent="0.25"/>
    <row r="2091" s="15" customFormat="1" x14ac:dyDescent="0.25"/>
    <row r="2092" s="15" customFormat="1" x14ac:dyDescent="0.25"/>
    <row r="2093" s="15" customFormat="1" x14ac:dyDescent="0.25"/>
    <row r="2094" s="15" customFormat="1" x14ac:dyDescent="0.25"/>
    <row r="2095" s="15" customFormat="1" x14ac:dyDescent="0.25"/>
    <row r="2096" s="15" customFormat="1" x14ac:dyDescent="0.25"/>
    <row r="2097" s="15" customFormat="1" x14ac:dyDescent="0.25"/>
    <row r="2098" s="15" customFormat="1" x14ac:dyDescent="0.25"/>
    <row r="2099" s="15" customFormat="1" x14ac:dyDescent="0.25"/>
    <row r="2100" s="15" customFormat="1" x14ac:dyDescent="0.25"/>
    <row r="2101" s="15" customFormat="1" x14ac:dyDescent="0.25"/>
    <row r="2102" s="15" customFormat="1" x14ac:dyDescent="0.25"/>
    <row r="2103" s="15" customFormat="1" x14ac:dyDescent="0.25"/>
    <row r="2104" s="15" customFormat="1" x14ac:dyDescent="0.25"/>
    <row r="2105" s="15" customFormat="1" x14ac:dyDescent="0.25"/>
    <row r="2106" s="15" customFormat="1" x14ac:dyDescent="0.25"/>
    <row r="2107" s="15" customFormat="1" x14ac:dyDescent="0.25"/>
    <row r="2108" s="15" customFormat="1" x14ac:dyDescent="0.25"/>
    <row r="2109" s="15" customFormat="1" x14ac:dyDescent="0.25"/>
    <row r="2110" s="15" customFormat="1" x14ac:dyDescent="0.25"/>
    <row r="2111" s="15" customFormat="1" x14ac:dyDescent="0.25"/>
    <row r="2112" s="15" customFormat="1" x14ac:dyDescent="0.25"/>
    <row r="2113" s="15" customFormat="1" x14ac:dyDescent="0.25"/>
    <row r="2114" s="15" customFormat="1" x14ac:dyDescent="0.25"/>
    <row r="2115" s="15" customFormat="1" x14ac:dyDescent="0.25"/>
    <row r="2116" s="15" customFormat="1" x14ac:dyDescent="0.25"/>
    <row r="2117" s="15" customFormat="1" x14ac:dyDescent="0.25"/>
    <row r="2118" s="15" customFormat="1" x14ac:dyDescent="0.25"/>
    <row r="2119" s="15" customFormat="1" x14ac:dyDescent="0.25"/>
    <row r="2120" s="15" customFormat="1" x14ac:dyDescent="0.25"/>
    <row r="2121" s="15" customFormat="1" x14ac:dyDescent="0.25"/>
    <row r="2122" s="15" customFormat="1" x14ac:dyDescent="0.25"/>
    <row r="2123" s="15" customFormat="1" x14ac:dyDescent="0.25"/>
    <row r="2124" s="15" customFormat="1" x14ac:dyDescent="0.25"/>
    <row r="2125" s="15" customFormat="1" x14ac:dyDescent="0.25"/>
    <row r="2126" s="15" customFormat="1" x14ac:dyDescent="0.25"/>
    <row r="2127" s="15" customFormat="1" x14ac:dyDescent="0.25"/>
    <row r="2128" s="15" customFormat="1" x14ac:dyDescent="0.25"/>
    <row r="2129" s="15" customFormat="1" x14ac:dyDescent="0.25"/>
    <row r="2130" s="15" customFormat="1" x14ac:dyDescent="0.25"/>
    <row r="2131" s="15" customFormat="1" x14ac:dyDescent="0.25"/>
    <row r="2132" s="15" customFormat="1" x14ac:dyDescent="0.25"/>
    <row r="2133" s="15" customFormat="1" x14ac:dyDescent="0.25"/>
    <row r="2134" s="15" customFormat="1" x14ac:dyDescent="0.25"/>
    <row r="2135" s="15" customFormat="1" x14ac:dyDescent="0.25"/>
    <row r="2136" s="15" customFormat="1" x14ac:dyDescent="0.25"/>
    <row r="2137" s="15" customFormat="1" x14ac:dyDescent="0.25"/>
    <row r="2138" s="15" customFormat="1" x14ac:dyDescent="0.25"/>
    <row r="2139" s="15" customFormat="1" x14ac:dyDescent="0.25"/>
    <row r="2140" s="15" customFormat="1" x14ac:dyDescent="0.25"/>
    <row r="2141" s="15" customFormat="1" x14ac:dyDescent="0.25"/>
    <row r="2142" s="15" customFormat="1" x14ac:dyDescent="0.25"/>
    <row r="2143" s="15" customFormat="1" x14ac:dyDescent="0.25"/>
    <row r="2144" s="15" customFormat="1" x14ac:dyDescent="0.25"/>
    <row r="2145" s="15" customFormat="1" x14ac:dyDescent="0.25"/>
    <row r="2146" s="15" customFormat="1" x14ac:dyDescent="0.25"/>
    <row r="2147" s="15" customFormat="1" x14ac:dyDescent="0.25"/>
    <row r="2148" s="15" customFormat="1" x14ac:dyDescent="0.25"/>
    <row r="2149" s="15" customFormat="1" x14ac:dyDescent="0.25"/>
    <row r="2150" s="15" customFormat="1" x14ac:dyDescent="0.25"/>
    <row r="2151" s="15" customFormat="1" x14ac:dyDescent="0.25"/>
    <row r="2152" s="15" customFormat="1" x14ac:dyDescent="0.25"/>
    <row r="2153" s="15" customFormat="1" x14ac:dyDescent="0.25"/>
    <row r="2154" s="15" customFormat="1" x14ac:dyDescent="0.25"/>
    <row r="2155" s="15" customFormat="1" x14ac:dyDescent="0.25"/>
    <row r="2156" s="15" customFormat="1" x14ac:dyDescent="0.25"/>
    <row r="2157" s="15" customFormat="1" x14ac:dyDescent="0.25"/>
    <row r="2158" s="15" customFormat="1" x14ac:dyDescent="0.25"/>
    <row r="2159" s="15" customFormat="1" x14ac:dyDescent="0.25"/>
    <row r="2160" s="15" customFormat="1" x14ac:dyDescent="0.25"/>
    <row r="2161" s="15" customFormat="1" x14ac:dyDescent="0.25"/>
    <row r="2162" s="15" customFormat="1" x14ac:dyDescent="0.25"/>
    <row r="2163" s="15" customFormat="1" x14ac:dyDescent="0.25"/>
    <row r="2164" s="15" customFormat="1" x14ac:dyDescent="0.25"/>
    <row r="2165" s="15" customFormat="1" x14ac:dyDescent="0.25"/>
    <row r="2166" s="15" customFormat="1" x14ac:dyDescent="0.25"/>
    <row r="2167" s="15" customFormat="1" x14ac:dyDescent="0.25"/>
    <row r="2168" s="15" customFormat="1" x14ac:dyDescent="0.25"/>
    <row r="2169" s="15" customFormat="1" x14ac:dyDescent="0.25"/>
    <row r="2170" s="15" customFormat="1" x14ac:dyDescent="0.25"/>
    <row r="2171" s="15" customFormat="1" x14ac:dyDescent="0.25"/>
    <row r="2172" s="15" customFormat="1" x14ac:dyDescent="0.25"/>
    <row r="2173" s="15" customFormat="1" x14ac:dyDescent="0.25"/>
    <row r="2174" s="15" customFormat="1" x14ac:dyDescent="0.25"/>
    <row r="2175" s="15" customFormat="1" x14ac:dyDescent="0.25"/>
    <row r="2176" s="15" customFormat="1" x14ac:dyDescent="0.25"/>
    <row r="2177" s="15" customFormat="1" x14ac:dyDescent="0.25"/>
    <row r="2178" s="15" customFormat="1" x14ac:dyDescent="0.25"/>
    <row r="2179" s="15" customFormat="1" x14ac:dyDescent="0.25"/>
    <row r="2180" s="15" customFormat="1" x14ac:dyDescent="0.25"/>
    <row r="2181" s="15" customFormat="1" x14ac:dyDescent="0.25"/>
    <row r="2182" s="15" customFormat="1" x14ac:dyDescent="0.25"/>
    <row r="2183" s="15" customFormat="1" x14ac:dyDescent="0.25"/>
    <row r="2184" s="15" customFormat="1" x14ac:dyDescent="0.25"/>
    <row r="2185" s="15" customFormat="1" x14ac:dyDescent="0.25"/>
    <row r="2186" s="15" customFormat="1" x14ac:dyDescent="0.25"/>
    <row r="2187" s="15" customFormat="1" x14ac:dyDescent="0.25"/>
    <row r="2188" s="15" customFormat="1" x14ac:dyDescent="0.25"/>
    <row r="2189" s="15" customFormat="1" x14ac:dyDescent="0.25"/>
    <row r="2190" s="15" customFormat="1" x14ac:dyDescent="0.25"/>
    <row r="2191" s="15" customFormat="1" x14ac:dyDescent="0.25"/>
    <row r="2192" s="15" customFormat="1" x14ac:dyDescent="0.25"/>
    <row r="2193" s="15" customFormat="1" x14ac:dyDescent="0.25"/>
    <row r="2194" s="15" customFormat="1" x14ac:dyDescent="0.25"/>
    <row r="2195" s="15" customFormat="1" x14ac:dyDescent="0.25"/>
    <row r="2196" s="15" customFormat="1" x14ac:dyDescent="0.25"/>
    <row r="2197" s="15" customFormat="1" x14ac:dyDescent="0.25"/>
    <row r="2198" s="15" customFormat="1" x14ac:dyDescent="0.25"/>
    <row r="2199" s="15" customFormat="1" x14ac:dyDescent="0.25"/>
    <row r="2200" s="15" customFormat="1" x14ac:dyDescent="0.25"/>
    <row r="2201" s="15" customFormat="1" x14ac:dyDescent="0.25"/>
    <row r="2202" s="15" customFormat="1" x14ac:dyDescent="0.25"/>
    <row r="2203" s="15" customFormat="1" x14ac:dyDescent="0.25"/>
    <row r="2204" s="15" customFormat="1" x14ac:dyDescent="0.25"/>
    <row r="2205" s="15" customFormat="1" x14ac:dyDescent="0.25"/>
    <row r="2206" s="15" customFormat="1" x14ac:dyDescent="0.25"/>
    <row r="2207" s="15" customFormat="1" x14ac:dyDescent="0.25"/>
    <row r="2208" s="15" customFormat="1" x14ac:dyDescent="0.25"/>
    <row r="2209" s="15" customFormat="1" x14ac:dyDescent="0.25"/>
    <row r="2210" s="15" customFormat="1" x14ac:dyDescent="0.25"/>
    <row r="2211" s="15" customFormat="1" x14ac:dyDescent="0.25"/>
    <row r="2212" s="15" customFormat="1" x14ac:dyDescent="0.25"/>
    <row r="2213" s="15" customFormat="1" x14ac:dyDescent="0.25"/>
    <row r="2214" s="15" customFormat="1" x14ac:dyDescent="0.25"/>
    <row r="2215" s="15" customFormat="1" x14ac:dyDescent="0.25"/>
    <row r="2216" s="15" customFormat="1" x14ac:dyDescent="0.25"/>
    <row r="2217" s="15" customFormat="1" x14ac:dyDescent="0.25"/>
    <row r="2218" s="15" customFormat="1" x14ac:dyDescent="0.25"/>
    <row r="2219" s="15" customFormat="1" x14ac:dyDescent="0.25"/>
    <row r="2220" s="15" customFormat="1" x14ac:dyDescent="0.25"/>
    <row r="2221" s="15" customFormat="1" x14ac:dyDescent="0.25"/>
    <row r="2222" s="15" customFormat="1" x14ac:dyDescent="0.25"/>
    <row r="2223" s="15" customFormat="1" x14ac:dyDescent="0.25"/>
    <row r="2224" s="15" customFormat="1" x14ac:dyDescent="0.25"/>
    <row r="2225" s="15" customFormat="1" x14ac:dyDescent="0.25"/>
    <row r="2226" s="15" customFormat="1" x14ac:dyDescent="0.25"/>
    <row r="2227" s="15" customFormat="1" x14ac:dyDescent="0.25"/>
    <row r="2228" s="15" customFormat="1" x14ac:dyDescent="0.25"/>
    <row r="2229" s="15" customFormat="1" x14ac:dyDescent="0.25"/>
    <row r="2230" s="15" customFormat="1" x14ac:dyDescent="0.25"/>
    <row r="2231" s="15" customFormat="1" x14ac:dyDescent="0.25"/>
    <row r="2232" s="15" customFormat="1" x14ac:dyDescent="0.25"/>
    <row r="2233" s="15" customFormat="1" x14ac:dyDescent="0.25"/>
    <row r="2234" s="15" customFormat="1" x14ac:dyDescent="0.25"/>
    <row r="2235" s="15" customFormat="1" x14ac:dyDescent="0.25"/>
    <row r="2236" s="15" customFormat="1" x14ac:dyDescent="0.25"/>
    <row r="2237" s="15" customFormat="1" x14ac:dyDescent="0.25"/>
    <row r="2238" s="15" customFormat="1" x14ac:dyDescent="0.25"/>
    <row r="2239" s="15" customFormat="1" x14ac:dyDescent="0.25"/>
    <row r="2240" s="15" customFormat="1" x14ac:dyDescent="0.25"/>
    <row r="2241" s="15" customFormat="1" x14ac:dyDescent="0.25"/>
    <row r="2242" s="15" customFormat="1" x14ac:dyDescent="0.25"/>
    <row r="2243" s="15" customFormat="1" x14ac:dyDescent="0.25"/>
    <row r="2244" s="15" customFormat="1" x14ac:dyDescent="0.25"/>
    <row r="2245" s="15" customFormat="1" x14ac:dyDescent="0.25"/>
    <row r="2246" s="15" customFormat="1" x14ac:dyDescent="0.25"/>
    <row r="2247" s="15" customFormat="1" x14ac:dyDescent="0.25"/>
    <row r="2248" s="15" customFormat="1" x14ac:dyDescent="0.25"/>
    <row r="2249" s="15" customFormat="1" x14ac:dyDescent="0.25"/>
    <row r="2250" s="15" customFormat="1" x14ac:dyDescent="0.25"/>
    <row r="2251" s="15" customFormat="1" x14ac:dyDescent="0.25"/>
    <row r="2252" s="15" customFormat="1" x14ac:dyDescent="0.25"/>
    <row r="2253" s="15" customFormat="1" x14ac:dyDescent="0.25"/>
    <row r="2254" s="15" customFormat="1" x14ac:dyDescent="0.25"/>
    <row r="2255" s="15" customFormat="1" x14ac:dyDescent="0.25"/>
    <row r="2256" s="15" customFormat="1" x14ac:dyDescent="0.25"/>
    <row r="2257" s="15" customFormat="1" x14ac:dyDescent="0.25"/>
    <row r="2258" s="15" customFormat="1" x14ac:dyDescent="0.25"/>
    <row r="2259" s="15" customFormat="1" x14ac:dyDescent="0.25"/>
    <row r="2260" s="15" customFormat="1" x14ac:dyDescent="0.25"/>
    <row r="2261" s="15" customFormat="1" x14ac:dyDescent="0.25"/>
    <row r="2262" s="15" customFormat="1" x14ac:dyDescent="0.25"/>
    <row r="2263" s="15" customFormat="1" x14ac:dyDescent="0.25"/>
    <row r="2264" s="15" customFormat="1" x14ac:dyDescent="0.25"/>
    <row r="2265" s="15" customFormat="1" x14ac:dyDescent="0.25"/>
    <row r="2266" s="15" customFormat="1" x14ac:dyDescent="0.25"/>
    <row r="2267" s="15" customFormat="1" x14ac:dyDescent="0.25"/>
    <row r="2268" s="15" customFormat="1" x14ac:dyDescent="0.25"/>
    <row r="2269" s="15" customFormat="1" x14ac:dyDescent="0.25"/>
    <row r="2270" s="15" customFormat="1" x14ac:dyDescent="0.25"/>
    <row r="2271" s="15" customFormat="1" x14ac:dyDescent="0.25"/>
    <row r="2272" s="15" customFormat="1" x14ac:dyDescent="0.25"/>
    <row r="2273" s="15" customFormat="1" x14ac:dyDescent="0.25"/>
    <row r="2274" s="15" customFormat="1" x14ac:dyDescent="0.25"/>
    <row r="2275" s="15" customFormat="1" x14ac:dyDescent="0.25"/>
    <row r="2276" s="15" customFormat="1" x14ac:dyDescent="0.25"/>
    <row r="2277" s="15" customFormat="1" x14ac:dyDescent="0.25"/>
    <row r="2278" s="15" customFormat="1" x14ac:dyDescent="0.25"/>
    <row r="2279" s="15" customFormat="1" x14ac:dyDescent="0.25"/>
    <row r="2280" s="15" customFormat="1" x14ac:dyDescent="0.25"/>
    <row r="2281" s="15" customFormat="1" x14ac:dyDescent="0.25"/>
    <row r="2282" s="15" customFormat="1" x14ac:dyDescent="0.25"/>
    <row r="2283" s="15" customFormat="1" x14ac:dyDescent="0.25"/>
    <row r="2284" s="15" customFormat="1" x14ac:dyDescent="0.25"/>
    <row r="2285" s="15" customFormat="1" x14ac:dyDescent="0.25"/>
    <row r="2286" s="15" customFormat="1" x14ac:dyDescent="0.25"/>
    <row r="2287" s="15" customFormat="1" x14ac:dyDescent="0.25"/>
    <row r="2288" s="15" customFormat="1" x14ac:dyDescent="0.25"/>
    <row r="2289" s="15" customFormat="1" x14ac:dyDescent="0.25"/>
    <row r="2290" s="15" customFormat="1" x14ac:dyDescent="0.25"/>
    <row r="2291" s="15" customFormat="1" x14ac:dyDescent="0.25"/>
    <row r="2292" s="15" customFormat="1" x14ac:dyDescent="0.25"/>
    <row r="2293" s="15" customFormat="1" x14ac:dyDescent="0.25"/>
    <row r="2294" s="15" customFormat="1" x14ac:dyDescent="0.25"/>
    <row r="2295" s="15" customFormat="1" x14ac:dyDescent="0.25"/>
    <row r="2296" s="15" customFormat="1" x14ac:dyDescent="0.25"/>
    <row r="2297" s="15" customFormat="1" x14ac:dyDescent="0.25"/>
    <row r="2298" s="15" customFormat="1" x14ac:dyDescent="0.25"/>
    <row r="2299" s="15" customFormat="1" x14ac:dyDescent="0.25"/>
    <row r="2300" s="15" customFormat="1" x14ac:dyDescent="0.25"/>
    <row r="2301" s="15" customFormat="1" x14ac:dyDescent="0.25"/>
    <row r="2302" s="15" customFormat="1" x14ac:dyDescent="0.25"/>
    <row r="2303" s="15" customFormat="1" x14ac:dyDescent="0.25"/>
    <row r="2304" s="15" customFormat="1" x14ac:dyDescent="0.25"/>
    <row r="2305" s="15" customFormat="1" x14ac:dyDescent="0.25"/>
    <row r="2306" s="15" customFormat="1" x14ac:dyDescent="0.25"/>
    <row r="2307" s="15" customFormat="1" x14ac:dyDescent="0.25"/>
    <row r="2308" s="15" customFormat="1" x14ac:dyDescent="0.25"/>
    <row r="2309" s="15" customFormat="1" x14ac:dyDescent="0.25"/>
    <row r="2310" s="15" customFormat="1" x14ac:dyDescent="0.25"/>
    <row r="2311" s="15" customFormat="1" x14ac:dyDescent="0.25"/>
    <row r="2312" s="15" customFormat="1" x14ac:dyDescent="0.25"/>
    <row r="2313" s="15" customFormat="1" x14ac:dyDescent="0.25"/>
    <row r="2314" s="15" customFormat="1" x14ac:dyDescent="0.25"/>
    <row r="2315" s="15" customFormat="1" x14ac:dyDescent="0.25"/>
    <row r="2316" s="15" customFormat="1" x14ac:dyDescent="0.25"/>
    <row r="2317" s="15" customFormat="1" x14ac:dyDescent="0.25"/>
    <row r="2318" s="15" customFormat="1" x14ac:dyDescent="0.25"/>
    <row r="2319" s="15" customFormat="1" x14ac:dyDescent="0.25"/>
    <row r="2320" s="15" customFormat="1" x14ac:dyDescent="0.25"/>
    <row r="2321" s="15" customFormat="1" x14ac:dyDescent="0.25"/>
    <row r="2322" s="15" customFormat="1" x14ac:dyDescent="0.25"/>
    <row r="2323" s="15" customFormat="1" x14ac:dyDescent="0.25"/>
    <row r="2324" s="15" customFormat="1" x14ac:dyDescent="0.25"/>
    <row r="2325" s="15" customFormat="1" x14ac:dyDescent="0.25"/>
    <row r="2326" s="15" customFormat="1" x14ac:dyDescent="0.25"/>
    <row r="2327" s="15" customFormat="1" x14ac:dyDescent="0.25"/>
    <row r="2328" s="15" customFormat="1" x14ac:dyDescent="0.25"/>
    <row r="2329" s="15" customFormat="1" x14ac:dyDescent="0.25"/>
    <row r="2330" s="15" customFormat="1" x14ac:dyDescent="0.25"/>
    <row r="2331" s="15" customFormat="1" x14ac:dyDescent="0.25"/>
    <row r="2332" s="15" customFormat="1" x14ac:dyDescent="0.25"/>
    <row r="2333" s="15" customFormat="1" x14ac:dyDescent="0.25"/>
    <row r="2334" s="15" customFormat="1" x14ac:dyDescent="0.25"/>
    <row r="2335" s="15" customFormat="1" x14ac:dyDescent="0.25"/>
    <row r="2336" s="15" customFormat="1" x14ac:dyDescent="0.25"/>
    <row r="2337" s="15" customFormat="1" x14ac:dyDescent="0.25"/>
    <row r="2338" s="15" customFormat="1" x14ac:dyDescent="0.25"/>
    <row r="2339" s="15" customFormat="1" x14ac:dyDescent="0.25"/>
    <row r="2340" s="15" customFormat="1" x14ac:dyDescent="0.25"/>
    <row r="2341" s="15" customFormat="1" x14ac:dyDescent="0.25"/>
    <row r="2342" s="15" customFormat="1" x14ac:dyDescent="0.25"/>
    <row r="2343" s="15" customFormat="1" x14ac:dyDescent="0.25"/>
    <row r="2344" s="15" customFormat="1" x14ac:dyDescent="0.25"/>
    <row r="2345" s="15" customFormat="1" x14ac:dyDescent="0.25"/>
    <row r="2346" s="15" customFormat="1" x14ac:dyDescent="0.25"/>
    <row r="2347" s="15" customFormat="1" x14ac:dyDescent="0.25"/>
    <row r="2348" s="15" customFormat="1" x14ac:dyDescent="0.25"/>
    <row r="2349" s="15" customFormat="1" x14ac:dyDescent="0.25"/>
    <row r="2350" s="15" customFormat="1" x14ac:dyDescent="0.25"/>
    <row r="2351" s="15" customFormat="1" x14ac:dyDescent="0.25"/>
    <row r="2352" s="15" customFormat="1" x14ac:dyDescent="0.25"/>
    <row r="2353" s="15" customFormat="1" x14ac:dyDescent="0.25"/>
    <row r="2354" s="15" customFormat="1" x14ac:dyDescent="0.25"/>
    <row r="2355" s="15" customFormat="1" x14ac:dyDescent="0.25"/>
    <row r="2356" s="15" customFormat="1" x14ac:dyDescent="0.25"/>
    <row r="2357" s="15" customFormat="1" x14ac:dyDescent="0.25"/>
    <row r="2358" s="15" customFormat="1" x14ac:dyDescent="0.25"/>
    <row r="2359" s="15" customFormat="1" x14ac:dyDescent="0.25"/>
    <row r="2360" s="15" customFormat="1" x14ac:dyDescent="0.25"/>
    <row r="2361" s="15" customFormat="1" x14ac:dyDescent="0.25"/>
    <row r="2362" s="15" customFormat="1" x14ac:dyDescent="0.25"/>
    <row r="2363" s="15" customFormat="1" x14ac:dyDescent="0.25"/>
    <row r="2364" s="15" customFormat="1" x14ac:dyDescent="0.25"/>
    <row r="2365" s="15" customFormat="1" x14ac:dyDescent="0.25"/>
    <row r="2366" s="15" customFormat="1" x14ac:dyDescent="0.25"/>
    <row r="2367" s="15" customFormat="1" x14ac:dyDescent="0.25"/>
    <row r="2368" s="15" customFormat="1" x14ac:dyDescent="0.25"/>
    <row r="2369" s="15" customFormat="1" x14ac:dyDescent="0.25"/>
    <row r="2370" s="15" customFormat="1" x14ac:dyDescent="0.25"/>
    <row r="2371" s="15" customFormat="1" x14ac:dyDescent="0.25"/>
    <row r="2372" s="15" customFormat="1" x14ac:dyDescent="0.25"/>
    <row r="2373" s="15" customFormat="1" x14ac:dyDescent="0.25"/>
    <row r="2374" s="15" customFormat="1" x14ac:dyDescent="0.25"/>
    <row r="2375" s="15" customFormat="1" x14ac:dyDescent="0.25"/>
    <row r="2376" s="15" customFormat="1" x14ac:dyDescent="0.25"/>
    <row r="2377" s="15" customFormat="1" x14ac:dyDescent="0.25"/>
    <row r="2378" s="15" customFormat="1" x14ac:dyDescent="0.25"/>
    <row r="2379" s="15" customFormat="1" x14ac:dyDescent="0.25"/>
    <row r="2380" s="15" customFormat="1" x14ac:dyDescent="0.25"/>
    <row r="2381" s="15" customFormat="1" x14ac:dyDescent="0.25"/>
    <row r="2382" s="15" customFormat="1" x14ac:dyDescent="0.25"/>
    <row r="2383" s="15" customFormat="1" x14ac:dyDescent="0.25"/>
    <row r="2384" s="15" customFormat="1" x14ac:dyDescent="0.25"/>
    <row r="2385" s="15" customFormat="1" x14ac:dyDescent="0.25"/>
    <row r="2386" s="15" customFormat="1" x14ac:dyDescent="0.25"/>
    <row r="2387" s="15" customFormat="1" x14ac:dyDescent="0.25"/>
    <row r="2388" s="15" customFormat="1" x14ac:dyDescent="0.25"/>
    <row r="2389" s="15" customFormat="1" x14ac:dyDescent="0.25"/>
    <row r="2390" s="15" customFormat="1" x14ac:dyDescent="0.25"/>
    <row r="2391" s="15" customFormat="1" x14ac:dyDescent="0.25"/>
    <row r="2392" s="15" customFormat="1" x14ac:dyDescent="0.25"/>
    <row r="2393" s="15" customFormat="1" x14ac:dyDescent="0.25"/>
    <row r="2394" s="15" customFormat="1" x14ac:dyDescent="0.25"/>
    <row r="2395" s="15" customFormat="1" x14ac:dyDescent="0.25"/>
    <row r="2396" s="15" customFormat="1" x14ac:dyDescent="0.25"/>
    <row r="2397" s="15" customFormat="1" x14ac:dyDescent="0.25"/>
    <row r="2398" s="15" customFormat="1" x14ac:dyDescent="0.25"/>
    <row r="2399" s="15" customFormat="1" x14ac:dyDescent="0.25"/>
    <row r="2400" s="15" customFormat="1" x14ac:dyDescent="0.25"/>
    <row r="2401" s="15" customFormat="1" x14ac:dyDescent="0.25"/>
    <row r="2402" s="15" customFormat="1" x14ac:dyDescent="0.25"/>
    <row r="2403" s="15" customFormat="1" x14ac:dyDescent="0.25"/>
    <row r="2404" s="15" customFormat="1" x14ac:dyDescent="0.25"/>
    <row r="2405" s="15" customFormat="1" x14ac:dyDescent="0.25"/>
    <row r="2406" s="15" customFormat="1" x14ac:dyDescent="0.25"/>
    <row r="2407" s="15" customFormat="1" x14ac:dyDescent="0.25"/>
    <row r="2408" s="15" customFormat="1" x14ac:dyDescent="0.25"/>
    <row r="2409" s="15" customFormat="1" x14ac:dyDescent="0.25"/>
    <row r="2410" s="15" customFormat="1" x14ac:dyDescent="0.25"/>
    <row r="2411" s="15" customFormat="1" x14ac:dyDescent="0.25"/>
    <row r="2412" s="15" customFormat="1" x14ac:dyDescent="0.25"/>
    <row r="2413" s="15" customFormat="1" x14ac:dyDescent="0.25"/>
    <row r="2414" s="15" customFormat="1" x14ac:dyDescent="0.25"/>
    <row r="2415" s="15" customFormat="1" x14ac:dyDescent="0.25"/>
    <row r="2416" s="15" customFormat="1" x14ac:dyDescent="0.25"/>
    <row r="2417" s="15" customFormat="1" x14ac:dyDescent="0.25"/>
    <row r="2418" s="15" customFormat="1" x14ac:dyDescent="0.25"/>
    <row r="2419" s="15" customFormat="1" x14ac:dyDescent="0.25"/>
    <row r="2420" s="15" customFormat="1" x14ac:dyDescent="0.25"/>
    <row r="2421" s="15" customFormat="1" x14ac:dyDescent="0.25"/>
    <row r="2422" s="15" customFormat="1" x14ac:dyDescent="0.25"/>
    <row r="2423" s="15" customFormat="1" x14ac:dyDescent="0.25"/>
    <row r="2424" s="15" customFormat="1" x14ac:dyDescent="0.25"/>
    <row r="2425" s="15" customFormat="1" x14ac:dyDescent="0.25"/>
    <row r="2426" s="15" customFormat="1" x14ac:dyDescent="0.25"/>
    <row r="2427" s="15" customFormat="1" x14ac:dyDescent="0.25"/>
    <row r="2428" s="15" customFormat="1" x14ac:dyDescent="0.25"/>
    <row r="2429" s="15" customFormat="1" x14ac:dyDescent="0.25"/>
    <row r="2430" s="15" customFormat="1" x14ac:dyDescent="0.25"/>
    <row r="2431" s="15" customFormat="1" x14ac:dyDescent="0.25"/>
    <row r="2432" s="15" customFormat="1" x14ac:dyDescent="0.25"/>
    <row r="2433" s="15" customFormat="1" x14ac:dyDescent="0.25"/>
    <row r="2434" s="15" customFormat="1" x14ac:dyDescent="0.25"/>
    <row r="2435" s="15" customFormat="1" x14ac:dyDescent="0.25"/>
    <row r="2436" s="15" customFormat="1" x14ac:dyDescent="0.25"/>
    <row r="2437" s="15" customFormat="1" x14ac:dyDescent="0.25"/>
    <row r="2438" s="15" customFormat="1" x14ac:dyDescent="0.25"/>
    <row r="2439" s="15" customFormat="1" x14ac:dyDescent="0.25"/>
    <row r="2440" s="15" customFormat="1" x14ac:dyDescent="0.25"/>
    <row r="2441" s="15" customFormat="1" x14ac:dyDescent="0.25"/>
    <row r="2442" s="15" customFormat="1" x14ac:dyDescent="0.25"/>
    <row r="2443" s="15" customFormat="1" x14ac:dyDescent="0.25"/>
    <row r="2444" s="15" customFormat="1" x14ac:dyDescent="0.25"/>
    <row r="2445" s="15" customFormat="1" x14ac:dyDescent="0.25"/>
    <row r="2446" s="15" customFormat="1" x14ac:dyDescent="0.25"/>
    <row r="2447" s="15" customFormat="1" x14ac:dyDescent="0.25"/>
    <row r="2448" s="15" customFormat="1" x14ac:dyDescent="0.25"/>
    <row r="2449" s="15" customFormat="1" x14ac:dyDescent="0.25"/>
    <row r="2450" s="15" customFormat="1" x14ac:dyDescent="0.25"/>
    <row r="2451" s="15" customFormat="1" x14ac:dyDescent="0.25"/>
    <row r="2452" s="15" customFormat="1" x14ac:dyDescent="0.25"/>
    <row r="2453" s="15" customFormat="1" x14ac:dyDescent="0.25"/>
    <row r="2454" s="15" customFormat="1" x14ac:dyDescent="0.25"/>
    <row r="2455" s="15" customFormat="1" x14ac:dyDescent="0.25"/>
    <row r="2456" s="15" customFormat="1" x14ac:dyDescent="0.25"/>
    <row r="2457" s="15" customFormat="1" x14ac:dyDescent="0.25"/>
    <row r="2458" s="15" customFormat="1" x14ac:dyDescent="0.25"/>
    <row r="2459" s="15" customFormat="1" x14ac:dyDescent="0.25"/>
    <row r="2460" s="15" customFormat="1" x14ac:dyDescent="0.25"/>
    <row r="2461" s="15" customFormat="1" x14ac:dyDescent="0.25"/>
    <row r="2462" s="15" customFormat="1" x14ac:dyDescent="0.25"/>
    <row r="2463" s="15" customFormat="1" x14ac:dyDescent="0.25"/>
    <row r="2464" s="15" customFormat="1" x14ac:dyDescent="0.25"/>
    <row r="2465" s="15" customFormat="1" x14ac:dyDescent="0.25"/>
    <row r="2466" s="15" customFormat="1" x14ac:dyDescent="0.25"/>
    <row r="2467" s="15" customFormat="1" x14ac:dyDescent="0.25"/>
    <row r="2468" s="15" customFormat="1" x14ac:dyDescent="0.25"/>
    <row r="2469" s="15" customFormat="1" x14ac:dyDescent="0.25"/>
    <row r="2470" s="15" customFormat="1" x14ac:dyDescent="0.25"/>
    <row r="2471" s="15" customFormat="1" x14ac:dyDescent="0.25"/>
    <row r="2472" s="15" customFormat="1" x14ac:dyDescent="0.25"/>
    <row r="2473" s="15" customFormat="1" x14ac:dyDescent="0.25"/>
    <row r="2474" s="15" customFormat="1" x14ac:dyDescent="0.25"/>
    <row r="2475" s="15" customFormat="1" x14ac:dyDescent="0.25"/>
    <row r="2476" s="15" customFormat="1" x14ac:dyDescent="0.25"/>
    <row r="2477" s="15" customFormat="1" x14ac:dyDescent="0.25"/>
    <row r="2478" s="15" customFormat="1" x14ac:dyDescent="0.25"/>
    <row r="2479" s="15" customFormat="1" x14ac:dyDescent="0.25"/>
    <row r="2480" s="15" customFormat="1" x14ac:dyDescent="0.25"/>
    <row r="2481" s="15" customFormat="1" x14ac:dyDescent="0.25"/>
    <row r="2482" s="15" customFormat="1" x14ac:dyDescent="0.25"/>
    <row r="2483" s="15" customFormat="1" x14ac:dyDescent="0.25"/>
    <row r="2484" s="15" customFormat="1" x14ac:dyDescent="0.25"/>
    <row r="2485" s="15" customFormat="1" x14ac:dyDescent="0.25"/>
    <row r="2486" s="15" customFormat="1" x14ac:dyDescent="0.25"/>
    <row r="2487" s="15" customFormat="1" x14ac:dyDescent="0.25"/>
    <row r="2488" s="15" customFormat="1" x14ac:dyDescent="0.25"/>
    <row r="2489" s="15" customFormat="1" x14ac:dyDescent="0.25"/>
    <row r="2490" s="15" customFormat="1" x14ac:dyDescent="0.25"/>
    <row r="2491" s="15" customFormat="1" x14ac:dyDescent="0.25"/>
    <row r="2492" s="15" customFormat="1" x14ac:dyDescent="0.25"/>
    <row r="2493" s="15" customFormat="1" x14ac:dyDescent="0.25"/>
    <row r="2494" s="15" customFormat="1" x14ac:dyDescent="0.25"/>
    <row r="2495" s="15" customFormat="1" x14ac:dyDescent="0.25"/>
    <row r="2496" s="15" customFormat="1" x14ac:dyDescent="0.25"/>
    <row r="2497" s="15" customFormat="1" x14ac:dyDescent="0.25"/>
    <row r="2498" s="15" customFormat="1" x14ac:dyDescent="0.25"/>
    <row r="2499" s="15" customFormat="1" x14ac:dyDescent="0.25"/>
    <row r="2500" s="15" customFormat="1" x14ac:dyDescent="0.25"/>
    <row r="2501" s="15" customFormat="1" x14ac:dyDescent="0.25"/>
    <row r="2502" s="15" customFormat="1" x14ac:dyDescent="0.25"/>
    <row r="2503" s="15" customFormat="1" x14ac:dyDescent="0.25"/>
    <row r="2504" s="15" customFormat="1" x14ac:dyDescent="0.25"/>
    <row r="2505" s="15" customFormat="1" x14ac:dyDescent="0.25"/>
    <row r="2506" s="15" customFormat="1" x14ac:dyDescent="0.25"/>
    <row r="2507" s="15" customFormat="1" x14ac:dyDescent="0.25"/>
    <row r="2508" s="15" customFormat="1" x14ac:dyDescent="0.25"/>
    <row r="2509" s="15" customFormat="1" x14ac:dyDescent="0.25"/>
    <row r="2510" s="15" customFormat="1" x14ac:dyDescent="0.25"/>
    <row r="2511" s="15" customFormat="1" x14ac:dyDescent="0.25"/>
    <row r="2512" s="15" customFormat="1" x14ac:dyDescent="0.25"/>
    <row r="2513" s="15" customFormat="1" x14ac:dyDescent="0.25"/>
    <row r="2514" s="15" customFormat="1" x14ac:dyDescent="0.25"/>
    <row r="2515" s="15" customFormat="1" x14ac:dyDescent="0.25"/>
    <row r="2516" s="15" customFormat="1" x14ac:dyDescent="0.25"/>
    <row r="2517" s="15" customFormat="1" x14ac:dyDescent="0.25"/>
    <row r="2518" s="15" customFormat="1" x14ac:dyDescent="0.25"/>
    <row r="2519" s="15" customFormat="1" x14ac:dyDescent="0.25"/>
    <row r="2520" s="15" customFormat="1" x14ac:dyDescent="0.25"/>
    <row r="2521" s="15" customFormat="1" x14ac:dyDescent="0.25"/>
    <row r="2522" s="15" customFormat="1" x14ac:dyDescent="0.25"/>
    <row r="2523" s="15" customFormat="1" x14ac:dyDescent="0.25"/>
    <row r="2524" s="15" customFormat="1" x14ac:dyDescent="0.25"/>
    <row r="2525" s="15" customFormat="1" x14ac:dyDescent="0.25"/>
    <row r="2526" s="15" customFormat="1" x14ac:dyDescent="0.25"/>
    <row r="2527" s="15" customFormat="1" x14ac:dyDescent="0.25"/>
    <row r="2528" s="15" customFormat="1" x14ac:dyDescent="0.25"/>
    <row r="2529" s="15" customFormat="1" x14ac:dyDescent="0.25"/>
    <row r="2530" s="15" customFormat="1" x14ac:dyDescent="0.25"/>
    <row r="2531" s="15" customFormat="1" x14ac:dyDescent="0.25"/>
    <row r="2532" s="15" customFormat="1" x14ac:dyDescent="0.25"/>
    <row r="2533" s="15" customFormat="1" x14ac:dyDescent="0.25"/>
    <row r="2534" s="15" customFormat="1" x14ac:dyDescent="0.25"/>
    <row r="2535" s="15" customFormat="1" x14ac:dyDescent="0.25"/>
    <row r="2536" s="15" customFormat="1" x14ac:dyDescent="0.25"/>
    <row r="2537" s="15" customFormat="1" x14ac:dyDescent="0.25"/>
    <row r="2538" s="15" customFormat="1" x14ac:dyDescent="0.25"/>
    <row r="2539" s="15" customFormat="1" x14ac:dyDescent="0.25"/>
    <row r="2540" s="15" customFormat="1" x14ac:dyDescent="0.25"/>
    <row r="2541" s="15" customFormat="1" x14ac:dyDescent="0.25"/>
    <row r="2542" s="15" customFormat="1" x14ac:dyDescent="0.25"/>
    <row r="2543" s="15" customFormat="1" x14ac:dyDescent="0.25"/>
    <row r="2544" s="15" customFormat="1" x14ac:dyDescent="0.25"/>
    <row r="2545" s="15" customFormat="1" x14ac:dyDescent="0.25"/>
    <row r="2546" s="15" customFormat="1" x14ac:dyDescent="0.25"/>
    <row r="2547" s="15" customFormat="1" x14ac:dyDescent="0.25"/>
    <row r="2548" s="15" customFormat="1" x14ac:dyDescent="0.25"/>
    <row r="2549" s="15" customFormat="1" x14ac:dyDescent="0.25"/>
    <row r="2550" s="15" customFormat="1" x14ac:dyDescent="0.25"/>
    <row r="2551" s="15" customFormat="1" x14ac:dyDescent="0.25"/>
    <row r="2552" s="15" customFormat="1" x14ac:dyDescent="0.25"/>
    <row r="2553" s="15" customFormat="1" x14ac:dyDescent="0.25"/>
    <row r="2554" s="15" customFormat="1" x14ac:dyDescent="0.25"/>
    <row r="2555" s="15" customFormat="1" x14ac:dyDescent="0.25"/>
    <row r="2556" s="15" customFormat="1" x14ac:dyDescent="0.25"/>
    <row r="2557" s="15" customFormat="1" x14ac:dyDescent="0.25"/>
    <row r="2558" s="15" customFormat="1" x14ac:dyDescent="0.25"/>
    <row r="2559" s="15" customFormat="1" x14ac:dyDescent="0.25"/>
    <row r="2560" s="15" customFormat="1" x14ac:dyDescent="0.25"/>
    <row r="2561" s="15" customFormat="1" x14ac:dyDescent="0.25"/>
    <row r="2562" s="15" customFormat="1" x14ac:dyDescent="0.25"/>
    <row r="2563" s="15" customFormat="1" x14ac:dyDescent="0.25"/>
    <row r="2564" s="15" customFormat="1" x14ac:dyDescent="0.25"/>
    <row r="2565" s="15" customFormat="1" x14ac:dyDescent="0.25"/>
    <row r="2566" s="15" customFormat="1" x14ac:dyDescent="0.25"/>
    <row r="2567" s="15" customFormat="1" x14ac:dyDescent="0.25"/>
    <row r="2568" s="15" customFormat="1" x14ac:dyDescent="0.25"/>
    <row r="2569" s="15" customFormat="1" x14ac:dyDescent="0.25"/>
    <row r="2570" s="15" customFormat="1" x14ac:dyDescent="0.25"/>
    <row r="2571" s="15" customFormat="1" x14ac:dyDescent="0.25"/>
    <row r="2572" s="15" customFormat="1" x14ac:dyDescent="0.25"/>
    <row r="2573" s="15" customFormat="1" x14ac:dyDescent="0.25"/>
    <row r="2574" s="15" customFormat="1" x14ac:dyDescent="0.25"/>
    <row r="2575" s="15" customFormat="1" x14ac:dyDescent="0.25"/>
    <row r="2576" s="15" customFormat="1" x14ac:dyDescent="0.25"/>
    <row r="2577" s="15" customFormat="1" x14ac:dyDescent="0.25"/>
    <row r="2578" s="15" customFormat="1" x14ac:dyDescent="0.25"/>
    <row r="2579" s="15" customFormat="1" x14ac:dyDescent="0.25"/>
    <row r="2580" s="15" customFormat="1" x14ac:dyDescent="0.25"/>
    <row r="2581" s="15" customFormat="1" x14ac:dyDescent="0.25"/>
    <row r="2582" s="15" customFormat="1" x14ac:dyDescent="0.25"/>
    <row r="2583" s="15" customFormat="1" x14ac:dyDescent="0.25"/>
    <row r="2584" s="15" customFormat="1" x14ac:dyDescent="0.25"/>
    <row r="2585" s="15" customFormat="1" x14ac:dyDescent="0.25"/>
    <row r="2586" s="15" customFormat="1" x14ac:dyDescent="0.25"/>
    <row r="2587" s="15" customFormat="1" x14ac:dyDescent="0.25"/>
    <row r="2588" s="15" customFormat="1" x14ac:dyDescent="0.25"/>
    <row r="2589" s="15" customFormat="1" x14ac:dyDescent="0.25"/>
    <row r="2590" s="15" customFormat="1" x14ac:dyDescent="0.25"/>
    <row r="2591" s="15" customFormat="1" x14ac:dyDescent="0.25"/>
    <row r="2592" s="15" customFormat="1" x14ac:dyDescent="0.25"/>
    <row r="2593" s="15" customFormat="1" x14ac:dyDescent="0.25"/>
    <row r="2594" s="15" customFormat="1" x14ac:dyDescent="0.25"/>
    <row r="2595" s="15" customFormat="1" x14ac:dyDescent="0.25"/>
    <row r="2596" s="15" customFormat="1" x14ac:dyDescent="0.25"/>
    <row r="2597" s="15" customFormat="1" x14ac:dyDescent="0.25"/>
    <row r="2598" s="15" customFormat="1" x14ac:dyDescent="0.25"/>
    <row r="2599" s="15" customFormat="1" x14ac:dyDescent="0.25"/>
    <row r="2600" s="15" customFormat="1" x14ac:dyDescent="0.25"/>
    <row r="2601" s="15" customFormat="1" x14ac:dyDescent="0.25"/>
    <row r="2602" s="15" customFormat="1" x14ac:dyDescent="0.25"/>
    <row r="2603" s="15" customFormat="1" x14ac:dyDescent="0.25"/>
    <row r="2604" s="15" customFormat="1" x14ac:dyDescent="0.25"/>
    <row r="2605" s="15" customFormat="1" x14ac:dyDescent="0.25"/>
    <row r="2606" s="15" customFormat="1" x14ac:dyDescent="0.25"/>
    <row r="2607" s="15" customFormat="1" x14ac:dyDescent="0.25"/>
    <row r="2608" s="15" customFormat="1" x14ac:dyDescent="0.25"/>
    <row r="2609" s="15" customFormat="1" x14ac:dyDescent="0.25"/>
    <row r="2610" s="15" customFormat="1" x14ac:dyDescent="0.25"/>
    <row r="2611" s="15" customFormat="1" x14ac:dyDescent="0.25"/>
    <row r="2612" s="15" customFormat="1" x14ac:dyDescent="0.25"/>
    <row r="2613" s="15" customFormat="1" x14ac:dyDescent="0.25"/>
    <row r="2614" s="15" customFormat="1" x14ac:dyDescent="0.25"/>
    <row r="2615" s="15" customFormat="1" x14ac:dyDescent="0.25"/>
    <row r="2616" s="15" customFormat="1" x14ac:dyDescent="0.25"/>
    <row r="2617" s="15" customFormat="1" x14ac:dyDescent="0.25"/>
    <row r="2618" s="15" customFormat="1" x14ac:dyDescent="0.25"/>
    <row r="2619" s="15" customFormat="1" x14ac:dyDescent="0.25"/>
    <row r="2620" s="15" customFormat="1" x14ac:dyDescent="0.25"/>
    <row r="2621" s="15" customFormat="1" x14ac:dyDescent="0.25"/>
    <row r="2622" s="15" customFormat="1" x14ac:dyDescent="0.25"/>
    <row r="2623" s="15" customFormat="1" x14ac:dyDescent="0.25"/>
    <row r="2624" s="15" customFormat="1" x14ac:dyDescent="0.25"/>
    <row r="2625" s="15" customFormat="1" x14ac:dyDescent="0.25"/>
    <row r="2626" s="15" customFormat="1" x14ac:dyDescent="0.25"/>
    <row r="2627" s="15" customFormat="1" x14ac:dyDescent="0.25"/>
    <row r="2628" s="15" customFormat="1" x14ac:dyDescent="0.25"/>
    <row r="2629" s="15" customFormat="1" x14ac:dyDescent="0.25"/>
    <row r="2630" s="15" customFormat="1" x14ac:dyDescent="0.25"/>
    <row r="2631" s="15" customFormat="1" x14ac:dyDescent="0.25"/>
    <row r="2632" s="15" customFormat="1" x14ac:dyDescent="0.25"/>
    <row r="2633" s="15" customFormat="1" x14ac:dyDescent="0.25"/>
    <row r="2634" s="15" customFormat="1" x14ac:dyDescent="0.25"/>
    <row r="2635" s="15" customFormat="1" x14ac:dyDescent="0.25"/>
    <row r="2636" s="15" customFormat="1" x14ac:dyDescent="0.25"/>
    <row r="2637" s="15" customFormat="1" x14ac:dyDescent="0.25"/>
    <row r="2638" s="15" customFormat="1" x14ac:dyDescent="0.25"/>
    <row r="2639" s="15" customFormat="1" x14ac:dyDescent="0.25"/>
    <row r="2640" s="15" customFormat="1" x14ac:dyDescent="0.25"/>
    <row r="2641" s="15" customFormat="1" x14ac:dyDescent="0.25"/>
    <row r="2642" s="15" customFormat="1" x14ac:dyDescent="0.25"/>
    <row r="2643" s="15" customFormat="1" x14ac:dyDescent="0.25"/>
    <row r="2644" s="15" customFormat="1" x14ac:dyDescent="0.25"/>
    <row r="2645" s="15" customFormat="1" x14ac:dyDescent="0.25"/>
    <row r="2646" s="15" customFormat="1" x14ac:dyDescent="0.25"/>
    <row r="2647" s="15" customFormat="1" x14ac:dyDescent="0.25"/>
    <row r="2648" s="15" customFormat="1" x14ac:dyDescent="0.25"/>
    <row r="2649" s="15" customFormat="1" x14ac:dyDescent="0.25"/>
    <row r="2650" s="15" customFormat="1" x14ac:dyDescent="0.25"/>
    <row r="2651" s="15" customFormat="1" x14ac:dyDescent="0.25"/>
    <row r="2652" s="15" customFormat="1" x14ac:dyDescent="0.25"/>
    <row r="2653" s="15" customFormat="1" x14ac:dyDescent="0.25"/>
    <row r="2654" s="15" customFormat="1" x14ac:dyDescent="0.25"/>
    <row r="2655" s="15" customFormat="1" x14ac:dyDescent="0.25"/>
    <row r="2656" s="15" customFormat="1" x14ac:dyDescent="0.25"/>
    <row r="2657" s="15" customFormat="1" x14ac:dyDescent="0.25"/>
    <row r="2658" s="15" customFormat="1" x14ac:dyDescent="0.25"/>
    <row r="2659" s="15" customFormat="1" x14ac:dyDescent="0.25"/>
    <row r="2660" s="15" customFormat="1" x14ac:dyDescent="0.25"/>
    <row r="2661" s="15" customFormat="1" x14ac:dyDescent="0.25"/>
    <row r="2662" s="15" customFormat="1" x14ac:dyDescent="0.25"/>
    <row r="2663" s="15" customFormat="1" x14ac:dyDescent="0.25"/>
    <row r="2664" s="15" customFormat="1" x14ac:dyDescent="0.25"/>
    <row r="2665" s="15" customFormat="1" x14ac:dyDescent="0.25"/>
    <row r="2666" s="15" customFormat="1" x14ac:dyDescent="0.25"/>
    <row r="2667" s="15" customFormat="1" x14ac:dyDescent="0.25"/>
    <row r="2668" s="15" customFormat="1" x14ac:dyDescent="0.25"/>
    <row r="2669" s="15" customFormat="1" x14ac:dyDescent="0.25"/>
    <row r="2670" s="15" customFormat="1" x14ac:dyDescent="0.25"/>
    <row r="2671" s="15" customFormat="1" x14ac:dyDescent="0.25"/>
    <row r="2672" s="15" customFormat="1" x14ac:dyDescent="0.25"/>
    <row r="2673" s="15" customFormat="1" x14ac:dyDescent="0.25"/>
    <row r="2674" s="15" customFormat="1" x14ac:dyDescent="0.25"/>
    <row r="2675" s="15" customFormat="1" x14ac:dyDescent="0.25"/>
    <row r="2676" s="15" customFormat="1" x14ac:dyDescent="0.25"/>
    <row r="2677" s="15" customFormat="1" x14ac:dyDescent="0.25"/>
    <row r="2678" s="15" customFormat="1" x14ac:dyDescent="0.25"/>
    <row r="2679" s="15" customFormat="1" x14ac:dyDescent="0.25"/>
    <row r="2680" s="15" customFormat="1" x14ac:dyDescent="0.25"/>
    <row r="2681" s="15" customFormat="1" x14ac:dyDescent="0.25"/>
    <row r="2682" s="15" customFormat="1" x14ac:dyDescent="0.25"/>
    <row r="2683" s="15" customFormat="1" x14ac:dyDescent="0.25"/>
    <row r="2684" s="15" customFormat="1" x14ac:dyDescent="0.25"/>
    <row r="2685" s="15" customFormat="1" x14ac:dyDescent="0.25"/>
    <row r="2686" s="15" customFormat="1" x14ac:dyDescent="0.25"/>
    <row r="2687" s="15" customFormat="1" x14ac:dyDescent="0.25"/>
    <row r="2688" s="15" customFormat="1" x14ac:dyDescent="0.25"/>
    <row r="2689" s="15" customFormat="1" x14ac:dyDescent="0.25"/>
    <row r="2690" s="15" customFormat="1" x14ac:dyDescent="0.25"/>
    <row r="2691" s="15" customFormat="1" x14ac:dyDescent="0.25"/>
    <row r="2692" s="15" customFormat="1" x14ac:dyDescent="0.25"/>
    <row r="2693" s="15" customFormat="1" x14ac:dyDescent="0.25"/>
    <row r="2694" s="15" customFormat="1" x14ac:dyDescent="0.25"/>
    <row r="2695" s="15" customFormat="1" x14ac:dyDescent="0.25"/>
    <row r="2696" s="15" customFormat="1" x14ac:dyDescent="0.25"/>
    <row r="2697" s="15" customFormat="1" x14ac:dyDescent="0.25"/>
    <row r="2698" s="15" customFormat="1" x14ac:dyDescent="0.25"/>
    <row r="2699" s="15" customFormat="1" x14ac:dyDescent="0.25"/>
    <row r="2700" s="15" customFormat="1" x14ac:dyDescent="0.25"/>
    <row r="2701" s="15" customFormat="1" x14ac:dyDescent="0.25"/>
    <row r="2702" s="15" customFormat="1" x14ac:dyDescent="0.25"/>
    <row r="2703" s="15" customFormat="1" x14ac:dyDescent="0.25"/>
    <row r="2704" s="15" customFormat="1" x14ac:dyDescent="0.25"/>
    <row r="2705" s="15" customFormat="1" x14ac:dyDescent="0.25"/>
    <row r="2706" s="15" customFormat="1" x14ac:dyDescent="0.25"/>
    <row r="2707" s="15" customFormat="1" x14ac:dyDescent="0.25"/>
    <row r="2708" s="15" customFormat="1" x14ac:dyDescent="0.25"/>
    <row r="2709" s="15" customFormat="1" x14ac:dyDescent="0.25"/>
    <row r="2710" s="15" customFormat="1" x14ac:dyDescent="0.25"/>
    <row r="2711" s="15" customFormat="1" x14ac:dyDescent="0.25"/>
    <row r="2712" s="15" customFormat="1" x14ac:dyDescent="0.25"/>
    <row r="2713" s="15" customFormat="1" x14ac:dyDescent="0.25"/>
    <row r="2714" s="15" customFormat="1" x14ac:dyDescent="0.25"/>
    <row r="2715" s="15" customFormat="1" x14ac:dyDescent="0.25"/>
    <row r="2716" s="15" customFormat="1" x14ac:dyDescent="0.25"/>
    <row r="2717" s="15" customFormat="1" x14ac:dyDescent="0.25"/>
    <row r="2718" s="15" customFormat="1" x14ac:dyDescent="0.25"/>
    <row r="2719" s="15" customFormat="1" x14ac:dyDescent="0.25"/>
    <row r="2720" s="15" customFormat="1" x14ac:dyDescent="0.25"/>
    <row r="2721" s="15" customFormat="1" x14ac:dyDescent="0.25"/>
    <row r="2722" s="15" customFormat="1" x14ac:dyDescent="0.25"/>
    <row r="2723" s="15" customFormat="1" x14ac:dyDescent="0.25"/>
    <row r="2724" s="15" customFormat="1" x14ac:dyDescent="0.25"/>
    <row r="2725" s="15" customFormat="1" x14ac:dyDescent="0.25"/>
    <row r="2726" s="15" customFormat="1" x14ac:dyDescent="0.25"/>
    <row r="2727" s="15" customFormat="1" x14ac:dyDescent="0.25"/>
    <row r="2728" s="15" customFormat="1" x14ac:dyDescent="0.25"/>
    <row r="2729" s="15" customFormat="1" x14ac:dyDescent="0.25"/>
    <row r="2730" s="15" customFormat="1" x14ac:dyDescent="0.25"/>
    <row r="2731" s="15" customFormat="1" x14ac:dyDescent="0.25"/>
    <row r="2732" s="15" customFormat="1" x14ac:dyDescent="0.25"/>
    <row r="2733" s="15" customFormat="1" x14ac:dyDescent="0.25"/>
    <row r="2734" s="15" customFormat="1" x14ac:dyDescent="0.25"/>
    <row r="2735" s="15" customFormat="1" x14ac:dyDescent="0.25"/>
    <row r="2736" s="15" customFormat="1" x14ac:dyDescent="0.25"/>
    <row r="2737" s="15" customFormat="1" x14ac:dyDescent="0.25"/>
    <row r="2738" s="15" customFormat="1" x14ac:dyDescent="0.25"/>
    <row r="2739" s="15" customFormat="1" x14ac:dyDescent="0.25"/>
    <row r="2740" s="15" customFormat="1" x14ac:dyDescent="0.25"/>
    <row r="2741" s="15" customFormat="1" x14ac:dyDescent="0.25"/>
    <row r="2742" s="15" customFormat="1" x14ac:dyDescent="0.25"/>
    <row r="2743" s="15" customFormat="1" x14ac:dyDescent="0.25"/>
    <row r="2744" s="15" customFormat="1" x14ac:dyDescent="0.25"/>
    <row r="2745" s="15" customFormat="1" x14ac:dyDescent="0.25"/>
    <row r="2746" s="15" customFormat="1" x14ac:dyDescent="0.25"/>
    <row r="2747" s="15" customFormat="1" x14ac:dyDescent="0.25"/>
    <row r="2748" s="15" customFormat="1" x14ac:dyDescent="0.25"/>
    <row r="2749" s="15" customFormat="1" x14ac:dyDescent="0.25"/>
    <row r="2750" s="15" customFormat="1" x14ac:dyDescent="0.25"/>
    <row r="2751" s="15" customFormat="1" x14ac:dyDescent="0.25"/>
    <row r="2752" s="15" customFormat="1" x14ac:dyDescent="0.25"/>
    <row r="2753" s="15" customFormat="1" x14ac:dyDescent="0.25"/>
    <row r="2754" s="15" customFormat="1" x14ac:dyDescent="0.25"/>
    <row r="2755" s="15" customFormat="1" x14ac:dyDescent="0.25"/>
    <row r="2756" s="15" customFormat="1" x14ac:dyDescent="0.25"/>
    <row r="2757" s="15" customFormat="1" x14ac:dyDescent="0.25"/>
    <row r="2758" s="15" customFormat="1" x14ac:dyDescent="0.25"/>
    <row r="2759" s="15" customFormat="1" x14ac:dyDescent="0.25"/>
    <row r="2760" s="15" customFormat="1" x14ac:dyDescent="0.25"/>
    <row r="2761" s="15" customFormat="1" x14ac:dyDescent="0.25"/>
    <row r="2762" s="15" customFormat="1" x14ac:dyDescent="0.25"/>
    <row r="2763" s="15" customFormat="1" x14ac:dyDescent="0.25"/>
    <row r="2764" s="15" customFormat="1" x14ac:dyDescent="0.25"/>
    <row r="2765" s="15" customFormat="1" x14ac:dyDescent="0.25"/>
    <row r="2766" s="15" customFormat="1" x14ac:dyDescent="0.25"/>
    <row r="2767" s="15" customFormat="1" x14ac:dyDescent="0.25"/>
    <row r="2768" s="15" customFormat="1" x14ac:dyDescent="0.25"/>
    <row r="2769" s="15" customFormat="1" x14ac:dyDescent="0.25"/>
    <row r="2770" s="15" customFormat="1" x14ac:dyDescent="0.25"/>
    <row r="2771" s="15" customFormat="1" x14ac:dyDescent="0.25"/>
    <row r="2772" s="15" customFormat="1" x14ac:dyDescent="0.25"/>
    <row r="2773" s="15" customFormat="1" x14ac:dyDescent="0.25"/>
    <row r="2774" s="15" customFormat="1" x14ac:dyDescent="0.25"/>
    <row r="2775" s="15" customFormat="1" x14ac:dyDescent="0.25"/>
    <row r="2776" s="15" customFormat="1" x14ac:dyDescent="0.25"/>
    <row r="2777" s="15" customFormat="1" x14ac:dyDescent="0.25"/>
    <row r="2778" s="15" customFormat="1" x14ac:dyDescent="0.25"/>
    <row r="2779" s="15" customFormat="1" x14ac:dyDescent="0.25"/>
    <row r="2780" s="15" customFormat="1" x14ac:dyDescent="0.25"/>
    <row r="2781" s="15" customFormat="1" x14ac:dyDescent="0.25"/>
    <row r="2782" s="15" customFormat="1" x14ac:dyDescent="0.25"/>
    <row r="2783" s="15" customFormat="1" x14ac:dyDescent="0.25"/>
    <row r="2784" s="15" customFormat="1" x14ac:dyDescent="0.25"/>
    <row r="2785" s="15" customFormat="1" x14ac:dyDescent="0.25"/>
    <row r="2786" s="15" customFormat="1" x14ac:dyDescent="0.25"/>
    <row r="2787" s="15" customFormat="1" x14ac:dyDescent="0.25"/>
    <row r="2788" s="15" customFormat="1" x14ac:dyDescent="0.25"/>
    <row r="2789" s="15" customFormat="1" x14ac:dyDescent="0.25"/>
    <row r="2790" s="15" customFormat="1" x14ac:dyDescent="0.25"/>
    <row r="2791" s="15" customFormat="1" x14ac:dyDescent="0.25"/>
    <row r="2792" s="15" customFormat="1" x14ac:dyDescent="0.25"/>
    <row r="2793" s="15" customFormat="1" x14ac:dyDescent="0.25"/>
    <row r="2794" s="15" customFormat="1" x14ac:dyDescent="0.25"/>
    <row r="2795" s="15" customFormat="1" x14ac:dyDescent="0.25"/>
    <row r="2796" s="15" customFormat="1" x14ac:dyDescent="0.25"/>
    <row r="2797" s="15" customFormat="1" x14ac:dyDescent="0.25"/>
    <row r="2798" s="15" customFormat="1" x14ac:dyDescent="0.25"/>
    <row r="2799" s="15" customFormat="1" x14ac:dyDescent="0.25"/>
    <row r="2800" s="15" customFormat="1" x14ac:dyDescent="0.25"/>
    <row r="2801" s="15" customFormat="1" x14ac:dyDescent="0.25"/>
    <row r="2802" s="15" customFormat="1" x14ac:dyDescent="0.25"/>
    <row r="2803" s="15" customFormat="1" x14ac:dyDescent="0.25"/>
    <row r="2804" s="15" customFormat="1" x14ac:dyDescent="0.25"/>
    <row r="2805" s="15" customFormat="1" x14ac:dyDescent="0.25"/>
    <row r="2806" s="15" customFormat="1" x14ac:dyDescent="0.25"/>
    <row r="2807" s="15" customFormat="1" x14ac:dyDescent="0.25"/>
    <row r="2808" s="15" customFormat="1" x14ac:dyDescent="0.25"/>
    <row r="2809" s="15" customFormat="1" x14ac:dyDescent="0.25"/>
    <row r="2810" s="15" customFormat="1" x14ac:dyDescent="0.25"/>
    <row r="2811" s="15" customFormat="1" x14ac:dyDescent="0.25"/>
    <row r="2812" s="15" customFormat="1" x14ac:dyDescent="0.25"/>
    <row r="2813" s="15" customFormat="1" x14ac:dyDescent="0.25"/>
    <row r="2814" s="15" customFormat="1" x14ac:dyDescent="0.25"/>
    <row r="2815" s="15" customFormat="1" x14ac:dyDescent="0.25"/>
    <row r="2816" s="15" customFormat="1" x14ac:dyDescent="0.25"/>
    <row r="2817" s="15" customFormat="1" x14ac:dyDescent="0.25"/>
    <row r="2818" s="15" customFormat="1" x14ac:dyDescent="0.25"/>
    <row r="2819" s="15" customFormat="1" x14ac:dyDescent="0.25"/>
    <row r="2820" s="15" customFormat="1" x14ac:dyDescent="0.25"/>
    <row r="2821" s="15" customFormat="1" x14ac:dyDescent="0.25"/>
    <row r="2822" s="15" customFormat="1" x14ac:dyDescent="0.25"/>
    <row r="2823" s="15" customFormat="1" x14ac:dyDescent="0.25"/>
    <row r="2824" s="15" customFormat="1" x14ac:dyDescent="0.25"/>
    <row r="2825" s="15" customFormat="1" x14ac:dyDescent="0.25"/>
    <row r="2826" s="15" customFormat="1" x14ac:dyDescent="0.25"/>
    <row r="2827" s="15" customFormat="1" x14ac:dyDescent="0.25"/>
    <row r="2828" s="15" customFormat="1" x14ac:dyDescent="0.25"/>
    <row r="2829" s="15" customFormat="1" x14ac:dyDescent="0.25"/>
    <row r="2830" s="15" customFormat="1" x14ac:dyDescent="0.25"/>
    <row r="2831" s="15" customFormat="1" x14ac:dyDescent="0.25"/>
    <row r="2832" s="15" customFormat="1" x14ac:dyDescent="0.25"/>
    <row r="2833" s="15" customFormat="1" x14ac:dyDescent="0.25"/>
    <row r="2834" s="15" customFormat="1" x14ac:dyDescent="0.25"/>
    <row r="2835" s="15" customFormat="1" x14ac:dyDescent="0.25"/>
    <row r="2836" s="15" customFormat="1" x14ac:dyDescent="0.25"/>
    <row r="2837" s="15" customFormat="1" x14ac:dyDescent="0.25"/>
    <row r="2838" s="15" customFormat="1" x14ac:dyDescent="0.25"/>
    <row r="2839" s="15" customFormat="1" x14ac:dyDescent="0.25"/>
    <row r="2840" s="15" customFormat="1" x14ac:dyDescent="0.25"/>
    <row r="2841" s="15" customFormat="1" x14ac:dyDescent="0.25"/>
    <row r="2842" s="15" customFormat="1" x14ac:dyDescent="0.25"/>
    <row r="2843" s="15" customFormat="1" x14ac:dyDescent="0.25"/>
    <row r="2844" s="15" customFormat="1" x14ac:dyDescent="0.25"/>
    <row r="2845" s="15" customFormat="1" x14ac:dyDescent="0.25"/>
    <row r="2846" s="15" customFormat="1" x14ac:dyDescent="0.25"/>
    <row r="2847" s="15" customFormat="1" x14ac:dyDescent="0.25"/>
    <row r="2848" s="15" customFormat="1" x14ac:dyDescent="0.25"/>
    <row r="2849" s="15" customFormat="1" x14ac:dyDescent="0.25"/>
    <row r="2850" s="15" customFormat="1" x14ac:dyDescent="0.25"/>
    <row r="2851" s="15" customFormat="1" x14ac:dyDescent="0.25"/>
    <row r="2852" s="15" customFormat="1" x14ac:dyDescent="0.25"/>
    <row r="2853" s="15" customFormat="1" x14ac:dyDescent="0.25"/>
    <row r="2854" s="15" customFormat="1" x14ac:dyDescent="0.25"/>
    <row r="2855" s="15" customFormat="1" x14ac:dyDescent="0.25"/>
    <row r="2856" s="15" customFormat="1" x14ac:dyDescent="0.25"/>
    <row r="2857" s="15" customFormat="1" x14ac:dyDescent="0.25"/>
    <row r="2858" s="15" customFormat="1" x14ac:dyDescent="0.25"/>
    <row r="2859" s="15" customFormat="1" x14ac:dyDescent="0.25"/>
    <row r="2860" s="15" customFormat="1" x14ac:dyDescent="0.25"/>
    <row r="2861" s="15" customFormat="1" x14ac:dyDescent="0.25"/>
    <row r="2862" s="15" customFormat="1" x14ac:dyDescent="0.25"/>
    <row r="2863" s="15" customFormat="1" x14ac:dyDescent="0.25"/>
    <row r="2864" s="15" customFormat="1" x14ac:dyDescent="0.25"/>
    <row r="2865" s="15" customFormat="1" x14ac:dyDescent="0.25"/>
    <row r="2866" s="15" customFormat="1" x14ac:dyDescent="0.25"/>
    <row r="2867" s="15" customFormat="1" x14ac:dyDescent="0.25"/>
    <row r="2868" s="15" customFormat="1" x14ac:dyDescent="0.25"/>
    <row r="2869" s="15" customFormat="1" x14ac:dyDescent="0.25"/>
    <row r="2870" s="15" customFormat="1" x14ac:dyDescent="0.25"/>
    <row r="2871" s="15" customFormat="1" x14ac:dyDescent="0.25"/>
    <row r="2872" s="15" customFormat="1" x14ac:dyDescent="0.25"/>
    <row r="2873" s="15" customFormat="1" x14ac:dyDescent="0.25"/>
    <row r="2874" s="15" customFormat="1" x14ac:dyDescent="0.25"/>
    <row r="2875" s="15" customFormat="1" x14ac:dyDescent="0.25"/>
    <row r="2876" s="15" customFormat="1" x14ac:dyDescent="0.25"/>
    <row r="2877" s="15" customFormat="1" x14ac:dyDescent="0.25"/>
    <row r="2878" s="15" customFormat="1" x14ac:dyDescent="0.25"/>
    <row r="2879" s="15" customFormat="1" x14ac:dyDescent="0.25"/>
    <row r="2880" s="15" customFormat="1" x14ac:dyDescent="0.25"/>
    <row r="2881" s="15" customFormat="1" x14ac:dyDescent="0.25"/>
    <row r="2882" s="15" customFormat="1" x14ac:dyDescent="0.25"/>
    <row r="2883" s="15" customFormat="1" x14ac:dyDescent="0.25"/>
    <row r="2884" s="15" customFormat="1" x14ac:dyDescent="0.25"/>
    <row r="2885" s="15" customFormat="1" x14ac:dyDescent="0.25"/>
    <row r="2886" s="15" customFormat="1" x14ac:dyDescent="0.25"/>
    <row r="2887" s="15" customFormat="1" x14ac:dyDescent="0.25"/>
    <row r="2888" s="15" customFormat="1" x14ac:dyDescent="0.25"/>
    <row r="2889" s="15" customFormat="1" x14ac:dyDescent="0.25"/>
    <row r="2890" s="15" customFormat="1" x14ac:dyDescent="0.25"/>
    <row r="2891" s="15" customFormat="1" x14ac:dyDescent="0.25"/>
    <row r="2892" s="15" customFormat="1" x14ac:dyDescent="0.25"/>
    <row r="2893" s="15" customFormat="1" x14ac:dyDescent="0.25"/>
    <row r="2894" s="15" customFormat="1" x14ac:dyDescent="0.25"/>
    <row r="2895" s="15" customFormat="1" x14ac:dyDescent="0.25"/>
    <row r="2896" s="15" customFormat="1" x14ac:dyDescent="0.25"/>
    <row r="2897" s="15" customFormat="1" x14ac:dyDescent="0.25"/>
    <row r="2898" s="15" customFormat="1" x14ac:dyDescent="0.25"/>
    <row r="2899" s="15" customFormat="1" x14ac:dyDescent="0.25"/>
    <row r="2900" s="15" customFormat="1" x14ac:dyDescent="0.25"/>
    <row r="2901" s="15" customFormat="1" x14ac:dyDescent="0.25"/>
    <row r="2902" s="15" customFormat="1" x14ac:dyDescent="0.25"/>
    <row r="2903" s="15" customFormat="1" x14ac:dyDescent="0.25"/>
    <row r="2904" s="15" customFormat="1" x14ac:dyDescent="0.25"/>
    <row r="2905" s="15" customFormat="1" x14ac:dyDescent="0.25"/>
    <row r="2906" s="15" customFormat="1" x14ac:dyDescent="0.25"/>
    <row r="2907" s="15" customFormat="1" x14ac:dyDescent="0.25"/>
    <row r="2908" s="15" customFormat="1" x14ac:dyDescent="0.25"/>
    <row r="2909" s="15" customFormat="1" x14ac:dyDescent="0.25"/>
    <row r="2910" s="15" customFormat="1" x14ac:dyDescent="0.25"/>
    <row r="2911" s="15" customFormat="1" x14ac:dyDescent="0.25"/>
    <row r="2912" s="15" customFormat="1" x14ac:dyDescent="0.25"/>
    <row r="2913" s="15" customFormat="1" x14ac:dyDescent="0.25"/>
    <row r="2914" s="15" customFormat="1" x14ac:dyDescent="0.25"/>
    <row r="2915" s="15" customFormat="1" x14ac:dyDescent="0.25"/>
    <row r="2916" s="15" customFormat="1" x14ac:dyDescent="0.25"/>
    <row r="2917" s="15" customFormat="1" x14ac:dyDescent="0.25"/>
    <row r="2918" s="15" customFormat="1" x14ac:dyDescent="0.25"/>
    <row r="2919" s="15" customFormat="1" x14ac:dyDescent="0.25"/>
    <row r="2920" s="15" customFormat="1" x14ac:dyDescent="0.25"/>
    <row r="2921" s="15" customFormat="1" x14ac:dyDescent="0.25"/>
    <row r="2922" s="15" customFormat="1" x14ac:dyDescent="0.25"/>
    <row r="2923" s="15" customFormat="1" x14ac:dyDescent="0.25"/>
    <row r="2924" s="15" customFormat="1" x14ac:dyDescent="0.25"/>
    <row r="2925" s="15" customFormat="1" x14ac:dyDescent="0.25"/>
    <row r="2926" s="15" customFormat="1" x14ac:dyDescent="0.25"/>
    <row r="2927" s="15" customFormat="1" x14ac:dyDescent="0.25"/>
    <row r="2928" s="15" customFormat="1" x14ac:dyDescent="0.25"/>
    <row r="2929" s="15" customFormat="1" x14ac:dyDescent="0.25"/>
    <row r="2930" s="15" customFormat="1" x14ac:dyDescent="0.25"/>
    <row r="2931" s="15" customFormat="1" x14ac:dyDescent="0.25"/>
    <row r="2932" s="15" customFormat="1" x14ac:dyDescent="0.25"/>
    <row r="2933" s="15" customFormat="1" x14ac:dyDescent="0.25"/>
    <row r="2934" s="15" customFormat="1" x14ac:dyDescent="0.25"/>
    <row r="2935" s="15" customFormat="1" x14ac:dyDescent="0.25"/>
    <row r="2936" s="15" customFormat="1" x14ac:dyDescent="0.25"/>
    <row r="2937" s="15" customFormat="1" x14ac:dyDescent="0.25"/>
    <row r="2938" s="15" customFormat="1" x14ac:dyDescent="0.25"/>
    <row r="2939" s="15" customFormat="1" x14ac:dyDescent="0.25"/>
    <row r="2940" s="15" customFormat="1" x14ac:dyDescent="0.25"/>
    <row r="2941" s="15" customFormat="1" x14ac:dyDescent="0.25"/>
    <row r="2942" s="15" customFormat="1" x14ac:dyDescent="0.25"/>
    <row r="2943" s="15" customFormat="1" x14ac:dyDescent="0.25"/>
    <row r="2944" s="15" customFormat="1" x14ac:dyDescent="0.25"/>
    <row r="2945" s="15" customFormat="1" x14ac:dyDescent="0.25"/>
    <row r="2946" s="15" customFormat="1" x14ac:dyDescent="0.25"/>
    <row r="2947" s="15" customFormat="1" x14ac:dyDescent="0.25"/>
    <row r="2948" s="15" customFormat="1" x14ac:dyDescent="0.25"/>
    <row r="2949" s="15" customFormat="1" x14ac:dyDescent="0.25"/>
    <row r="2950" s="15" customFormat="1" x14ac:dyDescent="0.25"/>
    <row r="2951" s="15" customFormat="1" x14ac:dyDescent="0.25"/>
    <row r="2952" s="15" customFormat="1" x14ac:dyDescent="0.25"/>
    <row r="2953" s="15" customFormat="1" x14ac:dyDescent="0.25"/>
    <row r="2954" s="15" customFormat="1" x14ac:dyDescent="0.25"/>
    <row r="2955" s="15" customFormat="1" x14ac:dyDescent="0.25"/>
    <row r="2956" s="15" customFormat="1" x14ac:dyDescent="0.25"/>
    <row r="2957" s="15" customFormat="1" x14ac:dyDescent="0.25"/>
    <row r="2958" s="15" customFormat="1" x14ac:dyDescent="0.25"/>
    <row r="2959" s="15" customFormat="1" x14ac:dyDescent="0.25"/>
    <row r="2960" s="15" customFormat="1" x14ac:dyDescent="0.25"/>
    <row r="2961" s="15" customFormat="1" x14ac:dyDescent="0.25"/>
    <row r="2962" s="15" customFormat="1" x14ac:dyDescent="0.25"/>
    <row r="2963" s="15" customFormat="1" x14ac:dyDescent="0.25"/>
    <row r="2964" s="15" customFormat="1" x14ac:dyDescent="0.25"/>
    <row r="2965" s="15" customFormat="1" x14ac:dyDescent="0.25"/>
    <row r="2966" s="15" customFormat="1" x14ac:dyDescent="0.25"/>
    <row r="2967" s="15" customFormat="1" x14ac:dyDescent="0.25"/>
    <row r="2968" s="15" customFormat="1" x14ac:dyDescent="0.25"/>
    <row r="2969" s="15" customFormat="1" x14ac:dyDescent="0.25"/>
    <row r="2970" s="15" customFormat="1" x14ac:dyDescent="0.25"/>
    <row r="2971" s="15" customFormat="1" x14ac:dyDescent="0.25"/>
    <row r="2972" s="15" customFormat="1" x14ac:dyDescent="0.25"/>
    <row r="2973" s="15" customFormat="1" x14ac:dyDescent="0.25"/>
    <row r="2974" s="15" customFormat="1" x14ac:dyDescent="0.25"/>
    <row r="2975" s="15" customFormat="1" x14ac:dyDescent="0.25"/>
    <row r="2976" s="15" customFormat="1" x14ac:dyDescent="0.25"/>
    <row r="2977" s="15" customFormat="1" x14ac:dyDescent="0.25"/>
    <row r="2978" s="15" customFormat="1" x14ac:dyDescent="0.25"/>
    <row r="2979" s="15" customFormat="1" x14ac:dyDescent="0.25"/>
    <row r="2980" s="15" customFormat="1" x14ac:dyDescent="0.25"/>
    <row r="2981" s="15" customFormat="1" x14ac:dyDescent="0.25"/>
    <row r="2982" s="15" customFormat="1" x14ac:dyDescent="0.25"/>
    <row r="2983" s="15" customFormat="1" x14ac:dyDescent="0.25"/>
    <row r="2984" s="15" customFormat="1" x14ac:dyDescent="0.25"/>
    <row r="2985" s="15" customFormat="1" x14ac:dyDescent="0.25"/>
    <row r="2986" s="15" customFormat="1" x14ac:dyDescent="0.25"/>
    <row r="2987" s="15" customFormat="1" x14ac:dyDescent="0.25"/>
    <row r="2988" s="15" customFormat="1" x14ac:dyDescent="0.25"/>
    <row r="2989" s="15" customFormat="1" x14ac:dyDescent="0.25"/>
    <row r="2990" s="15" customFormat="1" x14ac:dyDescent="0.25"/>
    <row r="2991" s="15" customFormat="1" x14ac:dyDescent="0.25"/>
    <row r="2992" s="15" customFormat="1" x14ac:dyDescent="0.25"/>
    <row r="2993" s="15" customFormat="1" x14ac:dyDescent="0.25"/>
    <row r="2994" s="15" customFormat="1" x14ac:dyDescent="0.25"/>
    <row r="2995" s="15" customFormat="1" x14ac:dyDescent="0.25"/>
    <row r="2996" s="15" customFormat="1" x14ac:dyDescent="0.25"/>
    <row r="2997" s="15" customFormat="1" x14ac:dyDescent="0.25"/>
    <row r="2998" s="15" customFormat="1" x14ac:dyDescent="0.25"/>
    <row r="2999" s="15" customFormat="1" x14ac:dyDescent="0.25"/>
    <row r="3000" s="15" customFormat="1" x14ac:dyDescent="0.25"/>
    <row r="3001" s="15" customFormat="1" x14ac:dyDescent="0.25"/>
    <row r="3002" s="15" customFormat="1" x14ac:dyDescent="0.25"/>
    <row r="3003" s="15" customFormat="1" x14ac:dyDescent="0.25"/>
    <row r="3004" s="15" customFormat="1" x14ac:dyDescent="0.25"/>
    <row r="3005" s="15" customFormat="1" x14ac:dyDescent="0.25"/>
    <row r="3006" s="15" customFormat="1" x14ac:dyDescent="0.25"/>
    <row r="3007" s="15" customFormat="1" x14ac:dyDescent="0.25"/>
    <row r="3008" s="15" customFormat="1" x14ac:dyDescent="0.25"/>
    <row r="3009" s="15" customFormat="1" x14ac:dyDescent="0.25"/>
    <row r="3010" s="15" customFormat="1" x14ac:dyDescent="0.25"/>
    <row r="3011" s="15" customFormat="1" x14ac:dyDescent="0.25"/>
    <row r="3012" s="15" customFormat="1" x14ac:dyDescent="0.25"/>
    <row r="3013" s="15" customFormat="1" x14ac:dyDescent="0.25"/>
    <row r="3014" s="15" customFormat="1" x14ac:dyDescent="0.25"/>
    <row r="3015" s="15" customFormat="1" x14ac:dyDescent="0.25"/>
    <row r="3016" s="15" customFormat="1" x14ac:dyDescent="0.25"/>
    <row r="3017" s="15" customFormat="1" x14ac:dyDescent="0.25"/>
    <row r="3018" s="15" customFormat="1" x14ac:dyDescent="0.25"/>
    <row r="3019" s="15" customFormat="1" x14ac:dyDescent="0.25"/>
    <row r="3020" s="15" customFormat="1" x14ac:dyDescent="0.25"/>
    <row r="3021" s="15" customFormat="1" x14ac:dyDescent="0.25"/>
    <row r="3022" s="15" customFormat="1" x14ac:dyDescent="0.25"/>
    <row r="3023" s="15" customFormat="1" x14ac:dyDescent="0.25"/>
    <row r="3024" s="15" customFormat="1" x14ac:dyDescent="0.25"/>
    <row r="3025" s="15" customFormat="1" x14ac:dyDescent="0.25"/>
    <row r="3026" s="15" customFormat="1" x14ac:dyDescent="0.25"/>
    <row r="3027" s="15" customFormat="1" x14ac:dyDescent="0.25"/>
    <row r="3028" s="15" customFormat="1" x14ac:dyDescent="0.25"/>
    <row r="3029" s="15" customFormat="1" x14ac:dyDescent="0.25"/>
    <row r="3030" s="15" customFormat="1" x14ac:dyDescent="0.25"/>
    <row r="3031" s="15" customFormat="1" x14ac:dyDescent="0.25"/>
    <row r="3032" s="15" customFormat="1" x14ac:dyDescent="0.25"/>
    <row r="3033" s="15" customFormat="1" x14ac:dyDescent="0.25"/>
    <row r="3034" s="15" customFormat="1" x14ac:dyDescent="0.25"/>
    <row r="3035" s="15" customFormat="1" x14ac:dyDescent="0.25"/>
    <row r="3036" s="15" customFormat="1" x14ac:dyDescent="0.25"/>
    <row r="3037" s="15" customFormat="1" x14ac:dyDescent="0.25"/>
    <row r="3038" s="15" customFormat="1" x14ac:dyDescent="0.25"/>
    <row r="3039" s="15" customFormat="1" x14ac:dyDescent="0.25"/>
    <row r="3040" s="15" customFormat="1" x14ac:dyDescent="0.25"/>
    <row r="3041" s="15" customFormat="1" x14ac:dyDescent="0.25"/>
    <row r="3042" s="15" customFormat="1" x14ac:dyDescent="0.25"/>
    <row r="3043" s="15" customFormat="1" x14ac:dyDescent="0.25"/>
    <row r="3044" s="15" customFormat="1" x14ac:dyDescent="0.25"/>
    <row r="3045" s="15" customFormat="1" x14ac:dyDescent="0.25"/>
    <row r="3046" s="15" customFormat="1" x14ac:dyDescent="0.25"/>
    <row r="3047" s="15" customFormat="1" x14ac:dyDescent="0.25"/>
    <row r="3048" s="15" customFormat="1" x14ac:dyDescent="0.25"/>
    <row r="3049" s="15" customFormat="1" x14ac:dyDescent="0.25"/>
    <row r="3050" s="15" customFormat="1" x14ac:dyDescent="0.25"/>
    <row r="3051" s="15" customFormat="1" x14ac:dyDescent="0.25"/>
    <row r="3052" s="15" customFormat="1" x14ac:dyDescent="0.25"/>
    <row r="3053" s="15" customFormat="1" x14ac:dyDescent="0.25"/>
    <row r="3054" s="15" customFormat="1" x14ac:dyDescent="0.25"/>
    <row r="3055" s="15" customFormat="1" x14ac:dyDescent="0.25"/>
    <row r="3056" s="15" customFormat="1" x14ac:dyDescent="0.25"/>
    <row r="3057" s="15" customFormat="1" x14ac:dyDescent="0.25"/>
    <row r="3058" s="15" customFormat="1" x14ac:dyDescent="0.25"/>
    <row r="3059" s="15" customFormat="1" x14ac:dyDescent="0.25"/>
    <row r="3060" s="15" customFormat="1" x14ac:dyDescent="0.25"/>
    <row r="3061" s="15" customFormat="1" x14ac:dyDescent="0.25"/>
    <row r="3062" s="15" customFormat="1" x14ac:dyDescent="0.25"/>
    <row r="3063" s="15" customFormat="1" x14ac:dyDescent="0.25"/>
    <row r="3064" s="15" customFormat="1" x14ac:dyDescent="0.25"/>
    <row r="3065" s="15" customFormat="1" x14ac:dyDescent="0.25"/>
    <row r="3066" s="15" customFormat="1" x14ac:dyDescent="0.25"/>
    <row r="3067" s="15" customFormat="1" x14ac:dyDescent="0.25"/>
    <row r="3068" s="15" customFormat="1" x14ac:dyDescent="0.25"/>
    <row r="3069" s="15" customFormat="1" x14ac:dyDescent="0.25"/>
    <row r="3070" s="15" customFormat="1" x14ac:dyDescent="0.25"/>
    <row r="3071" s="15" customFormat="1" x14ac:dyDescent="0.25"/>
    <row r="3072" s="15" customFormat="1" x14ac:dyDescent="0.25"/>
    <row r="3073" s="15" customFormat="1" x14ac:dyDescent="0.25"/>
    <row r="3074" s="15" customFormat="1" x14ac:dyDescent="0.25"/>
    <row r="3075" s="15" customFormat="1" x14ac:dyDescent="0.25"/>
    <row r="3076" s="15" customFormat="1" x14ac:dyDescent="0.25"/>
    <row r="3077" s="15" customFormat="1" x14ac:dyDescent="0.25"/>
    <row r="3078" s="15" customFormat="1" x14ac:dyDescent="0.25"/>
    <row r="3079" s="15" customFormat="1" x14ac:dyDescent="0.25"/>
    <row r="3080" s="15" customFormat="1" x14ac:dyDescent="0.25"/>
    <row r="3081" s="15" customFormat="1" x14ac:dyDescent="0.25"/>
    <row r="3082" s="15" customFormat="1" x14ac:dyDescent="0.25"/>
    <row r="3083" s="15" customFormat="1" x14ac:dyDescent="0.25"/>
    <row r="3084" s="15" customFormat="1" x14ac:dyDescent="0.25"/>
    <row r="3085" s="15" customFormat="1" x14ac:dyDescent="0.25"/>
    <row r="3086" s="15" customFormat="1" x14ac:dyDescent="0.25"/>
    <row r="3087" s="15" customFormat="1" x14ac:dyDescent="0.25"/>
    <row r="3088" s="15" customFormat="1" x14ac:dyDescent="0.25"/>
    <row r="3089" s="15" customFormat="1" x14ac:dyDescent="0.25"/>
    <row r="3090" s="15" customFormat="1" x14ac:dyDescent="0.25"/>
    <row r="3091" s="15" customFormat="1" x14ac:dyDescent="0.25"/>
    <row r="3092" s="15" customFormat="1" x14ac:dyDescent="0.25"/>
    <row r="3093" s="15" customFormat="1" x14ac:dyDescent="0.25"/>
    <row r="3094" s="15" customFormat="1" x14ac:dyDescent="0.25"/>
    <row r="3095" s="15" customFormat="1" x14ac:dyDescent="0.25"/>
    <row r="3096" s="15" customFormat="1" x14ac:dyDescent="0.25"/>
    <row r="3097" s="15" customFormat="1" x14ac:dyDescent="0.25"/>
    <row r="3098" s="15" customFormat="1" x14ac:dyDescent="0.25"/>
    <row r="3099" s="15" customFormat="1" x14ac:dyDescent="0.25"/>
    <row r="3100" s="15" customFormat="1" x14ac:dyDescent="0.25"/>
    <row r="3101" s="15" customFormat="1" x14ac:dyDescent="0.25"/>
    <row r="3102" s="15" customFormat="1" x14ac:dyDescent="0.25"/>
    <row r="3103" s="15" customFormat="1" x14ac:dyDescent="0.25"/>
    <row r="3104" s="15" customFormat="1" x14ac:dyDescent="0.25"/>
    <row r="3105" s="15" customFormat="1" x14ac:dyDescent="0.25"/>
    <row r="3106" s="15" customFormat="1" x14ac:dyDescent="0.25"/>
    <row r="3107" s="15" customFormat="1" x14ac:dyDescent="0.25"/>
    <row r="3108" s="15" customFormat="1" x14ac:dyDescent="0.25"/>
    <row r="3109" s="15" customFormat="1" x14ac:dyDescent="0.25"/>
    <row r="3110" s="15" customFormat="1" x14ac:dyDescent="0.25"/>
    <row r="3111" s="15" customFormat="1" x14ac:dyDescent="0.25"/>
    <row r="3112" s="15" customFormat="1" x14ac:dyDescent="0.25"/>
    <row r="3113" s="15" customFormat="1" x14ac:dyDescent="0.25"/>
    <row r="3114" s="15" customFormat="1" x14ac:dyDescent="0.25"/>
    <row r="3115" s="15" customFormat="1" x14ac:dyDescent="0.25"/>
    <row r="3116" s="15" customFormat="1" x14ac:dyDescent="0.25"/>
    <row r="3117" s="15" customFormat="1" x14ac:dyDescent="0.25"/>
    <row r="3118" s="15" customFormat="1" x14ac:dyDescent="0.25"/>
    <row r="3119" s="15" customFormat="1" x14ac:dyDescent="0.25"/>
    <row r="3120" s="15" customFormat="1" x14ac:dyDescent="0.25"/>
    <row r="3121" s="15" customFormat="1" x14ac:dyDescent="0.25"/>
    <row r="3122" s="15" customFormat="1" x14ac:dyDescent="0.25"/>
    <row r="3123" s="15" customFormat="1" x14ac:dyDescent="0.25"/>
    <row r="3124" s="15" customFormat="1" x14ac:dyDescent="0.25"/>
    <row r="3125" s="15" customFormat="1" x14ac:dyDescent="0.25"/>
    <row r="3126" s="15" customFormat="1" x14ac:dyDescent="0.25"/>
    <row r="3127" s="15" customFormat="1" x14ac:dyDescent="0.25"/>
    <row r="3128" s="15" customFormat="1" x14ac:dyDescent="0.25"/>
    <row r="3129" s="15" customFormat="1" x14ac:dyDescent="0.25"/>
    <row r="3130" s="15" customFormat="1" x14ac:dyDescent="0.25"/>
    <row r="3131" s="15" customFormat="1" x14ac:dyDescent="0.25"/>
    <row r="3132" s="15" customFormat="1" x14ac:dyDescent="0.25"/>
    <row r="3133" s="15" customFormat="1" x14ac:dyDescent="0.25"/>
    <row r="3134" s="15" customFormat="1" x14ac:dyDescent="0.25"/>
    <row r="3135" s="15" customFormat="1" x14ac:dyDescent="0.25"/>
    <row r="3136" s="15" customFormat="1" x14ac:dyDescent="0.25"/>
    <row r="3137" s="15" customFormat="1" x14ac:dyDescent="0.25"/>
    <row r="3138" s="15" customFormat="1" x14ac:dyDescent="0.25"/>
    <row r="3139" s="15" customFormat="1" x14ac:dyDescent="0.25"/>
    <row r="3140" s="15" customFormat="1" x14ac:dyDescent="0.25"/>
    <row r="3141" s="15" customFormat="1" x14ac:dyDescent="0.25"/>
    <row r="3142" s="15" customFormat="1" x14ac:dyDescent="0.25"/>
    <row r="3143" s="15" customFormat="1" x14ac:dyDescent="0.25"/>
    <row r="3144" s="15" customFormat="1" x14ac:dyDescent="0.25"/>
    <row r="3145" s="15" customFormat="1" x14ac:dyDescent="0.25"/>
    <row r="3146" s="15" customFormat="1" x14ac:dyDescent="0.25"/>
    <row r="3147" s="15" customFormat="1" x14ac:dyDescent="0.25"/>
    <row r="3148" s="15" customFormat="1" x14ac:dyDescent="0.25"/>
    <row r="3149" s="15" customFormat="1" x14ac:dyDescent="0.25"/>
    <row r="3150" s="15" customFormat="1" x14ac:dyDescent="0.25"/>
    <row r="3151" s="15" customFormat="1" x14ac:dyDescent="0.25"/>
    <row r="3152" s="15" customFormat="1" x14ac:dyDescent="0.25"/>
    <row r="3153" s="15" customFormat="1" x14ac:dyDescent="0.25"/>
    <row r="3154" s="15" customFormat="1" x14ac:dyDescent="0.25"/>
    <row r="3155" s="15" customFormat="1" x14ac:dyDescent="0.25"/>
    <row r="3156" s="15" customFormat="1" x14ac:dyDescent="0.25"/>
    <row r="3157" s="15" customFormat="1" x14ac:dyDescent="0.25"/>
    <row r="3158" s="15" customFormat="1" x14ac:dyDescent="0.25"/>
    <row r="3159" s="15" customFormat="1" x14ac:dyDescent="0.25"/>
    <row r="3160" s="15" customFormat="1" x14ac:dyDescent="0.25"/>
    <row r="3161" s="15" customFormat="1" x14ac:dyDescent="0.25"/>
    <row r="3162" s="15" customFormat="1" x14ac:dyDescent="0.25"/>
    <row r="3163" s="15" customFormat="1" x14ac:dyDescent="0.25"/>
    <row r="3164" s="15" customFormat="1" x14ac:dyDescent="0.25"/>
    <row r="3165" s="15" customFormat="1" x14ac:dyDescent="0.25"/>
    <row r="3166" s="15" customFormat="1" x14ac:dyDescent="0.25"/>
    <row r="3167" s="15" customFormat="1" x14ac:dyDescent="0.25"/>
    <row r="3168" s="15" customFormat="1" x14ac:dyDescent="0.25"/>
    <row r="3169" s="15" customFormat="1" x14ac:dyDescent="0.25"/>
    <row r="3170" s="15" customFormat="1" x14ac:dyDescent="0.25"/>
    <row r="3171" s="15" customFormat="1" x14ac:dyDescent="0.25"/>
    <row r="3172" s="15" customFormat="1" x14ac:dyDescent="0.25"/>
    <row r="3173" s="15" customFormat="1" x14ac:dyDescent="0.25"/>
    <row r="3174" s="15" customFormat="1" x14ac:dyDescent="0.25"/>
    <row r="3175" s="15" customFormat="1" x14ac:dyDescent="0.25"/>
    <row r="3176" s="15" customFormat="1" x14ac:dyDescent="0.25"/>
    <row r="3177" s="15" customFormat="1" x14ac:dyDescent="0.25"/>
    <row r="3178" s="15" customFormat="1" x14ac:dyDescent="0.25"/>
    <row r="3179" s="15" customFormat="1" x14ac:dyDescent="0.25"/>
    <row r="3180" s="15" customFormat="1" x14ac:dyDescent="0.25"/>
    <row r="3181" s="15" customFormat="1" x14ac:dyDescent="0.25"/>
    <row r="3182" s="15" customFormat="1" x14ac:dyDescent="0.25"/>
    <row r="3183" s="15" customFormat="1" x14ac:dyDescent="0.25"/>
    <row r="3184" s="15" customFormat="1" x14ac:dyDescent="0.25"/>
    <row r="3185" s="15" customFormat="1" x14ac:dyDescent="0.25"/>
    <row r="3186" s="15" customFormat="1" x14ac:dyDescent="0.25"/>
    <row r="3187" s="15" customFormat="1" x14ac:dyDescent="0.25"/>
    <row r="3188" s="15" customFormat="1" x14ac:dyDescent="0.25"/>
    <row r="3189" s="15" customFormat="1" x14ac:dyDescent="0.25"/>
    <row r="3190" s="15" customFormat="1" x14ac:dyDescent="0.25"/>
    <row r="3191" s="15" customFormat="1" x14ac:dyDescent="0.25"/>
    <row r="3192" s="15" customFormat="1" x14ac:dyDescent="0.25"/>
    <row r="3193" s="15" customFormat="1" x14ac:dyDescent="0.25"/>
    <row r="3194" s="15" customFormat="1" x14ac:dyDescent="0.25"/>
    <row r="3195" s="15" customFormat="1" x14ac:dyDescent="0.25"/>
    <row r="3196" s="15" customFormat="1" x14ac:dyDescent="0.25"/>
    <row r="3197" s="15" customFormat="1" x14ac:dyDescent="0.25"/>
    <row r="3198" s="15" customFormat="1" x14ac:dyDescent="0.25"/>
    <row r="3199" s="15" customFormat="1" x14ac:dyDescent="0.25"/>
    <row r="3200" s="15" customFormat="1" x14ac:dyDescent="0.25"/>
    <row r="3201" s="15" customFormat="1" x14ac:dyDescent="0.25"/>
    <row r="3202" s="15" customFormat="1" x14ac:dyDescent="0.25"/>
    <row r="3203" s="15" customFormat="1" x14ac:dyDescent="0.25"/>
    <row r="3204" s="15" customFormat="1" x14ac:dyDescent="0.25"/>
    <row r="3205" s="15" customFormat="1" x14ac:dyDescent="0.25"/>
    <row r="3206" s="15" customFormat="1" x14ac:dyDescent="0.25"/>
    <row r="3207" s="15" customFormat="1" x14ac:dyDescent="0.25"/>
    <row r="3208" s="15" customFormat="1" x14ac:dyDescent="0.25"/>
    <row r="3209" s="15" customFormat="1" x14ac:dyDescent="0.25"/>
    <row r="3210" s="15" customFormat="1" x14ac:dyDescent="0.25"/>
    <row r="3211" s="15" customFormat="1" x14ac:dyDescent="0.25"/>
    <row r="3212" s="15" customFormat="1" x14ac:dyDescent="0.25"/>
    <row r="3213" s="15" customFormat="1" x14ac:dyDescent="0.25"/>
    <row r="3214" s="15" customFormat="1" x14ac:dyDescent="0.25"/>
    <row r="3215" s="15" customFormat="1" x14ac:dyDescent="0.25"/>
    <row r="3216" s="15" customFormat="1" x14ac:dyDescent="0.25"/>
    <row r="3217" s="15" customFormat="1" x14ac:dyDescent="0.25"/>
    <row r="3218" s="15" customFormat="1" x14ac:dyDescent="0.25"/>
    <row r="3219" s="15" customFormat="1" x14ac:dyDescent="0.25"/>
    <row r="3220" s="15" customFormat="1" x14ac:dyDescent="0.25"/>
    <row r="3221" s="15" customFormat="1" x14ac:dyDescent="0.25"/>
    <row r="3222" s="15" customFormat="1" x14ac:dyDescent="0.25"/>
    <row r="3223" s="15" customFormat="1" x14ac:dyDescent="0.25"/>
    <row r="3224" s="15" customFormat="1" x14ac:dyDescent="0.25"/>
    <row r="3225" s="15" customFormat="1" x14ac:dyDescent="0.25"/>
    <row r="3226" s="15" customFormat="1" x14ac:dyDescent="0.25"/>
    <row r="3227" s="15" customFormat="1" x14ac:dyDescent="0.25"/>
    <row r="3228" s="15" customFormat="1" x14ac:dyDescent="0.25"/>
    <row r="3229" s="15" customFormat="1" x14ac:dyDescent="0.25"/>
    <row r="3230" s="15" customFormat="1" x14ac:dyDescent="0.25"/>
    <row r="3231" s="15" customFormat="1" x14ac:dyDescent="0.25"/>
    <row r="3232" s="15" customFormat="1" x14ac:dyDescent="0.25"/>
    <row r="3233" s="15" customFormat="1" x14ac:dyDescent="0.25"/>
    <row r="3234" s="15" customFormat="1" x14ac:dyDescent="0.25"/>
    <row r="3235" s="15" customFormat="1" x14ac:dyDescent="0.25"/>
    <row r="3236" s="15" customFormat="1" x14ac:dyDescent="0.25"/>
    <row r="3237" s="15" customFormat="1" x14ac:dyDescent="0.25"/>
    <row r="3238" s="15" customFormat="1" x14ac:dyDescent="0.25"/>
    <row r="3239" s="15" customFormat="1" x14ac:dyDescent="0.25"/>
    <row r="3240" s="15" customFormat="1" x14ac:dyDescent="0.25"/>
    <row r="3241" s="15" customFormat="1" x14ac:dyDescent="0.25"/>
    <row r="3242" s="15" customFormat="1" x14ac:dyDescent="0.25"/>
    <row r="3243" s="15" customFormat="1" x14ac:dyDescent="0.25"/>
    <row r="3244" s="15" customFormat="1" x14ac:dyDescent="0.25"/>
    <row r="3245" s="15" customFormat="1" x14ac:dyDescent="0.25"/>
    <row r="3246" s="15" customFormat="1" x14ac:dyDescent="0.25"/>
    <row r="3247" s="15" customFormat="1" x14ac:dyDescent="0.25"/>
    <row r="3248" s="15" customFormat="1" x14ac:dyDescent="0.25"/>
    <row r="3249" s="15" customFormat="1" x14ac:dyDescent="0.25"/>
    <row r="3250" s="15" customFormat="1" x14ac:dyDescent="0.25"/>
    <row r="3251" s="15" customFormat="1" x14ac:dyDescent="0.25"/>
    <row r="3252" s="15" customFormat="1" x14ac:dyDescent="0.25"/>
    <row r="3253" s="15" customFormat="1" x14ac:dyDescent="0.25"/>
    <row r="3254" s="15" customFormat="1" x14ac:dyDescent="0.25"/>
    <row r="3255" s="15" customFormat="1" x14ac:dyDescent="0.25"/>
    <row r="3256" s="15" customFormat="1" x14ac:dyDescent="0.25"/>
    <row r="3257" s="15" customFormat="1" x14ac:dyDescent="0.25"/>
    <row r="3258" s="15" customFormat="1" x14ac:dyDescent="0.25"/>
    <row r="3259" s="15" customFormat="1" x14ac:dyDescent="0.25"/>
    <row r="3260" s="15" customFormat="1" x14ac:dyDescent="0.25"/>
    <row r="3261" s="15" customFormat="1" x14ac:dyDescent="0.25"/>
    <row r="3262" s="15" customFormat="1" x14ac:dyDescent="0.25"/>
    <row r="3263" s="15" customFormat="1" x14ac:dyDescent="0.25"/>
    <row r="3264" s="15" customFormat="1" x14ac:dyDescent="0.25"/>
    <row r="3265" s="15" customFormat="1" x14ac:dyDescent="0.25"/>
    <row r="3266" s="15" customFormat="1" x14ac:dyDescent="0.25"/>
    <row r="3267" s="15" customFormat="1" x14ac:dyDescent="0.25"/>
    <row r="3268" s="15" customFormat="1" x14ac:dyDescent="0.25"/>
    <row r="3269" s="15" customFormat="1" x14ac:dyDescent="0.25"/>
    <row r="3270" s="15" customFormat="1" x14ac:dyDescent="0.25"/>
    <row r="3271" s="15" customFormat="1" x14ac:dyDescent="0.25"/>
    <row r="3272" s="15" customFormat="1" x14ac:dyDescent="0.25"/>
    <row r="3273" s="15" customFormat="1" x14ac:dyDescent="0.25"/>
    <row r="3274" s="15" customFormat="1" x14ac:dyDescent="0.25"/>
    <row r="3275" s="15" customFormat="1" x14ac:dyDescent="0.25"/>
    <row r="3276" s="15" customFormat="1" x14ac:dyDescent="0.25"/>
    <row r="3277" s="15" customFormat="1" x14ac:dyDescent="0.25"/>
    <row r="3278" s="15" customFormat="1" x14ac:dyDescent="0.25"/>
    <row r="3279" s="15" customFormat="1" x14ac:dyDescent="0.25"/>
    <row r="3280" s="15" customFormat="1" x14ac:dyDescent="0.25"/>
    <row r="3281" s="15" customFormat="1" x14ac:dyDescent="0.25"/>
    <row r="3282" s="15" customFormat="1" x14ac:dyDescent="0.25"/>
    <row r="3283" s="15" customFormat="1" x14ac:dyDescent="0.25"/>
    <row r="3284" s="15" customFormat="1" x14ac:dyDescent="0.25"/>
    <row r="3285" s="15" customFormat="1" x14ac:dyDescent="0.25"/>
    <row r="3286" s="15" customFormat="1" x14ac:dyDescent="0.25"/>
    <row r="3287" s="15" customFormat="1" x14ac:dyDescent="0.25"/>
    <row r="3288" s="15" customFormat="1" x14ac:dyDescent="0.25"/>
    <row r="3289" s="15" customFormat="1" x14ac:dyDescent="0.25"/>
    <row r="3290" s="15" customFormat="1" x14ac:dyDescent="0.25"/>
    <row r="3291" s="15" customFormat="1" x14ac:dyDescent="0.25"/>
    <row r="3292" s="15" customFormat="1" x14ac:dyDescent="0.25"/>
    <row r="3293" s="15" customFormat="1" x14ac:dyDescent="0.25"/>
    <row r="3294" s="15" customFormat="1" x14ac:dyDescent="0.25"/>
    <row r="3295" s="15" customFormat="1" x14ac:dyDescent="0.25"/>
    <row r="3296" s="15" customFormat="1" x14ac:dyDescent="0.25"/>
    <row r="3297" s="15" customFormat="1" x14ac:dyDescent="0.25"/>
    <row r="3298" s="15" customFormat="1" x14ac:dyDescent="0.25"/>
    <row r="3299" s="15" customFormat="1" x14ac:dyDescent="0.25"/>
    <row r="3300" s="15" customFormat="1" x14ac:dyDescent="0.25"/>
    <row r="3301" s="15" customFormat="1" x14ac:dyDescent="0.25"/>
    <row r="3302" s="15" customFormat="1" x14ac:dyDescent="0.25"/>
    <row r="3303" s="15" customFormat="1" x14ac:dyDescent="0.25"/>
    <row r="3304" s="15" customFormat="1" x14ac:dyDescent="0.25"/>
    <row r="3305" s="15" customFormat="1" x14ac:dyDescent="0.25"/>
    <row r="3306" s="15" customFormat="1" x14ac:dyDescent="0.25"/>
    <row r="3307" s="15" customFormat="1" x14ac:dyDescent="0.25"/>
    <row r="3308" s="15" customFormat="1" x14ac:dyDescent="0.25"/>
    <row r="3309" s="15" customFormat="1" x14ac:dyDescent="0.25"/>
    <row r="3310" s="15" customFormat="1" x14ac:dyDescent="0.25"/>
    <row r="3311" s="15" customFormat="1" x14ac:dyDescent="0.25"/>
    <row r="3312" s="15" customFormat="1" x14ac:dyDescent="0.25"/>
    <row r="3313" s="15" customFormat="1" x14ac:dyDescent="0.25"/>
    <row r="3314" s="15" customFormat="1" x14ac:dyDescent="0.25"/>
    <row r="3315" s="15" customFormat="1" x14ac:dyDescent="0.25"/>
    <row r="3316" s="15" customFormat="1" x14ac:dyDescent="0.25"/>
    <row r="3317" s="15" customFormat="1" x14ac:dyDescent="0.25"/>
    <row r="3318" s="15" customFormat="1" x14ac:dyDescent="0.25"/>
    <row r="3319" s="15" customFormat="1" x14ac:dyDescent="0.25"/>
    <row r="3320" s="15" customFormat="1" x14ac:dyDescent="0.25"/>
    <row r="3321" s="15" customFormat="1" x14ac:dyDescent="0.25"/>
    <row r="3322" s="15" customFormat="1" x14ac:dyDescent="0.25"/>
    <row r="3323" s="15" customFormat="1" x14ac:dyDescent="0.25"/>
    <row r="3324" s="15" customFormat="1" x14ac:dyDescent="0.25"/>
    <row r="3325" s="15" customFormat="1" x14ac:dyDescent="0.25"/>
    <row r="3326" s="15" customFormat="1" x14ac:dyDescent="0.25"/>
    <row r="3327" s="15" customFormat="1" x14ac:dyDescent="0.25"/>
    <row r="3328" s="15" customFormat="1" x14ac:dyDescent="0.25"/>
    <row r="3329" s="15" customFormat="1" x14ac:dyDescent="0.25"/>
    <row r="3330" s="15" customFormat="1" x14ac:dyDescent="0.25"/>
    <row r="3331" s="15" customFormat="1" x14ac:dyDescent="0.25"/>
    <row r="3332" s="15" customFormat="1" x14ac:dyDescent="0.25"/>
    <row r="3333" s="15" customFormat="1" x14ac:dyDescent="0.25"/>
    <row r="3334" s="15" customFormat="1" x14ac:dyDescent="0.25"/>
    <row r="3335" s="15" customFormat="1" x14ac:dyDescent="0.25"/>
    <row r="3336" s="15" customFormat="1" x14ac:dyDescent="0.25"/>
    <row r="3337" s="15" customFormat="1" x14ac:dyDescent="0.25"/>
    <row r="3338" s="15" customFormat="1" x14ac:dyDescent="0.25"/>
    <row r="3339" s="15" customFormat="1" x14ac:dyDescent="0.25"/>
    <row r="3340" s="15" customFormat="1" x14ac:dyDescent="0.25"/>
    <row r="3341" s="15" customFormat="1" x14ac:dyDescent="0.25"/>
    <row r="3342" s="15" customFormat="1" x14ac:dyDescent="0.25"/>
    <row r="3343" s="15" customFormat="1" x14ac:dyDescent="0.25"/>
    <row r="3344" s="15" customFormat="1" x14ac:dyDescent="0.25"/>
    <row r="3345" s="15" customFormat="1" x14ac:dyDescent="0.25"/>
    <row r="3346" s="15" customFormat="1" x14ac:dyDescent="0.25"/>
    <row r="3347" s="15" customFormat="1" x14ac:dyDescent="0.25"/>
    <row r="3348" s="15" customFormat="1" x14ac:dyDescent="0.25"/>
    <row r="3349" s="15" customFormat="1" x14ac:dyDescent="0.25"/>
    <row r="3350" s="15" customFormat="1" x14ac:dyDescent="0.25"/>
    <row r="3351" s="15" customFormat="1" x14ac:dyDescent="0.25"/>
    <row r="3352" s="15" customFormat="1" x14ac:dyDescent="0.25"/>
    <row r="3353" s="15" customFormat="1" x14ac:dyDescent="0.25"/>
    <row r="3354" s="15" customFormat="1" x14ac:dyDescent="0.25"/>
    <row r="3355" s="15" customFormat="1" x14ac:dyDescent="0.25"/>
    <row r="3356" s="15" customFormat="1" x14ac:dyDescent="0.25"/>
    <row r="3357" s="15" customFormat="1" x14ac:dyDescent="0.25"/>
    <row r="3358" s="15" customFormat="1" x14ac:dyDescent="0.25"/>
    <row r="3359" s="15" customFormat="1" x14ac:dyDescent="0.25"/>
    <row r="3360" s="15" customFormat="1" x14ac:dyDescent="0.25"/>
    <row r="3361" s="15" customFormat="1" x14ac:dyDescent="0.25"/>
    <row r="3362" s="15" customFormat="1" x14ac:dyDescent="0.25"/>
    <row r="3363" s="15" customFormat="1" x14ac:dyDescent="0.25"/>
    <row r="3364" s="15" customFormat="1" x14ac:dyDescent="0.25"/>
    <row r="3365" s="15" customFormat="1" x14ac:dyDescent="0.25"/>
    <row r="3366" s="15" customFormat="1" x14ac:dyDescent="0.25"/>
    <row r="3367" s="15" customFormat="1" x14ac:dyDescent="0.25"/>
    <row r="3368" s="15" customFormat="1" x14ac:dyDescent="0.25"/>
    <row r="3369" s="15" customFormat="1" x14ac:dyDescent="0.25"/>
    <row r="3370" s="15" customFormat="1" x14ac:dyDescent="0.25"/>
    <row r="3371" s="15" customFormat="1" x14ac:dyDescent="0.25"/>
    <row r="3372" s="15" customFormat="1" x14ac:dyDescent="0.25"/>
    <row r="3373" s="15" customFormat="1" x14ac:dyDescent="0.25"/>
    <row r="3374" s="15" customFormat="1" x14ac:dyDescent="0.25"/>
    <row r="3375" s="15" customFormat="1" x14ac:dyDescent="0.25"/>
    <row r="3376" s="15" customFormat="1" x14ac:dyDescent="0.25"/>
    <row r="3377" s="15" customFormat="1" x14ac:dyDescent="0.25"/>
    <row r="3378" s="15" customFormat="1" x14ac:dyDescent="0.25"/>
    <row r="3379" s="15" customFormat="1" x14ac:dyDescent="0.25"/>
    <row r="3380" s="15" customFormat="1" x14ac:dyDescent="0.25"/>
    <row r="3381" s="15" customFormat="1" x14ac:dyDescent="0.25"/>
    <row r="3382" s="15" customFormat="1" x14ac:dyDescent="0.25"/>
    <row r="3383" s="15" customFormat="1" x14ac:dyDescent="0.25"/>
    <row r="3384" s="15" customFormat="1" x14ac:dyDescent="0.25"/>
    <row r="3385" s="15" customFormat="1" x14ac:dyDescent="0.25"/>
    <row r="3386" s="15" customFormat="1" x14ac:dyDescent="0.25"/>
    <row r="3387" s="15" customFormat="1" x14ac:dyDescent="0.25"/>
    <row r="3388" s="15" customFormat="1" x14ac:dyDescent="0.25"/>
    <row r="3389" s="15" customFormat="1" x14ac:dyDescent="0.25"/>
    <row r="3390" s="15" customFormat="1" x14ac:dyDescent="0.25"/>
    <row r="3391" s="15" customFormat="1" x14ac:dyDescent="0.25"/>
    <row r="3392" s="15" customFormat="1" x14ac:dyDescent="0.25"/>
    <row r="3393" s="15" customFormat="1" x14ac:dyDescent="0.25"/>
    <row r="3394" s="15" customFormat="1" x14ac:dyDescent="0.25"/>
    <row r="3395" s="15" customFormat="1" x14ac:dyDescent="0.25"/>
    <row r="3396" s="15" customFormat="1" x14ac:dyDescent="0.25"/>
    <row r="3397" s="15" customFormat="1" x14ac:dyDescent="0.25"/>
    <row r="3398" s="15" customFormat="1" x14ac:dyDescent="0.25"/>
    <row r="3399" s="15" customFormat="1" x14ac:dyDescent="0.25"/>
    <row r="3400" s="15" customFormat="1" x14ac:dyDescent="0.25"/>
    <row r="3401" s="15" customFormat="1" x14ac:dyDescent="0.25"/>
    <row r="3402" s="15" customFormat="1" x14ac:dyDescent="0.25"/>
    <row r="3403" s="15" customFormat="1" x14ac:dyDescent="0.25"/>
    <row r="3404" s="15" customFormat="1" x14ac:dyDescent="0.25"/>
    <row r="3405" s="15" customFormat="1" x14ac:dyDescent="0.25"/>
    <row r="3406" s="15" customFormat="1" x14ac:dyDescent="0.25"/>
    <row r="3407" s="15" customFormat="1" x14ac:dyDescent="0.25"/>
    <row r="3408" s="15" customFormat="1" x14ac:dyDescent="0.25"/>
    <row r="3409" s="15" customFormat="1" x14ac:dyDescent="0.25"/>
    <row r="3410" s="15" customFormat="1" x14ac:dyDescent="0.25"/>
    <row r="3411" s="15" customFormat="1" x14ac:dyDescent="0.25"/>
    <row r="3412" s="15" customFormat="1" x14ac:dyDescent="0.25"/>
    <row r="3413" s="15" customFormat="1" x14ac:dyDescent="0.25"/>
    <row r="3414" s="15" customFormat="1" x14ac:dyDescent="0.25"/>
    <row r="3415" s="15" customFormat="1" x14ac:dyDescent="0.25"/>
    <row r="3416" s="15" customFormat="1" x14ac:dyDescent="0.25"/>
    <row r="3417" s="15" customFormat="1" x14ac:dyDescent="0.25"/>
    <row r="3418" s="15" customFormat="1" x14ac:dyDescent="0.25"/>
    <row r="3419" s="15" customFormat="1" x14ac:dyDescent="0.25"/>
    <row r="3420" s="15" customFormat="1" x14ac:dyDescent="0.25"/>
    <row r="3421" s="15" customFormat="1" x14ac:dyDescent="0.25"/>
    <row r="3422" s="15" customFormat="1" x14ac:dyDescent="0.25"/>
    <row r="3423" s="15" customFormat="1" x14ac:dyDescent="0.25"/>
    <row r="3424" s="15" customFormat="1" x14ac:dyDescent="0.25"/>
    <row r="3425" s="15" customFormat="1" x14ac:dyDescent="0.25"/>
    <row r="3426" s="15" customFormat="1" x14ac:dyDescent="0.25"/>
    <row r="3427" s="15" customFormat="1" x14ac:dyDescent="0.25"/>
    <row r="3428" s="15" customFormat="1" x14ac:dyDescent="0.25"/>
    <row r="3429" s="15" customFormat="1" x14ac:dyDescent="0.25"/>
    <row r="3430" s="15" customFormat="1" x14ac:dyDescent="0.25"/>
    <row r="3431" s="15" customFormat="1" x14ac:dyDescent="0.25"/>
    <row r="3432" s="15" customFormat="1" x14ac:dyDescent="0.25"/>
    <row r="3433" s="15" customFormat="1" x14ac:dyDescent="0.25"/>
    <row r="3434" s="15" customFormat="1" x14ac:dyDescent="0.25"/>
    <row r="3435" s="15" customFormat="1" x14ac:dyDescent="0.25"/>
    <row r="3436" s="15" customFormat="1" x14ac:dyDescent="0.25"/>
    <row r="3437" s="15" customFormat="1" x14ac:dyDescent="0.25"/>
    <row r="3438" s="15" customFormat="1" x14ac:dyDescent="0.25"/>
    <row r="3439" s="15" customFormat="1" x14ac:dyDescent="0.25"/>
    <row r="3440" s="15" customFormat="1" x14ac:dyDescent="0.25"/>
    <row r="3441" s="15" customFormat="1" x14ac:dyDescent="0.25"/>
    <row r="3442" s="15" customFormat="1" x14ac:dyDescent="0.25"/>
    <row r="3443" s="15" customFormat="1" x14ac:dyDescent="0.25"/>
    <row r="3444" s="15" customFormat="1" x14ac:dyDescent="0.25"/>
    <row r="3445" s="15" customFormat="1" x14ac:dyDescent="0.25"/>
    <row r="3446" s="15" customFormat="1" x14ac:dyDescent="0.25"/>
    <row r="3447" s="15" customFormat="1" x14ac:dyDescent="0.25"/>
    <row r="3448" s="15" customFormat="1" x14ac:dyDescent="0.25"/>
    <row r="3449" s="15" customFormat="1" x14ac:dyDescent="0.25"/>
    <row r="3450" s="15" customFormat="1" x14ac:dyDescent="0.25"/>
    <row r="3451" s="15" customFormat="1" x14ac:dyDescent="0.25"/>
    <row r="3452" s="15" customFormat="1" x14ac:dyDescent="0.25"/>
    <row r="3453" s="15" customFormat="1" x14ac:dyDescent="0.25"/>
    <row r="3454" s="15" customFormat="1" x14ac:dyDescent="0.25"/>
    <row r="3455" s="15" customFormat="1" x14ac:dyDescent="0.25"/>
    <row r="3456" s="15" customFormat="1" x14ac:dyDescent="0.25"/>
    <row r="3457" s="15" customFormat="1" x14ac:dyDescent="0.25"/>
    <row r="3458" s="15" customFormat="1" x14ac:dyDescent="0.25"/>
    <row r="3459" s="15" customFormat="1" x14ac:dyDescent="0.25"/>
    <row r="3460" s="15" customFormat="1" x14ac:dyDescent="0.25"/>
    <row r="3461" s="15" customFormat="1" x14ac:dyDescent="0.25"/>
    <row r="3462" s="15" customFormat="1" x14ac:dyDescent="0.25"/>
    <row r="3463" s="15" customFormat="1" x14ac:dyDescent="0.25"/>
    <row r="3464" s="15" customFormat="1" x14ac:dyDescent="0.25"/>
    <row r="3465" s="15" customFormat="1" x14ac:dyDescent="0.25"/>
    <row r="3466" s="15" customFormat="1" x14ac:dyDescent="0.25"/>
    <row r="3467" s="15" customFormat="1" x14ac:dyDescent="0.25"/>
    <row r="3468" s="15" customFormat="1" x14ac:dyDescent="0.25"/>
    <row r="3469" s="15" customFormat="1" x14ac:dyDescent="0.25"/>
    <row r="3470" s="15" customFormat="1" x14ac:dyDescent="0.25"/>
    <row r="3471" s="15" customFormat="1" x14ac:dyDescent="0.25"/>
    <row r="3472" s="15" customFormat="1" x14ac:dyDescent="0.25"/>
    <row r="3473" s="15" customFormat="1" x14ac:dyDescent="0.25"/>
    <row r="3474" s="15" customFormat="1" x14ac:dyDescent="0.25"/>
    <row r="3475" s="15" customFormat="1" x14ac:dyDescent="0.25"/>
    <row r="3476" s="15" customFormat="1" x14ac:dyDescent="0.25"/>
    <row r="3477" s="15" customFormat="1" x14ac:dyDescent="0.25"/>
    <row r="3478" s="15" customFormat="1" x14ac:dyDescent="0.25"/>
    <row r="3479" s="15" customFormat="1" x14ac:dyDescent="0.25"/>
    <row r="3480" s="15" customFormat="1" x14ac:dyDescent="0.25"/>
    <row r="3481" s="15" customFormat="1" x14ac:dyDescent="0.25"/>
    <row r="3482" s="15" customFormat="1" x14ac:dyDescent="0.25"/>
    <row r="3483" s="15" customFormat="1" x14ac:dyDescent="0.25"/>
    <row r="3484" s="15" customFormat="1" x14ac:dyDescent="0.25"/>
    <row r="3485" s="15" customFormat="1" x14ac:dyDescent="0.25"/>
    <row r="3486" s="15" customFormat="1" x14ac:dyDescent="0.25"/>
    <row r="3487" s="15" customFormat="1" x14ac:dyDescent="0.25"/>
    <row r="3488" s="15" customFormat="1" x14ac:dyDescent="0.25"/>
    <row r="3489" s="15" customFormat="1" x14ac:dyDescent="0.25"/>
    <row r="3490" s="15" customFormat="1" x14ac:dyDescent="0.25"/>
    <row r="3491" s="15" customFormat="1" x14ac:dyDescent="0.25"/>
    <row r="3492" s="15" customFormat="1" x14ac:dyDescent="0.25"/>
    <row r="3493" s="15" customFormat="1" x14ac:dyDescent="0.25"/>
    <row r="3494" s="15" customFormat="1" x14ac:dyDescent="0.25"/>
    <row r="3495" s="15" customFormat="1" x14ac:dyDescent="0.25"/>
    <row r="3496" s="15" customFormat="1" x14ac:dyDescent="0.25"/>
    <row r="3497" s="15" customFormat="1" x14ac:dyDescent="0.25"/>
    <row r="3498" s="15" customFormat="1" x14ac:dyDescent="0.25"/>
    <row r="3499" s="15" customFormat="1" x14ac:dyDescent="0.25"/>
    <row r="3500" s="15" customFormat="1" x14ac:dyDescent="0.25"/>
    <row r="3501" s="15" customFormat="1" x14ac:dyDescent="0.25"/>
    <row r="3502" s="15" customFormat="1" x14ac:dyDescent="0.25"/>
    <row r="3503" s="15" customFormat="1" x14ac:dyDescent="0.25"/>
    <row r="3504" s="15" customFormat="1" x14ac:dyDescent="0.25"/>
    <row r="3505" s="15" customFormat="1" x14ac:dyDescent="0.25"/>
    <row r="3506" s="15" customFormat="1" x14ac:dyDescent="0.25"/>
    <row r="3507" s="15" customFormat="1" x14ac:dyDescent="0.25"/>
    <row r="3508" s="15" customFormat="1" x14ac:dyDescent="0.25"/>
    <row r="3509" s="15" customFormat="1" x14ac:dyDescent="0.25"/>
    <row r="3510" s="15" customFormat="1" x14ac:dyDescent="0.25"/>
    <row r="3511" s="15" customFormat="1" x14ac:dyDescent="0.25"/>
    <row r="3512" s="15" customFormat="1" x14ac:dyDescent="0.25"/>
    <row r="3513" s="15" customFormat="1" x14ac:dyDescent="0.25"/>
    <row r="3514" s="15" customFormat="1" x14ac:dyDescent="0.25"/>
    <row r="3515" s="15" customFormat="1" x14ac:dyDescent="0.25"/>
    <row r="3516" s="15" customFormat="1" x14ac:dyDescent="0.25"/>
    <row r="3517" s="15" customFormat="1" x14ac:dyDescent="0.25"/>
    <row r="3518" s="15" customFormat="1" x14ac:dyDescent="0.25"/>
    <row r="3519" s="15" customFormat="1" x14ac:dyDescent="0.25"/>
    <row r="3520" s="15" customFormat="1" x14ac:dyDescent="0.25"/>
    <row r="3521" s="15" customFormat="1" x14ac:dyDescent="0.25"/>
    <row r="3522" s="15" customFormat="1" x14ac:dyDescent="0.25"/>
    <row r="3523" s="15" customFormat="1" x14ac:dyDescent="0.25"/>
    <row r="3524" s="15" customFormat="1" x14ac:dyDescent="0.25"/>
    <row r="3525" s="15" customFormat="1" x14ac:dyDescent="0.25"/>
    <row r="3526" s="15" customFormat="1" x14ac:dyDescent="0.25"/>
    <row r="3527" s="15" customFormat="1" x14ac:dyDescent="0.25"/>
    <row r="3528" s="15" customFormat="1" x14ac:dyDescent="0.25"/>
    <row r="3529" s="15" customFormat="1" x14ac:dyDescent="0.25"/>
    <row r="3530" s="15" customFormat="1" x14ac:dyDescent="0.25"/>
    <row r="3531" s="15" customFormat="1" x14ac:dyDescent="0.25"/>
    <row r="3532" s="15" customFormat="1" x14ac:dyDescent="0.25"/>
    <row r="3533" s="15" customFormat="1" x14ac:dyDescent="0.25"/>
    <row r="3534" s="15" customFormat="1" x14ac:dyDescent="0.25"/>
    <row r="3535" s="15" customFormat="1" x14ac:dyDescent="0.25"/>
    <row r="3536" s="15" customFormat="1" x14ac:dyDescent="0.25"/>
    <row r="3537" s="15" customFormat="1" x14ac:dyDescent="0.25"/>
    <row r="3538" s="15" customFormat="1" x14ac:dyDescent="0.25"/>
    <row r="3539" s="15" customFormat="1" x14ac:dyDescent="0.25"/>
    <row r="3540" s="15" customFormat="1" x14ac:dyDescent="0.25"/>
    <row r="3541" s="15" customFormat="1" x14ac:dyDescent="0.25"/>
    <row r="3542" s="15" customFormat="1" x14ac:dyDescent="0.25"/>
    <row r="3543" s="15" customFormat="1" x14ac:dyDescent="0.25"/>
    <row r="3544" s="15" customFormat="1" x14ac:dyDescent="0.25"/>
    <row r="3545" s="15" customFormat="1" x14ac:dyDescent="0.25"/>
    <row r="3546" s="15" customFormat="1" x14ac:dyDescent="0.25"/>
    <row r="3547" s="15" customFormat="1" x14ac:dyDescent="0.25"/>
    <row r="3548" s="15" customFormat="1" x14ac:dyDescent="0.25"/>
    <row r="3549" s="15" customFormat="1" x14ac:dyDescent="0.25"/>
    <row r="3550" s="15" customFormat="1" x14ac:dyDescent="0.25"/>
    <row r="3551" s="15" customFormat="1" x14ac:dyDescent="0.25"/>
    <row r="3552" s="15" customFormat="1" x14ac:dyDescent="0.25"/>
    <row r="3553" s="15" customFormat="1" x14ac:dyDescent="0.25"/>
    <row r="3554" s="15" customFormat="1" x14ac:dyDescent="0.25"/>
    <row r="3555" s="15" customFormat="1" x14ac:dyDescent="0.25"/>
    <row r="3556" s="15" customFormat="1" x14ac:dyDescent="0.25"/>
    <row r="3557" s="15" customFormat="1" x14ac:dyDescent="0.25"/>
    <row r="3558" s="15" customFormat="1" x14ac:dyDescent="0.25"/>
    <row r="3559" s="15" customFormat="1" x14ac:dyDescent="0.25"/>
    <row r="3560" s="15" customFormat="1" x14ac:dyDescent="0.25"/>
    <row r="3561" s="15" customFormat="1" x14ac:dyDescent="0.25"/>
    <row r="3562" s="15" customFormat="1" x14ac:dyDescent="0.25"/>
    <row r="3563" s="15" customFormat="1" x14ac:dyDescent="0.25"/>
    <row r="3564" s="15" customFormat="1" x14ac:dyDescent="0.25"/>
    <row r="3565" s="15" customFormat="1" x14ac:dyDescent="0.25"/>
    <row r="3566" s="15" customFormat="1" x14ac:dyDescent="0.25"/>
    <row r="3567" s="15" customFormat="1" x14ac:dyDescent="0.25"/>
    <row r="3568" s="15" customFormat="1" x14ac:dyDescent="0.25"/>
    <row r="3569" s="15" customFormat="1" x14ac:dyDescent="0.25"/>
    <row r="3570" s="15" customFormat="1" x14ac:dyDescent="0.25"/>
    <row r="3571" s="15" customFormat="1" x14ac:dyDescent="0.25"/>
    <row r="3572" s="15" customFormat="1" x14ac:dyDescent="0.25"/>
    <row r="3573" s="15" customFormat="1" x14ac:dyDescent="0.25"/>
    <row r="3574" s="15" customFormat="1" x14ac:dyDescent="0.25"/>
    <row r="3575" s="15" customFormat="1" x14ac:dyDescent="0.25"/>
    <row r="3576" s="15" customFormat="1" x14ac:dyDescent="0.25"/>
    <row r="3577" s="15" customFormat="1" x14ac:dyDescent="0.25"/>
    <row r="3578" s="15" customFormat="1" x14ac:dyDescent="0.25"/>
    <row r="3579" s="15" customFormat="1" x14ac:dyDescent="0.25"/>
    <row r="3580" s="15" customFormat="1" x14ac:dyDescent="0.25"/>
    <row r="3581" s="15" customFormat="1" x14ac:dyDescent="0.25"/>
    <row r="3582" s="15" customFormat="1" x14ac:dyDescent="0.25"/>
    <row r="3583" s="15" customFormat="1" x14ac:dyDescent="0.25"/>
    <row r="3584" s="15" customFormat="1" x14ac:dyDescent="0.25"/>
    <row r="3585" s="15" customFormat="1" x14ac:dyDescent="0.25"/>
    <row r="3586" s="15" customFormat="1" x14ac:dyDescent="0.25"/>
    <row r="3587" s="15" customFormat="1" x14ac:dyDescent="0.25"/>
    <row r="3588" s="15" customFormat="1" x14ac:dyDescent="0.25"/>
    <row r="3589" s="15" customFormat="1" x14ac:dyDescent="0.25"/>
    <row r="3590" s="15" customFormat="1" x14ac:dyDescent="0.25"/>
    <row r="3591" s="15" customFormat="1" x14ac:dyDescent="0.25"/>
    <row r="3592" s="15" customFormat="1" x14ac:dyDescent="0.25"/>
    <row r="3593" s="15" customFormat="1" x14ac:dyDescent="0.25"/>
    <row r="3594" s="15" customFormat="1" x14ac:dyDescent="0.25"/>
    <row r="3595" s="15" customFormat="1" x14ac:dyDescent="0.25"/>
    <row r="3596" s="15" customFormat="1" x14ac:dyDescent="0.25"/>
    <row r="3597" s="15" customFormat="1" x14ac:dyDescent="0.25"/>
    <row r="3598" s="15" customFormat="1" x14ac:dyDescent="0.25"/>
    <row r="3599" s="15" customFormat="1" x14ac:dyDescent="0.25"/>
    <row r="3600" s="15" customFormat="1" x14ac:dyDescent="0.25"/>
    <row r="3601" s="15" customFormat="1" x14ac:dyDescent="0.25"/>
    <row r="3602" s="15" customFormat="1" x14ac:dyDescent="0.25"/>
    <row r="3603" s="15" customFormat="1" x14ac:dyDescent="0.25"/>
    <row r="3604" s="15" customFormat="1" x14ac:dyDescent="0.25"/>
    <row r="3605" s="15" customFormat="1" x14ac:dyDescent="0.25"/>
    <row r="3606" s="15" customFormat="1" x14ac:dyDescent="0.25"/>
    <row r="3607" s="15" customFormat="1" x14ac:dyDescent="0.25"/>
    <row r="3608" s="15" customFormat="1" x14ac:dyDescent="0.25"/>
    <row r="3609" s="15" customFormat="1" x14ac:dyDescent="0.25"/>
    <row r="3610" s="15" customFormat="1" x14ac:dyDescent="0.25"/>
    <row r="3611" s="15" customFormat="1" x14ac:dyDescent="0.25"/>
    <row r="3612" s="15" customFormat="1" x14ac:dyDescent="0.25"/>
    <row r="3613" s="15" customFormat="1" x14ac:dyDescent="0.25"/>
    <row r="3614" s="15" customFormat="1" x14ac:dyDescent="0.25"/>
    <row r="3615" s="15" customFormat="1" x14ac:dyDescent="0.25"/>
    <row r="3616" s="15" customFormat="1" x14ac:dyDescent="0.25"/>
    <row r="3617" s="15" customFormat="1" x14ac:dyDescent="0.25"/>
    <row r="3618" s="15" customFormat="1" x14ac:dyDescent="0.25"/>
    <row r="3619" s="15" customFormat="1" x14ac:dyDescent="0.25"/>
    <row r="3620" s="15" customFormat="1" x14ac:dyDescent="0.25"/>
    <row r="3621" s="15" customFormat="1" x14ac:dyDescent="0.25"/>
    <row r="3622" s="15" customFormat="1" x14ac:dyDescent="0.25"/>
    <row r="3623" s="15" customFormat="1" x14ac:dyDescent="0.25"/>
    <row r="3624" s="15" customFormat="1" x14ac:dyDescent="0.25"/>
    <row r="3625" s="15" customFormat="1" x14ac:dyDescent="0.25"/>
    <row r="3626" s="15" customFormat="1" x14ac:dyDescent="0.25"/>
    <row r="3627" s="15" customFormat="1" x14ac:dyDescent="0.25"/>
    <row r="3628" s="15" customFormat="1" x14ac:dyDescent="0.25"/>
    <row r="3629" s="15" customFormat="1" x14ac:dyDescent="0.25"/>
    <row r="3630" s="15" customFormat="1" x14ac:dyDescent="0.25"/>
    <row r="3631" s="15" customFormat="1" x14ac:dyDescent="0.25"/>
    <row r="3632" s="15" customFormat="1" x14ac:dyDescent="0.25"/>
    <row r="3633" s="15" customFormat="1" x14ac:dyDescent="0.25"/>
    <row r="3634" s="15" customFormat="1" x14ac:dyDescent="0.25"/>
    <row r="3635" s="15" customFormat="1" x14ac:dyDescent="0.25"/>
    <row r="3636" s="15" customFormat="1" x14ac:dyDescent="0.25"/>
    <row r="3637" s="15" customFormat="1" x14ac:dyDescent="0.25"/>
    <row r="3638" s="15" customFormat="1" x14ac:dyDescent="0.25"/>
    <row r="3639" s="15" customFormat="1" x14ac:dyDescent="0.25"/>
    <row r="3640" s="15" customFormat="1" x14ac:dyDescent="0.25"/>
    <row r="3641" s="15" customFormat="1" x14ac:dyDescent="0.25"/>
    <row r="3642" s="15" customFormat="1" x14ac:dyDescent="0.25"/>
    <row r="3643" s="15" customFormat="1" x14ac:dyDescent="0.25"/>
    <row r="3644" s="15" customFormat="1" x14ac:dyDescent="0.25"/>
    <row r="3645" s="15" customFormat="1" x14ac:dyDescent="0.25"/>
    <row r="3646" s="15" customFormat="1" x14ac:dyDescent="0.25"/>
    <row r="3647" s="15" customFormat="1" x14ac:dyDescent="0.25"/>
    <row r="3648" s="15" customFormat="1" x14ac:dyDescent="0.25"/>
    <row r="3649" s="15" customFormat="1" x14ac:dyDescent="0.25"/>
    <row r="3650" s="15" customFormat="1" x14ac:dyDescent="0.25"/>
    <row r="3651" s="15" customFormat="1" x14ac:dyDescent="0.25"/>
    <row r="3652" s="15" customFormat="1" x14ac:dyDescent="0.25"/>
    <row r="3653" s="15" customFormat="1" x14ac:dyDescent="0.25"/>
    <row r="3654" s="15" customFormat="1" x14ac:dyDescent="0.25"/>
    <row r="3655" s="15" customFormat="1" x14ac:dyDescent="0.25"/>
    <row r="3656" s="15" customFormat="1" x14ac:dyDescent="0.25"/>
    <row r="3657" s="15" customFormat="1" x14ac:dyDescent="0.25"/>
    <row r="3658" s="15" customFormat="1" x14ac:dyDescent="0.25"/>
    <row r="3659" s="15" customFormat="1" x14ac:dyDescent="0.25"/>
    <row r="3660" s="15" customFormat="1" x14ac:dyDescent="0.25"/>
    <row r="3661" s="15" customFormat="1" x14ac:dyDescent="0.25"/>
    <row r="3662" s="15" customFormat="1" x14ac:dyDescent="0.25"/>
    <row r="3663" s="15" customFormat="1" x14ac:dyDescent="0.25"/>
    <row r="3664" s="15" customFormat="1" x14ac:dyDescent="0.25"/>
    <row r="3665" s="15" customFormat="1" x14ac:dyDescent="0.25"/>
    <row r="3666" s="15" customFormat="1" x14ac:dyDescent="0.25"/>
    <row r="3667" s="15" customFormat="1" x14ac:dyDescent="0.25"/>
    <row r="3668" s="15" customFormat="1" x14ac:dyDescent="0.25"/>
    <row r="3669" s="15" customFormat="1" x14ac:dyDescent="0.25"/>
    <row r="3670" s="15" customFormat="1" x14ac:dyDescent="0.25"/>
    <row r="3671" s="15" customFormat="1" x14ac:dyDescent="0.25"/>
    <row r="3672" s="15" customFormat="1" x14ac:dyDescent="0.25"/>
    <row r="3673" s="15" customFormat="1" x14ac:dyDescent="0.25"/>
    <row r="3674" s="15" customFormat="1" x14ac:dyDescent="0.25"/>
    <row r="3675" s="15" customFormat="1" x14ac:dyDescent="0.25"/>
    <row r="3676" s="15" customFormat="1" x14ac:dyDescent="0.25"/>
    <row r="3677" s="15" customFormat="1" x14ac:dyDescent="0.25"/>
    <row r="3678" s="15" customFormat="1" x14ac:dyDescent="0.25"/>
    <row r="3679" s="15" customFormat="1" x14ac:dyDescent="0.25"/>
    <row r="3680" s="15" customFormat="1" x14ac:dyDescent="0.25"/>
    <row r="3681" s="15" customFormat="1" x14ac:dyDescent="0.25"/>
    <row r="3682" s="15" customFormat="1" x14ac:dyDescent="0.25"/>
    <row r="3683" s="15" customFormat="1" x14ac:dyDescent="0.25"/>
    <row r="3684" s="15" customFormat="1" x14ac:dyDescent="0.25"/>
    <row r="3685" s="15" customFormat="1" x14ac:dyDescent="0.25"/>
    <row r="3686" s="15" customFormat="1" x14ac:dyDescent="0.25"/>
    <row r="3687" s="15" customFormat="1" x14ac:dyDescent="0.25"/>
    <row r="3688" s="15" customFormat="1" x14ac:dyDescent="0.25"/>
    <row r="3689" s="15" customFormat="1" x14ac:dyDescent="0.25"/>
    <row r="3690" s="15" customFormat="1" x14ac:dyDescent="0.25"/>
    <row r="3691" s="15" customFormat="1" x14ac:dyDescent="0.25"/>
    <row r="3692" s="15" customFormat="1" x14ac:dyDescent="0.25"/>
    <row r="3693" s="15" customFormat="1" x14ac:dyDescent="0.25"/>
    <row r="3694" s="15" customFormat="1" x14ac:dyDescent="0.25"/>
    <row r="3695" s="15" customFormat="1" x14ac:dyDescent="0.25"/>
    <row r="3696" s="15" customFormat="1" x14ac:dyDescent="0.25"/>
    <row r="3697" s="15" customFormat="1" x14ac:dyDescent="0.25"/>
    <row r="3698" s="15" customFormat="1" x14ac:dyDescent="0.25"/>
    <row r="3699" s="15" customFormat="1" x14ac:dyDescent="0.25"/>
    <row r="3700" s="15" customFormat="1" x14ac:dyDescent="0.25"/>
    <row r="3701" s="15" customFormat="1" x14ac:dyDescent="0.25"/>
    <row r="3702" s="15" customFormat="1" x14ac:dyDescent="0.25"/>
    <row r="3703" s="15" customFormat="1" x14ac:dyDescent="0.25"/>
    <row r="3704" s="15" customFormat="1" x14ac:dyDescent="0.25"/>
    <row r="3705" s="15" customFormat="1" x14ac:dyDescent="0.25"/>
    <row r="3706" s="15" customFormat="1" x14ac:dyDescent="0.25"/>
    <row r="3707" s="15" customFormat="1" x14ac:dyDescent="0.25"/>
    <row r="3708" s="15" customFormat="1" x14ac:dyDescent="0.25"/>
    <row r="3709" s="15" customFormat="1" x14ac:dyDescent="0.25"/>
    <row r="3710" s="15" customFormat="1" x14ac:dyDescent="0.25"/>
    <row r="3711" s="15" customFormat="1" x14ac:dyDescent="0.25"/>
    <row r="3712" s="15" customFormat="1" x14ac:dyDescent="0.25"/>
    <row r="3713" s="15" customFormat="1" x14ac:dyDescent="0.25"/>
    <row r="3714" s="15" customFormat="1" x14ac:dyDescent="0.25"/>
    <row r="3715" s="15" customFormat="1" x14ac:dyDescent="0.25"/>
    <row r="3716" s="15" customFormat="1" x14ac:dyDescent="0.25"/>
    <row r="3717" s="15" customFormat="1" x14ac:dyDescent="0.25"/>
    <row r="3718" s="15" customFormat="1" x14ac:dyDescent="0.25"/>
    <row r="3719" s="15" customFormat="1" x14ac:dyDescent="0.25"/>
    <row r="3720" s="15" customFormat="1" x14ac:dyDescent="0.25"/>
    <row r="3721" s="15" customFormat="1" x14ac:dyDescent="0.25"/>
    <row r="3722" s="15" customFormat="1" x14ac:dyDescent="0.25"/>
    <row r="3723" s="15" customFormat="1" x14ac:dyDescent="0.25"/>
    <row r="3724" s="15" customFormat="1" x14ac:dyDescent="0.25"/>
    <row r="3725" s="15" customFormat="1" x14ac:dyDescent="0.25"/>
    <row r="3726" s="15" customFormat="1" x14ac:dyDescent="0.25"/>
    <row r="3727" s="15" customFormat="1" x14ac:dyDescent="0.25"/>
    <row r="3728" s="15" customFormat="1" x14ac:dyDescent="0.25"/>
    <row r="3729" s="15" customFormat="1" x14ac:dyDescent="0.25"/>
    <row r="3730" s="15" customFormat="1" x14ac:dyDescent="0.25"/>
    <row r="3731" s="15" customFormat="1" x14ac:dyDescent="0.25"/>
    <row r="3732" s="15" customFormat="1" x14ac:dyDescent="0.25"/>
    <row r="3733" s="15" customFormat="1" x14ac:dyDescent="0.25"/>
    <row r="3734" s="15" customFormat="1" x14ac:dyDescent="0.25"/>
    <row r="3735" s="15" customFormat="1" x14ac:dyDescent="0.25"/>
    <row r="3736" s="15" customFormat="1" x14ac:dyDescent="0.25"/>
    <row r="3737" s="15" customFormat="1" x14ac:dyDescent="0.25"/>
    <row r="3738" s="15" customFormat="1" x14ac:dyDescent="0.25"/>
    <row r="3739" s="15" customFormat="1" x14ac:dyDescent="0.25"/>
    <row r="3740" s="15" customFormat="1" x14ac:dyDescent="0.25"/>
    <row r="3741" s="15" customFormat="1" x14ac:dyDescent="0.25"/>
    <row r="3742" s="15" customFormat="1" x14ac:dyDescent="0.25"/>
    <row r="3743" s="15" customFormat="1" x14ac:dyDescent="0.25"/>
    <row r="3744" s="15" customFormat="1" x14ac:dyDescent="0.25"/>
    <row r="3745" s="15" customFormat="1" x14ac:dyDescent="0.25"/>
    <row r="3746" s="15" customFormat="1" x14ac:dyDescent="0.25"/>
    <row r="3747" s="15" customFormat="1" x14ac:dyDescent="0.25"/>
    <row r="3748" s="15" customFormat="1" x14ac:dyDescent="0.25"/>
    <row r="3749" s="15" customFormat="1" x14ac:dyDescent="0.25"/>
    <row r="3750" s="15" customFormat="1" x14ac:dyDescent="0.25"/>
    <row r="3751" s="15" customFormat="1" x14ac:dyDescent="0.25"/>
    <row r="3752" s="15" customFormat="1" x14ac:dyDescent="0.25"/>
    <row r="3753" s="15" customFormat="1" x14ac:dyDescent="0.25"/>
    <row r="3754" s="15" customFormat="1" x14ac:dyDescent="0.25"/>
    <row r="3755" s="15" customFormat="1" x14ac:dyDescent="0.25"/>
    <row r="3756" s="15" customFormat="1" x14ac:dyDescent="0.25"/>
    <row r="3757" s="15" customFormat="1" x14ac:dyDescent="0.25"/>
    <row r="3758" s="15" customFormat="1" x14ac:dyDescent="0.25"/>
    <row r="3759" s="15" customFormat="1" x14ac:dyDescent="0.25"/>
    <row r="3760" s="15" customFormat="1" x14ac:dyDescent="0.25"/>
    <row r="3761" s="15" customFormat="1" x14ac:dyDescent="0.25"/>
    <row r="3762" s="15" customFormat="1" x14ac:dyDescent="0.25"/>
    <row r="3763" s="15" customFormat="1" x14ac:dyDescent="0.25"/>
    <row r="3764" s="15" customFormat="1" x14ac:dyDescent="0.25"/>
    <row r="3765" s="15" customFormat="1" x14ac:dyDescent="0.25"/>
    <row r="3766" s="15" customFormat="1" x14ac:dyDescent="0.25"/>
    <row r="3767" s="15" customFormat="1" x14ac:dyDescent="0.25"/>
    <row r="3768" s="15" customFormat="1" x14ac:dyDescent="0.25"/>
    <row r="3769" s="15" customFormat="1" x14ac:dyDescent="0.25"/>
    <row r="3770" s="15" customFormat="1" x14ac:dyDescent="0.25"/>
    <row r="3771" s="15" customFormat="1" x14ac:dyDescent="0.25"/>
    <row r="3772" s="15" customFormat="1" x14ac:dyDescent="0.25"/>
    <row r="3773" s="15" customFormat="1" x14ac:dyDescent="0.25"/>
    <row r="3774" s="15" customFormat="1" x14ac:dyDescent="0.25"/>
    <row r="3775" s="15" customFormat="1" x14ac:dyDescent="0.25"/>
    <row r="3776" s="15" customFormat="1" x14ac:dyDescent="0.25"/>
    <row r="3777" s="15" customFormat="1" x14ac:dyDescent="0.25"/>
    <row r="3778" s="15" customFormat="1" x14ac:dyDescent="0.25"/>
    <row r="3779" s="15" customFormat="1" x14ac:dyDescent="0.25"/>
    <row r="3780" s="15" customFormat="1" x14ac:dyDescent="0.25"/>
    <row r="3781" s="15" customFormat="1" x14ac:dyDescent="0.25"/>
    <row r="3782" s="15" customFormat="1" x14ac:dyDescent="0.25"/>
    <row r="3783" s="15" customFormat="1" x14ac:dyDescent="0.25"/>
    <row r="3784" s="15" customFormat="1" x14ac:dyDescent="0.25"/>
    <row r="3785" s="15" customFormat="1" x14ac:dyDescent="0.25"/>
    <row r="3786" s="15" customFormat="1" x14ac:dyDescent="0.25"/>
    <row r="3787" s="15" customFormat="1" x14ac:dyDescent="0.25"/>
    <row r="3788" s="15" customFormat="1" x14ac:dyDescent="0.25"/>
    <row r="3789" s="15" customFormat="1" x14ac:dyDescent="0.25"/>
    <row r="3790" s="15" customFormat="1" x14ac:dyDescent="0.25"/>
    <row r="3791" s="15" customFormat="1" x14ac:dyDescent="0.25"/>
    <row r="3792" s="15" customFormat="1" x14ac:dyDescent="0.25"/>
    <row r="3793" s="15" customFormat="1" x14ac:dyDescent="0.25"/>
    <row r="3794" s="15" customFormat="1" x14ac:dyDescent="0.25"/>
    <row r="3795" s="15" customFormat="1" x14ac:dyDescent="0.25"/>
    <row r="3796" s="15" customFormat="1" x14ac:dyDescent="0.25"/>
    <row r="3797" s="15" customFormat="1" x14ac:dyDescent="0.25"/>
    <row r="3798" s="15" customFormat="1" x14ac:dyDescent="0.25"/>
    <row r="3799" s="15" customFormat="1" x14ac:dyDescent="0.25"/>
    <row r="3800" s="15" customFormat="1" x14ac:dyDescent="0.25"/>
    <row r="3801" s="15" customFormat="1" x14ac:dyDescent="0.25"/>
    <row r="3802" s="15" customFormat="1" x14ac:dyDescent="0.25"/>
    <row r="3803" s="15" customFormat="1" x14ac:dyDescent="0.25"/>
    <row r="3804" s="15" customFormat="1" x14ac:dyDescent="0.25"/>
    <row r="3805" s="15" customFormat="1" x14ac:dyDescent="0.25"/>
    <row r="3806" s="15" customFormat="1" x14ac:dyDescent="0.25"/>
    <row r="3807" s="15" customFormat="1" x14ac:dyDescent="0.25"/>
    <row r="3808" s="15" customFormat="1" x14ac:dyDescent="0.25"/>
    <row r="3809" s="15" customFormat="1" x14ac:dyDescent="0.25"/>
    <row r="3810" s="15" customFormat="1" x14ac:dyDescent="0.25"/>
    <row r="3811" s="15" customFormat="1" x14ac:dyDescent="0.25"/>
    <row r="3812" s="15" customFormat="1" x14ac:dyDescent="0.25"/>
    <row r="3813" s="15" customFormat="1" x14ac:dyDescent="0.25"/>
    <row r="3814" s="15" customFormat="1" x14ac:dyDescent="0.25"/>
    <row r="3815" s="15" customFormat="1" x14ac:dyDescent="0.25"/>
    <row r="3816" s="15" customFormat="1" x14ac:dyDescent="0.25"/>
    <row r="3817" s="15" customFormat="1" x14ac:dyDescent="0.25"/>
    <row r="3818" s="15" customFormat="1" x14ac:dyDescent="0.25"/>
    <row r="3819" s="15" customFormat="1" x14ac:dyDescent="0.25"/>
    <row r="3820" s="15" customFormat="1" x14ac:dyDescent="0.25"/>
    <row r="3821" s="15" customFormat="1" x14ac:dyDescent="0.25"/>
    <row r="3822" s="15" customFormat="1" x14ac:dyDescent="0.25"/>
    <row r="3823" s="15" customFormat="1" x14ac:dyDescent="0.25"/>
    <row r="3824" s="15" customFormat="1" x14ac:dyDescent="0.25"/>
    <row r="3825" s="15" customFormat="1" x14ac:dyDescent="0.25"/>
    <row r="3826" s="15" customFormat="1" x14ac:dyDescent="0.25"/>
    <row r="3827" s="15" customFormat="1" x14ac:dyDescent="0.25"/>
    <row r="3828" s="15" customFormat="1" x14ac:dyDescent="0.25"/>
    <row r="3829" s="15" customFormat="1" x14ac:dyDescent="0.25"/>
    <row r="3830" s="15" customFormat="1" x14ac:dyDescent="0.25"/>
    <row r="3831" s="15" customFormat="1" x14ac:dyDescent="0.25"/>
    <row r="3832" s="15" customFormat="1" x14ac:dyDescent="0.25"/>
    <row r="3833" s="15" customFormat="1" x14ac:dyDescent="0.25"/>
    <row r="3834" s="15" customFormat="1" x14ac:dyDescent="0.25"/>
    <row r="3835" s="15" customFormat="1" x14ac:dyDescent="0.25"/>
    <row r="3836" s="15" customFormat="1" x14ac:dyDescent="0.25"/>
    <row r="3837" s="15" customFormat="1" x14ac:dyDescent="0.25"/>
    <row r="3838" s="15" customFormat="1" x14ac:dyDescent="0.25"/>
    <row r="3839" s="15" customFormat="1" x14ac:dyDescent="0.25"/>
    <row r="3840" s="15" customFormat="1" x14ac:dyDescent="0.25"/>
    <row r="3841" s="15" customFormat="1" x14ac:dyDescent="0.25"/>
    <row r="3842" s="15" customFormat="1" x14ac:dyDescent="0.25"/>
    <row r="3843" s="15" customFormat="1" x14ac:dyDescent="0.25"/>
    <row r="3844" s="15" customFormat="1" x14ac:dyDescent="0.25"/>
    <row r="3845" s="15" customFormat="1" x14ac:dyDescent="0.25"/>
    <row r="3846" s="15" customFormat="1" x14ac:dyDescent="0.25"/>
    <row r="3847" s="15" customFormat="1" x14ac:dyDescent="0.25"/>
    <row r="3848" s="15" customFormat="1" x14ac:dyDescent="0.25"/>
    <row r="3849" s="15" customFormat="1" x14ac:dyDescent="0.25"/>
    <row r="3850" s="15" customFormat="1" x14ac:dyDescent="0.25"/>
    <row r="3851" s="15" customFormat="1" x14ac:dyDescent="0.25"/>
    <row r="3852" s="15" customFormat="1" x14ac:dyDescent="0.25"/>
    <row r="3853" s="15" customFormat="1" x14ac:dyDescent="0.25"/>
    <row r="3854" s="15" customFormat="1" x14ac:dyDescent="0.25"/>
    <row r="3855" s="15" customFormat="1" x14ac:dyDescent="0.25"/>
    <row r="3856" s="15" customFormat="1" x14ac:dyDescent="0.25"/>
    <row r="3857" s="15" customFormat="1" x14ac:dyDescent="0.25"/>
    <row r="3858" s="15" customFormat="1" x14ac:dyDescent="0.25"/>
    <row r="3859" s="15" customFormat="1" x14ac:dyDescent="0.25"/>
    <row r="3860" s="15" customFormat="1" x14ac:dyDescent="0.25"/>
    <row r="3861" s="15" customFormat="1" x14ac:dyDescent="0.25"/>
    <row r="3862" s="15" customFormat="1" x14ac:dyDescent="0.25"/>
    <row r="3863" s="15" customFormat="1" x14ac:dyDescent="0.25"/>
    <row r="3864" s="15" customFormat="1" x14ac:dyDescent="0.25"/>
    <row r="3865" s="15" customFormat="1" x14ac:dyDescent="0.25"/>
    <row r="3866" s="15" customFormat="1" x14ac:dyDescent="0.25"/>
    <row r="3867" s="15" customFormat="1" x14ac:dyDescent="0.25"/>
    <row r="3868" s="15" customFormat="1" x14ac:dyDescent="0.25"/>
    <row r="3869" s="15" customFormat="1" x14ac:dyDescent="0.25"/>
    <row r="3870" s="15" customFormat="1" x14ac:dyDescent="0.25"/>
    <row r="3871" s="15" customFormat="1" x14ac:dyDescent="0.25"/>
    <row r="3872" s="15" customFormat="1" x14ac:dyDescent="0.25"/>
    <row r="3873" s="15" customFormat="1" x14ac:dyDescent="0.25"/>
    <row r="3874" s="15" customFormat="1" x14ac:dyDescent="0.25"/>
    <row r="3875" s="15" customFormat="1" x14ac:dyDescent="0.25"/>
    <row r="3876" s="15" customFormat="1" x14ac:dyDescent="0.25"/>
    <row r="3877" s="15" customFormat="1" x14ac:dyDescent="0.25"/>
    <row r="3878" s="15" customFormat="1" x14ac:dyDescent="0.25"/>
    <row r="3879" s="15" customFormat="1" x14ac:dyDescent="0.25"/>
    <row r="3880" s="15" customFormat="1" x14ac:dyDescent="0.25"/>
    <row r="3881" s="15" customFormat="1" x14ac:dyDescent="0.25"/>
    <row r="3882" s="15" customFormat="1" x14ac:dyDescent="0.25"/>
    <row r="3883" s="15" customFormat="1" x14ac:dyDescent="0.25"/>
    <row r="3884" s="15" customFormat="1" x14ac:dyDescent="0.25"/>
    <row r="3885" s="15" customFormat="1" x14ac:dyDescent="0.25"/>
    <row r="3886" s="15" customFormat="1" x14ac:dyDescent="0.25"/>
    <row r="3887" s="15" customFormat="1" x14ac:dyDescent="0.25"/>
    <row r="3888" s="15" customFormat="1" x14ac:dyDescent="0.25"/>
    <row r="3889" s="15" customFormat="1" x14ac:dyDescent="0.25"/>
    <row r="3890" s="15" customFormat="1" x14ac:dyDescent="0.25"/>
    <row r="3891" s="15" customFormat="1" x14ac:dyDescent="0.25"/>
    <row r="3892" s="15" customFormat="1" x14ac:dyDescent="0.25"/>
    <row r="3893" s="15" customFormat="1" x14ac:dyDescent="0.25"/>
    <row r="3894" s="15" customFormat="1" x14ac:dyDescent="0.25"/>
    <row r="3895" s="15" customFormat="1" x14ac:dyDescent="0.25"/>
    <row r="3896" s="15" customFormat="1" x14ac:dyDescent="0.25"/>
    <row r="3897" s="15" customFormat="1" x14ac:dyDescent="0.25"/>
    <row r="3898" s="15" customFormat="1" x14ac:dyDescent="0.25"/>
    <row r="3899" s="15" customFormat="1" x14ac:dyDescent="0.25"/>
    <row r="3900" s="15" customFormat="1" x14ac:dyDescent="0.25"/>
    <row r="3901" s="15" customFormat="1" x14ac:dyDescent="0.25"/>
    <row r="3902" s="15" customFormat="1" x14ac:dyDescent="0.25"/>
    <row r="3903" s="15" customFormat="1" x14ac:dyDescent="0.25"/>
    <row r="3904" s="15" customFormat="1" x14ac:dyDescent="0.25"/>
    <row r="3905" s="15" customFormat="1" x14ac:dyDescent="0.25"/>
    <row r="3906" s="15" customFormat="1" x14ac:dyDescent="0.25"/>
    <row r="3907" s="15" customFormat="1" x14ac:dyDescent="0.25"/>
    <row r="3908" s="15" customFormat="1" x14ac:dyDescent="0.25"/>
    <row r="3909" s="15" customFormat="1" x14ac:dyDescent="0.25"/>
    <row r="3910" s="15" customFormat="1" x14ac:dyDescent="0.25"/>
    <row r="3911" s="15" customFormat="1" x14ac:dyDescent="0.25"/>
    <row r="3912" s="15" customFormat="1" x14ac:dyDescent="0.25"/>
    <row r="3913" s="15" customFormat="1" x14ac:dyDescent="0.25"/>
    <row r="3914" s="15" customFormat="1" x14ac:dyDescent="0.25"/>
    <row r="3915" s="15" customFormat="1" x14ac:dyDescent="0.25"/>
    <row r="3916" s="15" customFormat="1" x14ac:dyDescent="0.25"/>
    <row r="3917" s="15" customFormat="1" x14ac:dyDescent="0.25"/>
    <row r="3918" s="15" customFormat="1" x14ac:dyDescent="0.25"/>
    <row r="3919" s="15" customFormat="1" x14ac:dyDescent="0.25"/>
    <row r="3920" s="15" customFormat="1" x14ac:dyDescent="0.25"/>
    <row r="3921" s="15" customFormat="1" x14ac:dyDescent="0.25"/>
    <row r="3922" s="15" customFormat="1" x14ac:dyDescent="0.25"/>
    <row r="3923" s="15" customFormat="1" x14ac:dyDescent="0.25"/>
    <row r="3924" s="15" customFormat="1" x14ac:dyDescent="0.25"/>
    <row r="3925" s="15" customFormat="1" x14ac:dyDescent="0.25"/>
    <row r="3926" s="15" customFormat="1" x14ac:dyDescent="0.25"/>
    <row r="3927" s="15" customFormat="1" x14ac:dyDescent="0.25"/>
    <row r="3928" s="15" customFormat="1" x14ac:dyDescent="0.25"/>
    <row r="3929" s="15" customFormat="1" x14ac:dyDescent="0.25"/>
    <row r="3930" s="15" customFormat="1" x14ac:dyDescent="0.25"/>
    <row r="3931" s="15" customFormat="1" x14ac:dyDescent="0.25"/>
    <row r="3932" s="15" customFormat="1" x14ac:dyDescent="0.25"/>
    <row r="3933" s="15" customFormat="1" x14ac:dyDescent="0.25"/>
    <row r="3934" s="15" customFormat="1" x14ac:dyDescent="0.25"/>
    <row r="3935" s="15" customFormat="1" x14ac:dyDescent="0.25"/>
    <row r="3936" s="15" customFormat="1" x14ac:dyDescent="0.25"/>
    <row r="3937" s="15" customFormat="1" x14ac:dyDescent="0.25"/>
    <row r="3938" s="15" customFormat="1" x14ac:dyDescent="0.25"/>
    <row r="3939" s="15" customFormat="1" x14ac:dyDescent="0.25"/>
    <row r="3940" s="15" customFormat="1" x14ac:dyDescent="0.25"/>
    <row r="3941" s="15" customFormat="1" x14ac:dyDescent="0.25"/>
    <row r="3942" s="15" customFormat="1" x14ac:dyDescent="0.25"/>
    <row r="3943" s="15" customFormat="1" x14ac:dyDescent="0.25"/>
    <row r="3944" s="15" customFormat="1" x14ac:dyDescent="0.25"/>
    <row r="3945" s="15" customFormat="1" x14ac:dyDescent="0.25"/>
    <row r="3946" s="15" customFormat="1" x14ac:dyDescent="0.25"/>
    <row r="3947" s="15" customFormat="1" x14ac:dyDescent="0.25"/>
    <row r="3948" s="15" customFormat="1" x14ac:dyDescent="0.25"/>
    <row r="3949" s="15" customFormat="1" x14ac:dyDescent="0.25"/>
    <row r="3950" s="15" customFormat="1" x14ac:dyDescent="0.25"/>
    <row r="3951" s="15" customFormat="1" x14ac:dyDescent="0.25"/>
    <row r="3952" s="15" customFormat="1" x14ac:dyDescent="0.25"/>
    <row r="3953" s="15" customFormat="1" x14ac:dyDescent="0.25"/>
    <row r="3954" s="15" customFormat="1" x14ac:dyDescent="0.25"/>
    <row r="3955" s="15" customFormat="1" x14ac:dyDescent="0.25"/>
    <row r="3956" s="15" customFormat="1" x14ac:dyDescent="0.25"/>
    <row r="3957" s="15" customFormat="1" x14ac:dyDescent="0.25"/>
    <row r="3958" s="15" customFormat="1" x14ac:dyDescent="0.25"/>
    <row r="3959" s="15" customFormat="1" x14ac:dyDescent="0.25"/>
    <row r="3960" s="15" customFormat="1" x14ac:dyDescent="0.25"/>
    <row r="3961" s="15" customFormat="1" x14ac:dyDescent="0.25"/>
    <row r="3962" s="15" customFormat="1" x14ac:dyDescent="0.25"/>
    <row r="3963" s="15" customFormat="1" x14ac:dyDescent="0.25"/>
    <row r="3964" s="15" customFormat="1" x14ac:dyDescent="0.25"/>
    <row r="3965" s="15" customFormat="1" x14ac:dyDescent="0.25"/>
    <row r="3966" s="15" customFormat="1" x14ac:dyDescent="0.25"/>
    <row r="3967" s="15" customFormat="1" x14ac:dyDescent="0.25"/>
    <row r="3968" s="15" customFormat="1" x14ac:dyDescent="0.25"/>
    <row r="3969" s="15" customFormat="1" x14ac:dyDescent="0.25"/>
    <row r="3970" s="15" customFormat="1" x14ac:dyDescent="0.25"/>
    <row r="3971" s="15" customFormat="1" x14ac:dyDescent="0.25"/>
    <row r="3972" s="15" customFormat="1" x14ac:dyDescent="0.25"/>
    <row r="3973" s="15" customFormat="1" x14ac:dyDescent="0.25"/>
    <row r="3974" s="15" customFormat="1" x14ac:dyDescent="0.25"/>
    <row r="3975" s="15" customFormat="1" x14ac:dyDescent="0.25"/>
    <row r="3976" s="15" customFormat="1" x14ac:dyDescent="0.25"/>
    <row r="3977" s="15" customFormat="1" x14ac:dyDescent="0.25"/>
    <row r="3978" s="15" customFormat="1" x14ac:dyDescent="0.25"/>
    <row r="3979" s="15" customFormat="1" x14ac:dyDescent="0.25"/>
    <row r="3980" s="15" customFormat="1" x14ac:dyDescent="0.25"/>
    <row r="3981" s="15" customFormat="1" x14ac:dyDescent="0.25"/>
    <row r="3982" s="15" customFormat="1" x14ac:dyDescent="0.25"/>
    <row r="3983" s="15" customFormat="1" x14ac:dyDescent="0.25"/>
    <row r="3984" s="15" customFormat="1" x14ac:dyDescent="0.25"/>
    <row r="3985" s="15" customFormat="1" x14ac:dyDescent="0.25"/>
    <row r="3986" s="15" customFormat="1" x14ac:dyDescent="0.25"/>
    <row r="3987" s="15" customFormat="1" x14ac:dyDescent="0.25"/>
    <row r="3988" s="15" customFormat="1" x14ac:dyDescent="0.25"/>
    <row r="3989" s="15" customFormat="1" x14ac:dyDescent="0.25"/>
    <row r="3990" s="15" customFormat="1" x14ac:dyDescent="0.25"/>
    <row r="3991" s="15" customFormat="1" x14ac:dyDescent="0.25"/>
    <row r="3992" s="15" customFormat="1" x14ac:dyDescent="0.25"/>
    <row r="3993" s="15" customFormat="1" x14ac:dyDescent="0.25"/>
    <row r="3994" s="15" customFormat="1" x14ac:dyDescent="0.25"/>
    <row r="3995" s="15" customFormat="1" x14ac:dyDescent="0.25"/>
    <row r="3996" s="15" customFormat="1" x14ac:dyDescent="0.25"/>
    <row r="3997" s="15" customFormat="1" x14ac:dyDescent="0.25"/>
    <row r="3998" s="15" customFormat="1" x14ac:dyDescent="0.25"/>
    <row r="3999" s="15" customFormat="1" x14ac:dyDescent="0.25"/>
    <row r="4000" s="15" customFormat="1" x14ac:dyDescent="0.25"/>
    <row r="4001" s="15" customFormat="1" x14ac:dyDescent="0.25"/>
    <row r="4002" s="15" customFormat="1" x14ac:dyDescent="0.25"/>
    <row r="4003" s="15" customFormat="1" x14ac:dyDescent="0.25"/>
    <row r="4004" s="15" customFormat="1" x14ac:dyDescent="0.25"/>
    <row r="4005" s="15" customFormat="1" x14ac:dyDescent="0.25"/>
    <row r="4006" s="15" customFormat="1" x14ac:dyDescent="0.25"/>
    <row r="4007" s="15" customFormat="1" x14ac:dyDescent="0.25"/>
    <row r="4008" s="15" customFormat="1" x14ac:dyDescent="0.25"/>
    <row r="4009" s="15" customFormat="1" x14ac:dyDescent="0.25"/>
    <row r="4010" s="15" customFormat="1" x14ac:dyDescent="0.25"/>
    <row r="4011" s="15" customFormat="1" x14ac:dyDescent="0.25"/>
    <row r="4012" s="15" customFormat="1" x14ac:dyDescent="0.25"/>
    <row r="4013" s="15" customFormat="1" x14ac:dyDescent="0.25"/>
    <row r="4014" s="15" customFormat="1" x14ac:dyDescent="0.25"/>
    <row r="4015" s="15" customFormat="1" x14ac:dyDescent="0.25"/>
    <row r="4016" s="15" customFormat="1" x14ac:dyDescent="0.25"/>
    <row r="4017" s="15" customFormat="1" x14ac:dyDescent="0.25"/>
    <row r="4018" s="15" customFormat="1" x14ac:dyDescent="0.25"/>
    <row r="4019" s="15" customFormat="1" x14ac:dyDescent="0.25"/>
    <row r="4020" s="15" customFormat="1" x14ac:dyDescent="0.25"/>
    <row r="4021" s="15" customFormat="1" x14ac:dyDescent="0.25"/>
    <row r="4022" s="15" customFormat="1" x14ac:dyDescent="0.25"/>
    <row r="4023" s="15" customFormat="1" x14ac:dyDescent="0.25"/>
    <row r="4024" s="15" customFormat="1" x14ac:dyDescent="0.25"/>
    <row r="4025" s="15" customFormat="1" x14ac:dyDescent="0.25"/>
    <row r="4026" s="15" customFormat="1" x14ac:dyDescent="0.25"/>
    <row r="4027" s="15" customFormat="1" x14ac:dyDescent="0.25"/>
    <row r="4028" s="15" customFormat="1" x14ac:dyDescent="0.25"/>
    <row r="4029" s="15" customFormat="1" x14ac:dyDescent="0.25"/>
    <row r="4030" s="15" customFormat="1" x14ac:dyDescent="0.25"/>
    <row r="4031" s="15" customFormat="1" x14ac:dyDescent="0.25"/>
    <row r="4032" s="15" customFormat="1" x14ac:dyDescent="0.25"/>
    <row r="4033" s="15" customFormat="1" x14ac:dyDescent="0.25"/>
    <row r="4034" s="15" customFormat="1" x14ac:dyDescent="0.25"/>
    <row r="4035" s="15" customFormat="1" x14ac:dyDescent="0.25"/>
    <row r="4036" s="15" customFormat="1" x14ac:dyDescent="0.25"/>
    <row r="4037" s="15" customFormat="1" x14ac:dyDescent="0.25"/>
    <row r="4038" s="15" customFormat="1" x14ac:dyDescent="0.25"/>
    <row r="4039" s="15" customFormat="1" x14ac:dyDescent="0.25"/>
    <row r="4040" s="15" customFormat="1" x14ac:dyDescent="0.25"/>
    <row r="4041" s="15" customFormat="1" x14ac:dyDescent="0.25"/>
    <row r="4042" s="15" customFormat="1" x14ac:dyDescent="0.25"/>
    <row r="4043" s="15" customFormat="1" x14ac:dyDescent="0.25"/>
    <row r="4044" s="15" customFormat="1" x14ac:dyDescent="0.25"/>
    <row r="4045" s="15" customFormat="1" x14ac:dyDescent="0.25"/>
    <row r="4046" s="15" customFormat="1" x14ac:dyDescent="0.25"/>
    <row r="4047" s="15" customFormat="1" x14ac:dyDescent="0.25"/>
    <row r="4048" s="15" customFormat="1" x14ac:dyDescent="0.25"/>
    <row r="4049" s="15" customFormat="1" x14ac:dyDescent="0.25"/>
    <row r="4050" s="15" customFormat="1" x14ac:dyDescent="0.25"/>
    <row r="4051" s="15" customFormat="1" x14ac:dyDescent="0.25"/>
    <row r="4052" s="15" customFormat="1" x14ac:dyDescent="0.25"/>
    <row r="4053" s="15" customFormat="1" x14ac:dyDescent="0.25"/>
    <row r="4054" s="15" customFormat="1" x14ac:dyDescent="0.25"/>
    <row r="4055" s="15" customFormat="1" x14ac:dyDescent="0.25"/>
    <row r="4056" s="15" customFormat="1" x14ac:dyDescent="0.25"/>
    <row r="4057" s="15" customFormat="1" x14ac:dyDescent="0.25"/>
    <row r="4058" s="15" customFormat="1" x14ac:dyDescent="0.25"/>
    <row r="4059" s="15" customFormat="1" x14ac:dyDescent="0.25"/>
    <row r="4060" s="15" customFormat="1" x14ac:dyDescent="0.25"/>
    <row r="4061" s="15" customFormat="1" x14ac:dyDescent="0.25"/>
    <row r="4062" s="15" customFormat="1" x14ac:dyDescent="0.25"/>
    <row r="4063" s="15" customFormat="1" x14ac:dyDescent="0.25"/>
    <row r="4064" s="15" customFormat="1" x14ac:dyDescent="0.25"/>
    <row r="4065" s="15" customFormat="1" x14ac:dyDescent="0.25"/>
    <row r="4066" s="15" customFormat="1" x14ac:dyDescent="0.25"/>
    <row r="4067" s="15" customFormat="1" x14ac:dyDescent="0.25"/>
    <row r="4068" s="15" customFormat="1" x14ac:dyDescent="0.25"/>
    <row r="4069" s="15" customFormat="1" x14ac:dyDescent="0.25"/>
    <row r="4070" s="15" customFormat="1" x14ac:dyDescent="0.25"/>
    <row r="4071" s="15" customFormat="1" x14ac:dyDescent="0.25"/>
    <row r="4072" s="15" customFormat="1" x14ac:dyDescent="0.25"/>
    <row r="4073" s="15" customFormat="1" x14ac:dyDescent="0.25"/>
    <row r="4074" s="15" customFormat="1" x14ac:dyDescent="0.25"/>
    <row r="4075" s="15" customFormat="1" x14ac:dyDescent="0.25"/>
    <row r="4076" s="15" customFormat="1" x14ac:dyDescent="0.25"/>
    <row r="4077" s="15" customFormat="1" x14ac:dyDescent="0.25"/>
    <row r="4078" s="15" customFormat="1" x14ac:dyDescent="0.25"/>
    <row r="4079" s="15" customFormat="1" x14ac:dyDescent="0.25"/>
    <row r="4080" s="15" customFormat="1" x14ac:dyDescent="0.25"/>
    <row r="4081" s="15" customFormat="1" x14ac:dyDescent="0.25"/>
    <row r="4082" s="15" customFormat="1" x14ac:dyDescent="0.25"/>
    <row r="4083" s="15" customFormat="1" x14ac:dyDescent="0.25"/>
    <row r="4084" s="15" customFormat="1" x14ac:dyDescent="0.25"/>
    <row r="4085" s="15" customFormat="1" x14ac:dyDescent="0.25"/>
    <row r="4086" s="15" customFormat="1" x14ac:dyDescent="0.25"/>
    <row r="4087" s="15" customFormat="1" x14ac:dyDescent="0.25"/>
    <row r="4088" s="15" customFormat="1" x14ac:dyDescent="0.25"/>
    <row r="4089" s="15" customFormat="1" x14ac:dyDescent="0.25"/>
    <row r="4090" s="15" customFormat="1" x14ac:dyDescent="0.25"/>
    <row r="4091" s="15" customFormat="1" x14ac:dyDescent="0.25"/>
    <row r="4092" s="15" customFormat="1" x14ac:dyDescent="0.25"/>
    <row r="4093" s="15" customFormat="1" x14ac:dyDescent="0.25"/>
    <row r="4094" s="15" customFormat="1" x14ac:dyDescent="0.25"/>
    <row r="4095" s="15" customFormat="1" x14ac:dyDescent="0.25"/>
    <row r="4096" s="15" customFormat="1" x14ac:dyDescent="0.25"/>
    <row r="4097" s="15" customFormat="1" x14ac:dyDescent="0.25"/>
    <row r="4098" s="15" customFormat="1" x14ac:dyDescent="0.25"/>
    <row r="4099" s="15" customFormat="1" x14ac:dyDescent="0.25"/>
    <row r="4100" s="15" customFormat="1" x14ac:dyDescent="0.25"/>
    <row r="4101" s="15" customFormat="1" x14ac:dyDescent="0.25"/>
    <row r="4102" s="15" customFormat="1" x14ac:dyDescent="0.25"/>
    <row r="4103" s="15" customFormat="1" x14ac:dyDescent="0.25"/>
    <row r="4104" s="15" customFormat="1" x14ac:dyDescent="0.25"/>
    <row r="4105" s="15" customFormat="1" x14ac:dyDescent="0.25"/>
    <row r="4106" s="15" customFormat="1" x14ac:dyDescent="0.25"/>
    <row r="4107" s="15" customFormat="1" x14ac:dyDescent="0.25"/>
    <row r="4108" s="15" customFormat="1" x14ac:dyDescent="0.25"/>
    <row r="4109" s="15" customFormat="1" x14ac:dyDescent="0.25"/>
    <row r="4110" s="15" customFormat="1" x14ac:dyDescent="0.25"/>
    <row r="4111" s="15" customFormat="1" x14ac:dyDescent="0.25"/>
    <row r="4112" s="15" customFormat="1" x14ac:dyDescent="0.25"/>
    <row r="4113" s="15" customFormat="1" x14ac:dyDescent="0.25"/>
    <row r="4114" s="15" customFormat="1" x14ac:dyDescent="0.25"/>
    <row r="4115" s="15" customFormat="1" x14ac:dyDescent="0.25"/>
    <row r="4116" s="15" customFormat="1" x14ac:dyDescent="0.25"/>
    <row r="4117" s="15" customFormat="1" x14ac:dyDescent="0.25"/>
    <row r="4118" s="15" customFormat="1" x14ac:dyDescent="0.25"/>
    <row r="4119" s="15" customFormat="1" x14ac:dyDescent="0.25"/>
    <row r="4120" s="15" customFormat="1" x14ac:dyDescent="0.25"/>
    <row r="4121" s="15" customFormat="1" x14ac:dyDescent="0.25"/>
    <row r="4122" s="15" customFormat="1" x14ac:dyDescent="0.25"/>
    <row r="4123" s="15" customFormat="1" x14ac:dyDescent="0.25"/>
    <row r="4124" s="15" customFormat="1" x14ac:dyDescent="0.25"/>
    <row r="4125" s="15" customFormat="1" x14ac:dyDescent="0.25"/>
    <row r="4126" s="15" customFormat="1" x14ac:dyDescent="0.25"/>
    <row r="4127" s="15" customFormat="1" x14ac:dyDescent="0.25"/>
    <row r="4128" s="15" customFormat="1" x14ac:dyDescent="0.25"/>
    <row r="4129" s="15" customFormat="1" x14ac:dyDescent="0.25"/>
    <row r="4130" s="15" customFormat="1" x14ac:dyDescent="0.25"/>
    <row r="4131" s="15" customFormat="1" x14ac:dyDescent="0.25"/>
    <row r="4132" s="15" customFormat="1" x14ac:dyDescent="0.25"/>
    <row r="4133" s="15" customFormat="1" x14ac:dyDescent="0.25"/>
    <row r="4134" s="15" customFormat="1" x14ac:dyDescent="0.25"/>
    <row r="4135" s="15" customFormat="1" x14ac:dyDescent="0.25"/>
    <row r="4136" s="15" customFormat="1" x14ac:dyDescent="0.25"/>
    <row r="4137" s="15" customFormat="1" x14ac:dyDescent="0.25"/>
    <row r="4138" s="15" customFormat="1" x14ac:dyDescent="0.25"/>
    <row r="4139" s="15" customFormat="1" x14ac:dyDescent="0.25"/>
    <row r="4140" s="15" customFormat="1" x14ac:dyDescent="0.25"/>
    <row r="4141" s="15" customFormat="1" x14ac:dyDescent="0.25"/>
    <row r="4142" s="15" customFormat="1" x14ac:dyDescent="0.25"/>
    <row r="4143" s="15" customFormat="1" x14ac:dyDescent="0.25"/>
    <row r="4144" s="15" customFormat="1" x14ac:dyDescent="0.25"/>
    <row r="4145" s="15" customFormat="1" x14ac:dyDescent="0.25"/>
    <row r="4146" s="15" customFormat="1" x14ac:dyDescent="0.25"/>
    <row r="4147" s="15" customFormat="1" x14ac:dyDescent="0.25"/>
    <row r="4148" s="15" customFormat="1" x14ac:dyDescent="0.25"/>
    <row r="4149" s="15" customFormat="1" x14ac:dyDescent="0.25"/>
    <row r="4150" s="15" customFormat="1" x14ac:dyDescent="0.25"/>
    <row r="4151" s="15" customFormat="1" x14ac:dyDescent="0.25"/>
    <row r="4152" s="15" customFormat="1" x14ac:dyDescent="0.25"/>
    <row r="4153" s="15" customFormat="1" x14ac:dyDescent="0.25"/>
    <row r="4154" s="15" customFormat="1" x14ac:dyDescent="0.25"/>
    <row r="4155" s="15" customFormat="1" x14ac:dyDescent="0.25"/>
    <row r="4156" s="15" customFormat="1" x14ac:dyDescent="0.25"/>
    <row r="4157" s="15" customFormat="1" x14ac:dyDescent="0.25"/>
    <row r="4158" s="15" customFormat="1" x14ac:dyDescent="0.25"/>
    <row r="4159" s="15" customFormat="1" x14ac:dyDescent="0.25"/>
    <row r="4160" s="15" customFormat="1" x14ac:dyDescent="0.25"/>
    <row r="4161" s="15" customFormat="1" x14ac:dyDescent="0.25"/>
    <row r="4162" s="15" customFormat="1" x14ac:dyDescent="0.25"/>
    <row r="4163" s="15" customFormat="1" x14ac:dyDescent="0.25"/>
    <row r="4164" s="15" customFormat="1" x14ac:dyDescent="0.25"/>
    <row r="4165" s="15" customFormat="1" x14ac:dyDescent="0.25"/>
    <row r="4166" s="15" customFormat="1" x14ac:dyDescent="0.25"/>
    <row r="4167" s="15" customFormat="1" x14ac:dyDescent="0.25"/>
    <row r="4168" s="15" customFormat="1" x14ac:dyDescent="0.25"/>
    <row r="4169" s="15" customFormat="1" x14ac:dyDescent="0.25"/>
    <row r="4170" s="15" customFormat="1" x14ac:dyDescent="0.25"/>
    <row r="4171" s="15" customFormat="1" x14ac:dyDescent="0.25"/>
    <row r="4172" s="15" customFormat="1" x14ac:dyDescent="0.25"/>
    <row r="4173" s="15" customFormat="1" x14ac:dyDescent="0.25"/>
    <row r="4174" s="15" customFormat="1" x14ac:dyDescent="0.25"/>
    <row r="4175" s="15" customFormat="1" x14ac:dyDescent="0.25"/>
    <row r="4176" s="15" customFormat="1" x14ac:dyDescent="0.25"/>
    <row r="4177" s="15" customFormat="1" x14ac:dyDescent="0.25"/>
    <row r="4178" s="15" customFormat="1" x14ac:dyDescent="0.25"/>
    <row r="4179" s="15" customFormat="1" x14ac:dyDescent="0.25"/>
    <row r="4180" s="15" customFormat="1" x14ac:dyDescent="0.25"/>
    <row r="4181" s="15" customFormat="1" x14ac:dyDescent="0.25"/>
    <row r="4182" s="15" customFormat="1" x14ac:dyDescent="0.25"/>
    <row r="4183" s="15" customFormat="1" x14ac:dyDescent="0.25"/>
    <row r="4184" s="15" customFormat="1" x14ac:dyDescent="0.25"/>
    <row r="4185" s="15" customFormat="1" x14ac:dyDescent="0.25"/>
    <row r="4186" s="15" customFormat="1" x14ac:dyDescent="0.25"/>
    <row r="4187" s="15" customFormat="1" x14ac:dyDescent="0.25"/>
    <row r="4188" s="15" customFormat="1" x14ac:dyDescent="0.25"/>
    <row r="4189" s="15" customFormat="1" x14ac:dyDescent="0.25"/>
    <row r="4190" s="15" customFormat="1" x14ac:dyDescent="0.25"/>
    <row r="4191" s="15" customFormat="1" x14ac:dyDescent="0.25"/>
    <row r="4192" s="15" customFormat="1" x14ac:dyDescent="0.25"/>
    <row r="4193" s="15" customFormat="1" x14ac:dyDescent="0.25"/>
    <row r="4194" s="15" customFormat="1" x14ac:dyDescent="0.25"/>
    <row r="4195" s="15" customFormat="1" x14ac:dyDescent="0.25"/>
    <row r="4196" s="15" customFormat="1" x14ac:dyDescent="0.25"/>
    <row r="4197" s="15" customFormat="1" x14ac:dyDescent="0.25"/>
    <row r="4198" s="15" customFormat="1" x14ac:dyDescent="0.25"/>
    <row r="4199" s="15" customFormat="1" x14ac:dyDescent="0.25"/>
    <row r="4200" s="15" customFormat="1" x14ac:dyDescent="0.25"/>
    <row r="4201" s="15" customFormat="1" x14ac:dyDescent="0.25"/>
    <row r="4202" s="15" customFormat="1" x14ac:dyDescent="0.25"/>
    <row r="4203" s="15" customFormat="1" x14ac:dyDescent="0.25"/>
    <row r="4204" s="15" customFormat="1" x14ac:dyDescent="0.25"/>
    <row r="4205" s="15" customFormat="1" x14ac:dyDescent="0.25"/>
    <row r="4206" s="15" customFormat="1" x14ac:dyDescent="0.25"/>
    <row r="4207" s="15" customFormat="1" x14ac:dyDescent="0.25"/>
    <row r="4208" s="15" customFormat="1" x14ac:dyDescent="0.25"/>
    <row r="4209" s="15" customFormat="1" x14ac:dyDescent="0.25"/>
    <row r="4210" s="15" customFormat="1" x14ac:dyDescent="0.25"/>
    <row r="4211" s="15" customFormat="1" x14ac:dyDescent="0.25"/>
    <row r="4212" s="15" customFormat="1" x14ac:dyDescent="0.25"/>
    <row r="4213" s="15" customFormat="1" x14ac:dyDescent="0.25"/>
    <row r="4214" s="15" customFormat="1" x14ac:dyDescent="0.25"/>
    <row r="4215" s="15" customFormat="1" x14ac:dyDescent="0.25"/>
    <row r="4216" s="15" customFormat="1" x14ac:dyDescent="0.25"/>
    <row r="4217" s="15" customFormat="1" x14ac:dyDescent="0.25"/>
    <row r="4218" s="15" customFormat="1" x14ac:dyDescent="0.25"/>
    <row r="4219" s="15" customFormat="1" x14ac:dyDescent="0.25"/>
    <row r="4220" s="15" customFormat="1" x14ac:dyDescent="0.25"/>
    <row r="4221" s="15" customFormat="1" x14ac:dyDescent="0.25"/>
    <row r="4222" s="15" customFormat="1" x14ac:dyDescent="0.25"/>
    <row r="4223" s="15" customFormat="1" x14ac:dyDescent="0.25"/>
    <row r="4224" s="15" customFormat="1" x14ac:dyDescent="0.25"/>
    <row r="4225" s="15" customFormat="1" x14ac:dyDescent="0.25"/>
    <row r="4226" s="15" customFormat="1" x14ac:dyDescent="0.25"/>
    <row r="4227" s="15" customFormat="1" x14ac:dyDescent="0.25"/>
    <row r="4228" s="15" customFormat="1" x14ac:dyDescent="0.25"/>
    <row r="4229" s="15" customFormat="1" x14ac:dyDescent="0.25"/>
    <row r="4230" s="15" customFormat="1" x14ac:dyDescent="0.25"/>
    <row r="4231" s="15" customFormat="1" x14ac:dyDescent="0.25"/>
    <row r="4232" s="15" customFormat="1" x14ac:dyDescent="0.25"/>
    <row r="4233" s="15" customFormat="1" x14ac:dyDescent="0.25"/>
    <row r="4234" s="15" customFormat="1" x14ac:dyDescent="0.25"/>
    <row r="4235" s="15" customFormat="1" x14ac:dyDescent="0.25"/>
    <row r="4236" s="15" customFormat="1" x14ac:dyDescent="0.25"/>
    <row r="4237" s="15" customFormat="1" x14ac:dyDescent="0.25"/>
    <row r="4238" s="15" customFormat="1" x14ac:dyDescent="0.25"/>
    <row r="4239" s="15" customFormat="1" x14ac:dyDescent="0.25"/>
    <row r="4240" s="15" customFormat="1" x14ac:dyDescent="0.25"/>
    <row r="4241" s="15" customFormat="1" x14ac:dyDescent="0.25"/>
    <row r="4242" s="15" customFormat="1" x14ac:dyDescent="0.25"/>
    <row r="4243" s="15" customFormat="1" x14ac:dyDescent="0.25"/>
    <row r="4244" s="15" customFormat="1" x14ac:dyDescent="0.25"/>
    <row r="4245" s="15" customFormat="1" x14ac:dyDescent="0.25"/>
    <row r="4246" s="15" customFormat="1" x14ac:dyDescent="0.25"/>
    <row r="4247" s="15" customFormat="1" x14ac:dyDescent="0.25"/>
    <row r="4248" s="15" customFormat="1" x14ac:dyDescent="0.25"/>
    <row r="4249" s="15" customFormat="1" x14ac:dyDescent="0.25"/>
    <row r="4250" s="15" customFormat="1" x14ac:dyDescent="0.25"/>
    <row r="4251" s="15" customFormat="1" x14ac:dyDescent="0.25"/>
    <row r="4252" s="15" customFormat="1" x14ac:dyDescent="0.25"/>
    <row r="4253" s="15" customFormat="1" x14ac:dyDescent="0.25"/>
    <row r="4254" s="15" customFormat="1" x14ac:dyDescent="0.25"/>
    <row r="4255" s="15" customFormat="1" x14ac:dyDescent="0.25"/>
    <row r="4256" s="15" customFormat="1" x14ac:dyDescent="0.25"/>
    <row r="4257" s="15" customFormat="1" x14ac:dyDescent="0.25"/>
    <row r="4258" s="15" customFormat="1" x14ac:dyDescent="0.25"/>
    <row r="4259" s="15" customFormat="1" x14ac:dyDescent="0.25"/>
    <row r="4260" s="15" customFormat="1" x14ac:dyDescent="0.25"/>
    <row r="4261" s="15" customFormat="1" x14ac:dyDescent="0.25"/>
    <row r="4262" s="15" customFormat="1" x14ac:dyDescent="0.25"/>
    <row r="4263" s="15" customFormat="1" x14ac:dyDescent="0.25"/>
    <row r="4264" s="15" customFormat="1" x14ac:dyDescent="0.25"/>
    <row r="4265" s="15" customFormat="1" x14ac:dyDescent="0.25"/>
    <row r="4266" s="15" customFormat="1" x14ac:dyDescent="0.25"/>
    <row r="4267" s="15" customFormat="1" x14ac:dyDescent="0.25"/>
    <row r="4268" s="15" customFormat="1" x14ac:dyDescent="0.25"/>
    <row r="4269" s="15" customFormat="1" x14ac:dyDescent="0.25"/>
    <row r="4270" s="15" customFormat="1" x14ac:dyDescent="0.25"/>
    <row r="4271" s="15" customFormat="1" x14ac:dyDescent="0.25"/>
    <row r="4272" s="15" customFormat="1" x14ac:dyDescent="0.25"/>
    <row r="4273" s="15" customFormat="1" x14ac:dyDescent="0.25"/>
    <row r="4274" s="15" customFormat="1" x14ac:dyDescent="0.25"/>
    <row r="4275" s="15" customFormat="1" x14ac:dyDescent="0.25"/>
    <row r="4276" s="15" customFormat="1" x14ac:dyDescent="0.25"/>
    <row r="4277" s="15" customFormat="1" x14ac:dyDescent="0.25"/>
    <row r="4278" s="15" customFormat="1" x14ac:dyDescent="0.25"/>
    <row r="4279" s="15" customFormat="1" x14ac:dyDescent="0.25"/>
    <row r="4280" s="15" customFormat="1" x14ac:dyDescent="0.25"/>
    <row r="4281" s="15" customFormat="1" x14ac:dyDescent="0.25"/>
    <row r="4282" s="15" customFormat="1" x14ac:dyDescent="0.25"/>
    <row r="4283" s="15" customFormat="1" x14ac:dyDescent="0.25"/>
    <row r="4284" s="15" customFormat="1" x14ac:dyDescent="0.25"/>
    <row r="4285" s="15" customFormat="1" x14ac:dyDescent="0.25"/>
    <row r="4286" s="15" customFormat="1" x14ac:dyDescent="0.25"/>
    <row r="4287" s="15" customFormat="1" x14ac:dyDescent="0.25"/>
    <row r="4288" s="15" customFormat="1" x14ac:dyDescent="0.25"/>
    <row r="4289" s="15" customFormat="1" x14ac:dyDescent="0.25"/>
    <row r="4290" s="15" customFormat="1" x14ac:dyDescent="0.25"/>
    <row r="4291" s="15" customFormat="1" x14ac:dyDescent="0.25"/>
    <row r="4292" s="15" customFormat="1" x14ac:dyDescent="0.25"/>
    <row r="4293" s="15" customFormat="1" x14ac:dyDescent="0.25"/>
    <row r="4294" s="15" customFormat="1" x14ac:dyDescent="0.25"/>
    <row r="4295" s="15" customFormat="1" x14ac:dyDescent="0.25"/>
    <row r="4296" s="15" customFormat="1" x14ac:dyDescent="0.25"/>
    <row r="4297" s="15" customFormat="1" x14ac:dyDescent="0.25"/>
    <row r="4298" s="15" customFormat="1" x14ac:dyDescent="0.25"/>
    <row r="4299" s="15" customFormat="1" x14ac:dyDescent="0.25"/>
    <row r="4300" s="15" customFormat="1" x14ac:dyDescent="0.25"/>
    <row r="4301" s="15" customFormat="1" x14ac:dyDescent="0.25"/>
    <row r="4302" s="15" customFormat="1" x14ac:dyDescent="0.25"/>
    <row r="4303" s="15" customFormat="1" x14ac:dyDescent="0.25"/>
    <row r="4304" s="15" customFormat="1" x14ac:dyDescent="0.25"/>
    <row r="4305" s="15" customFormat="1" x14ac:dyDescent="0.25"/>
    <row r="4306" s="15" customFormat="1" x14ac:dyDescent="0.25"/>
    <row r="4307" s="15" customFormat="1" x14ac:dyDescent="0.25"/>
    <row r="4308" s="15" customFormat="1" x14ac:dyDescent="0.25"/>
    <row r="4309" s="15" customFormat="1" x14ac:dyDescent="0.25"/>
    <row r="4310" s="15" customFormat="1" x14ac:dyDescent="0.25"/>
    <row r="4311" s="15" customFormat="1" x14ac:dyDescent="0.25"/>
    <row r="4312" s="15" customFormat="1" x14ac:dyDescent="0.25"/>
    <row r="4313" s="15" customFormat="1" x14ac:dyDescent="0.25"/>
    <row r="4314" s="15" customFormat="1" x14ac:dyDescent="0.25"/>
    <row r="4315" s="15" customFormat="1" x14ac:dyDescent="0.25"/>
    <row r="4316" s="15" customFormat="1" x14ac:dyDescent="0.25"/>
    <row r="4317" s="15" customFormat="1" x14ac:dyDescent="0.25"/>
    <row r="4318" s="15" customFormat="1" x14ac:dyDescent="0.25"/>
    <row r="4319" s="15" customFormat="1" x14ac:dyDescent="0.25"/>
    <row r="4320" s="15" customFormat="1" x14ac:dyDescent="0.25"/>
    <row r="4321" s="15" customFormat="1" x14ac:dyDescent="0.25"/>
    <row r="4322" s="15" customFormat="1" x14ac:dyDescent="0.25"/>
    <row r="4323" s="15" customFormat="1" x14ac:dyDescent="0.25"/>
    <row r="4324" s="15" customFormat="1" x14ac:dyDescent="0.25"/>
    <row r="4325" s="15" customFormat="1" x14ac:dyDescent="0.25"/>
    <row r="4326" s="15" customFormat="1" x14ac:dyDescent="0.25"/>
    <row r="4327" s="15" customFormat="1" x14ac:dyDescent="0.25"/>
    <row r="4328" s="15" customFormat="1" x14ac:dyDescent="0.25"/>
    <row r="4329" s="15" customFormat="1" x14ac:dyDescent="0.25"/>
    <row r="4330" s="15" customFormat="1" x14ac:dyDescent="0.25"/>
    <row r="4331" s="15" customFormat="1" x14ac:dyDescent="0.25"/>
    <row r="4332" s="15" customFormat="1" x14ac:dyDescent="0.25"/>
    <row r="4333" s="15" customFormat="1" x14ac:dyDescent="0.25"/>
    <row r="4334" s="15" customFormat="1" x14ac:dyDescent="0.25"/>
    <row r="4335" s="15" customFormat="1" x14ac:dyDescent="0.25"/>
    <row r="4336" s="15" customFormat="1" x14ac:dyDescent="0.25"/>
    <row r="4337" s="15" customFormat="1" x14ac:dyDescent="0.25"/>
    <row r="4338" s="15" customFormat="1" x14ac:dyDescent="0.25"/>
    <row r="4339" s="15" customFormat="1" x14ac:dyDescent="0.25"/>
    <row r="4340" s="15" customFormat="1" x14ac:dyDescent="0.25"/>
    <row r="4341" s="15" customFormat="1" x14ac:dyDescent="0.25"/>
    <row r="4342" s="15" customFormat="1" x14ac:dyDescent="0.25"/>
    <row r="4343" s="15" customFormat="1" x14ac:dyDescent="0.25"/>
    <row r="4344" s="15" customFormat="1" x14ac:dyDescent="0.25"/>
    <row r="4345" s="15" customFormat="1" x14ac:dyDescent="0.25"/>
    <row r="4346" s="15" customFormat="1" x14ac:dyDescent="0.25"/>
    <row r="4347" s="15" customFormat="1" x14ac:dyDescent="0.25"/>
    <row r="4348" s="15" customFormat="1" x14ac:dyDescent="0.25"/>
    <row r="4349" s="15" customFormat="1" x14ac:dyDescent="0.25"/>
    <row r="4350" s="15" customFormat="1" x14ac:dyDescent="0.25"/>
    <row r="4351" s="15" customFormat="1" x14ac:dyDescent="0.25"/>
    <row r="4352" s="15" customFormat="1" x14ac:dyDescent="0.25"/>
    <row r="4353" s="15" customFormat="1" x14ac:dyDescent="0.25"/>
    <row r="4354" s="15" customFormat="1" x14ac:dyDescent="0.25"/>
    <row r="4355" s="15" customFormat="1" x14ac:dyDescent="0.25"/>
    <row r="4356" s="15" customFormat="1" x14ac:dyDescent="0.25"/>
    <row r="4357" s="15" customFormat="1" x14ac:dyDescent="0.25"/>
    <row r="4358" s="15" customFormat="1" x14ac:dyDescent="0.25"/>
    <row r="4359" s="15" customFormat="1" x14ac:dyDescent="0.25"/>
    <row r="4360" s="15" customFormat="1" x14ac:dyDescent="0.25"/>
    <row r="4361" s="15" customFormat="1" x14ac:dyDescent="0.25"/>
    <row r="4362" s="15" customFormat="1" x14ac:dyDescent="0.25"/>
    <row r="4363" s="15" customFormat="1" x14ac:dyDescent="0.25"/>
    <row r="4364" s="15" customFormat="1" x14ac:dyDescent="0.25"/>
    <row r="4365" s="15" customFormat="1" x14ac:dyDescent="0.25"/>
    <row r="4366" s="15" customFormat="1" x14ac:dyDescent="0.25"/>
    <row r="4367" s="15" customFormat="1" x14ac:dyDescent="0.25"/>
    <row r="4368" s="15" customFormat="1" x14ac:dyDescent="0.25"/>
    <row r="4369" s="15" customFormat="1" x14ac:dyDescent="0.25"/>
    <row r="4370" s="15" customFormat="1" x14ac:dyDescent="0.25"/>
    <row r="4371" s="15" customFormat="1" x14ac:dyDescent="0.25"/>
    <row r="4372" s="15" customFormat="1" x14ac:dyDescent="0.25"/>
    <row r="4373" s="15" customFormat="1" x14ac:dyDescent="0.25"/>
    <row r="4374" s="15" customFormat="1" x14ac:dyDescent="0.25"/>
    <row r="4375" s="15" customFormat="1" x14ac:dyDescent="0.25"/>
    <row r="4376" s="15" customFormat="1" x14ac:dyDescent="0.25"/>
    <row r="4377" s="15" customFormat="1" x14ac:dyDescent="0.25"/>
    <row r="4378" s="15" customFormat="1" x14ac:dyDescent="0.25"/>
    <row r="4379" s="15" customFormat="1" x14ac:dyDescent="0.25"/>
    <row r="4380" s="15" customFormat="1" x14ac:dyDescent="0.25"/>
    <row r="4381" s="15" customFormat="1" x14ac:dyDescent="0.25"/>
    <row r="4382" s="15" customFormat="1" x14ac:dyDescent="0.25"/>
    <row r="4383" s="15" customFormat="1" x14ac:dyDescent="0.25"/>
    <row r="4384" s="15" customFormat="1" x14ac:dyDescent="0.25"/>
    <row r="4385" s="15" customFormat="1" x14ac:dyDescent="0.25"/>
    <row r="4386" s="15" customFormat="1" x14ac:dyDescent="0.25"/>
    <row r="4387" s="15" customFormat="1" x14ac:dyDescent="0.25"/>
    <row r="4388" s="15" customFormat="1" x14ac:dyDescent="0.25"/>
    <row r="4389" s="15" customFormat="1" x14ac:dyDescent="0.25"/>
    <row r="4390" s="15" customFormat="1" x14ac:dyDescent="0.25"/>
    <row r="4391" s="15" customFormat="1" x14ac:dyDescent="0.25"/>
    <row r="4392" s="15" customFormat="1" x14ac:dyDescent="0.25"/>
    <row r="4393" s="15" customFormat="1" x14ac:dyDescent="0.25"/>
    <row r="4394" s="15" customFormat="1" x14ac:dyDescent="0.25"/>
    <row r="4395" s="15" customFormat="1" x14ac:dyDescent="0.25"/>
    <row r="4396" s="15" customFormat="1" x14ac:dyDescent="0.25"/>
    <row r="4397" s="15" customFormat="1" x14ac:dyDescent="0.25"/>
    <row r="4398" s="15" customFormat="1" x14ac:dyDescent="0.25"/>
    <row r="4399" s="15" customFormat="1" x14ac:dyDescent="0.25"/>
    <row r="4400" s="15" customFormat="1" x14ac:dyDescent="0.25"/>
    <row r="4401" s="15" customFormat="1" x14ac:dyDescent="0.25"/>
    <row r="4402" s="15" customFormat="1" x14ac:dyDescent="0.25"/>
    <row r="4403" s="15" customFormat="1" x14ac:dyDescent="0.25"/>
    <row r="4404" s="15" customFormat="1" x14ac:dyDescent="0.25"/>
    <row r="4405" s="15" customFormat="1" x14ac:dyDescent="0.25"/>
    <row r="4406" s="15" customFormat="1" x14ac:dyDescent="0.25"/>
    <row r="4407" s="15" customFormat="1" x14ac:dyDescent="0.25"/>
    <row r="4408" s="15" customFormat="1" x14ac:dyDescent="0.25"/>
    <row r="4409" s="15" customFormat="1" x14ac:dyDescent="0.25"/>
    <row r="4410" s="15" customFormat="1" x14ac:dyDescent="0.25"/>
    <row r="4411" s="15" customFormat="1" x14ac:dyDescent="0.25"/>
    <row r="4412" s="15" customFormat="1" x14ac:dyDescent="0.25"/>
    <row r="4413" s="15" customFormat="1" x14ac:dyDescent="0.25"/>
    <row r="4414" s="15" customFormat="1" x14ac:dyDescent="0.25"/>
    <row r="4415" s="15" customFormat="1" x14ac:dyDescent="0.25"/>
    <row r="4416" s="15" customFormat="1" x14ac:dyDescent="0.25"/>
    <row r="4417" s="15" customFormat="1" x14ac:dyDescent="0.25"/>
    <row r="4418" s="15" customFormat="1" x14ac:dyDescent="0.25"/>
    <row r="4419" s="15" customFormat="1" x14ac:dyDescent="0.25"/>
    <row r="4420" s="15" customFormat="1" x14ac:dyDescent="0.25"/>
    <row r="4421" s="15" customFormat="1" x14ac:dyDescent="0.25"/>
    <row r="4422" s="15" customFormat="1" x14ac:dyDescent="0.25"/>
    <row r="4423" s="15" customFormat="1" x14ac:dyDescent="0.25"/>
    <row r="4424" s="15" customFormat="1" x14ac:dyDescent="0.25"/>
    <row r="4425" s="15" customFormat="1" x14ac:dyDescent="0.25"/>
    <row r="4426" s="15" customFormat="1" x14ac:dyDescent="0.25"/>
    <row r="4427" s="15" customFormat="1" x14ac:dyDescent="0.25"/>
    <row r="4428" s="15" customFormat="1" x14ac:dyDescent="0.25"/>
    <row r="4429" s="15" customFormat="1" x14ac:dyDescent="0.25"/>
    <row r="4430" s="15" customFormat="1" x14ac:dyDescent="0.25"/>
    <row r="4431" s="15" customFormat="1" x14ac:dyDescent="0.25"/>
    <row r="4432" s="15" customFormat="1" x14ac:dyDescent="0.25"/>
    <row r="4433" s="15" customFormat="1" x14ac:dyDescent="0.25"/>
    <row r="4434" s="15" customFormat="1" x14ac:dyDescent="0.25"/>
    <row r="4435" s="15" customFormat="1" x14ac:dyDescent="0.25"/>
    <row r="4436" s="15" customFormat="1" x14ac:dyDescent="0.25"/>
    <row r="4437" s="15" customFormat="1" x14ac:dyDescent="0.25"/>
    <row r="4438" s="15" customFormat="1" x14ac:dyDescent="0.25"/>
    <row r="4439" s="15" customFormat="1" x14ac:dyDescent="0.25"/>
    <row r="4440" s="15" customFormat="1" x14ac:dyDescent="0.25"/>
    <row r="4441" s="15" customFormat="1" x14ac:dyDescent="0.25"/>
    <row r="4442" s="15" customFormat="1" x14ac:dyDescent="0.25"/>
    <row r="4443" s="15" customFormat="1" x14ac:dyDescent="0.25"/>
    <row r="4444" s="15" customFormat="1" x14ac:dyDescent="0.25"/>
    <row r="4445" s="15" customFormat="1" x14ac:dyDescent="0.25"/>
    <row r="4446" s="15" customFormat="1" x14ac:dyDescent="0.25"/>
    <row r="4447" s="15" customFormat="1" x14ac:dyDescent="0.25"/>
    <row r="4448" s="15" customFormat="1" x14ac:dyDescent="0.25"/>
    <row r="4449" s="15" customFormat="1" x14ac:dyDescent="0.25"/>
    <row r="4450" s="15" customFormat="1" x14ac:dyDescent="0.25"/>
    <row r="4451" s="15" customFormat="1" x14ac:dyDescent="0.25"/>
    <row r="4452" s="15" customFormat="1" x14ac:dyDescent="0.25"/>
    <row r="4453" s="15" customFormat="1" x14ac:dyDescent="0.25"/>
    <row r="4454" s="15" customFormat="1" x14ac:dyDescent="0.25"/>
    <row r="4455" s="15" customFormat="1" x14ac:dyDescent="0.25"/>
    <row r="4456" s="15" customFormat="1" x14ac:dyDescent="0.25"/>
    <row r="4457" s="15" customFormat="1" x14ac:dyDescent="0.25"/>
    <row r="4458" s="15" customFormat="1" x14ac:dyDescent="0.25"/>
    <row r="4459" s="15" customFormat="1" x14ac:dyDescent="0.25"/>
    <row r="4460" s="15" customFormat="1" x14ac:dyDescent="0.25"/>
    <row r="4461" s="15" customFormat="1" x14ac:dyDescent="0.25"/>
    <row r="4462" s="15" customFormat="1" x14ac:dyDescent="0.25"/>
    <row r="4463" s="15" customFormat="1" x14ac:dyDescent="0.25"/>
    <row r="4464" s="15" customFormat="1" x14ac:dyDescent="0.25"/>
    <row r="4465" s="15" customFormat="1" x14ac:dyDescent="0.25"/>
    <row r="4466" s="15" customFormat="1" x14ac:dyDescent="0.25"/>
    <row r="4467" s="15" customFormat="1" x14ac:dyDescent="0.25"/>
    <row r="4468" s="15" customFormat="1" x14ac:dyDescent="0.25"/>
    <row r="4469" s="15" customFormat="1" x14ac:dyDescent="0.25"/>
    <row r="4470" s="15" customFormat="1" x14ac:dyDescent="0.25"/>
    <row r="4471" s="15" customFormat="1" x14ac:dyDescent="0.25"/>
    <row r="4472" s="15" customFormat="1" x14ac:dyDescent="0.25"/>
    <row r="4473" s="15" customFormat="1" x14ac:dyDescent="0.25"/>
    <row r="4474" s="15" customFormat="1" x14ac:dyDescent="0.25"/>
    <row r="4475" s="15" customFormat="1" x14ac:dyDescent="0.25"/>
    <row r="4476" s="15" customFormat="1" x14ac:dyDescent="0.25"/>
    <row r="4477" s="15" customFormat="1" x14ac:dyDescent="0.25"/>
    <row r="4478" s="15" customFormat="1" x14ac:dyDescent="0.25"/>
    <row r="4479" s="15" customFormat="1" x14ac:dyDescent="0.25"/>
    <row r="4480" s="15" customFormat="1" x14ac:dyDescent="0.25"/>
    <row r="4481" s="15" customFormat="1" x14ac:dyDescent="0.25"/>
    <row r="4482" s="15" customFormat="1" x14ac:dyDescent="0.25"/>
    <row r="4483" s="15" customFormat="1" x14ac:dyDescent="0.25"/>
    <row r="4484" s="15" customFormat="1" x14ac:dyDescent="0.25"/>
    <row r="4485" s="15" customFormat="1" x14ac:dyDescent="0.25"/>
    <row r="4486" s="15" customFormat="1" x14ac:dyDescent="0.25"/>
    <row r="4487" s="15" customFormat="1" x14ac:dyDescent="0.25"/>
    <row r="4488" s="15" customFormat="1" x14ac:dyDescent="0.25"/>
    <row r="4489" s="15" customFormat="1" x14ac:dyDescent="0.25"/>
    <row r="4490" s="15" customFormat="1" x14ac:dyDescent="0.25"/>
    <row r="4491" s="15" customFormat="1" x14ac:dyDescent="0.25"/>
    <row r="4492" s="15" customFormat="1" x14ac:dyDescent="0.25"/>
    <row r="4493" s="15" customFormat="1" x14ac:dyDescent="0.25"/>
    <row r="4494" s="15" customFormat="1" x14ac:dyDescent="0.25"/>
    <row r="4495" s="15" customFormat="1" x14ac:dyDescent="0.25"/>
    <row r="4496" s="15" customFormat="1" x14ac:dyDescent="0.25"/>
    <row r="4497" s="15" customFormat="1" x14ac:dyDescent="0.25"/>
    <row r="4498" s="15" customFormat="1" x14ac:dyDescent="0.25"/>
    <row r="4499" s="15" customFormat="1" x14ac:dyDescent="0.25"/>
    <row r="4500" s="15" customFormat="1" x14ac:dyDescent="0.25"/>
    <row r="4501" s="15" customFormat="1" x14ac:dyDescent="0.25"/>
    <row r="4502" s="15" customFormat="1" x14ac:dyDescent="0.25"/>
    <row r="4503" s="15" customFormat="1" x14ac:dyDescent="0.25"/>
    <row r="4504" s="15" customFormat="1" x14ac:dyDescent="0.25"/>
    <row r="4505" s="15" customFormat="1" x14ac:dyDescent="0.25"/>
    <row r="4506" s="15" customFormat="1" x14ac:dyDescent="0.25"/>
    <row r="4507" s="15" customFormat="1" x14ac:dyDescent="0.25"/>
    <row r="4508" s="15" customFormat="1" x14ac:dyDescent="0.25"/>
    <row r="4509" s="15" customFormat="1" x14ac:dyDescent="0.25"/>
    <row r="4510" s="15" customFormat="1" x14ac:dyDescent="0.25"/>
    <row r="4511" s="15" customFormat="1" x14ac:dyDescent="0.25"/>
    <row r="4512" s="15" customFormat="1" x14ac:dyDescent="0.25"/>
    <row r="4513" s="15" customFormat="1" x14ac:dyDescent="0.25"/>
    <row r="4514" s="15" customFormat="1" x14ac:dyDescent="0.25"/>
    <row r="4515" s="15" customFormat="1" x14ac:dyDescent="0.25"/>
    <row r="4516" s="15" customFormat="1" x14ac:dyDescent="0.25"/>
    <row r="4517" s="15" customFormat="1" x14ac:dyDescent="0.25"/>
    <row r="4518" s="15" customFormat="1" x14ac:dyDescent="0.25"/>
    <row r="4519" s="15" customFormat="1" x14ac:dyDescent="0.25"/>
    <row r="4520" s="15" customFormat="1" x14ac:dyDescent="0.25"/>
    <row r="4521" s="15" customFormat="1" x14ac:dyDescent="0.25"/>
    <row r="4522" s="15" customFormat="1" x14ac:dyDescent="0.25"/>
    <row r="4523" s="15" customFormat="1" x14ac:dyDescent="0.25"/>
    <row r="4524" s="15" customFormat="1" x14ac:dyDescent="0.25"/>
    <row r="4525" s="15" customFormat="1" x14ac:dyDescent="0.25"/>
    <row r="4526" s="15" customFormat="1" x14ac:dyDescent="0.25"/>
    <row r="4527" s="15" customFormat="1" x14ac:dyDescent="0.25"/>
    <row r="4528" s="15" customFormat="1" x14ac:dyDescent="0.25"/>
    <row r="4529" s="15" customFormat="1" x14ac:dyDescent="0.25"/>
    <row r="4530" s="15" customFormat="1" x14ac:dyDescent="0.25"/>
    <row r="4531" s="15" customFormat="1" x14ac:dyDescent="0.25"/>
    <row r="4532" s="15" customFormat="1" x14ac:dyDescent="0.25"/>
    <row r="4533" s="15" customFormat="1" x14ac:dyDescent="0.25"/>
    <row r="4534" s="15" customFormat="1" x14ac:dyDescent="0.25"/>
    <row r="4535" s="15" customFormat="1" x14ac:dyDescent="0.25"/>
    <row r="4536" s="15" customFormat="1" x14ac:dyDescent="0.25"/>
    <row r="4537" s="15" customFormat="1" x14ac:dyDescent="0.25"/>
    <row r="4538" s="15" customFormat="1" x14ac:dyDescent="0.25"/>
    <row r="4539" s="15" customFormat="1" x14ac:dyDescent="0.25"/>
    <row r="4540" s="15" customFormat="1" x14ac:dyDescent="0.25"/>
    <row r="4541" s="15" customFormat="1" x14ac:dyDescent="0.25"/>
    <row r="4542" s="15" customFormat="1" x14ac:dyDescent="0.25"/>
    <row r="4543" s="15" customFormat="1" x14ac:dyDescent="0.25"/>
    <row r="4544" s="15" customFormat="1" x14ac:dyDescent="0.25"/>
    <row r="4545" s="15" customFormat="1" x14ac:dyDescent="0.25"/>
    <row r="4546" s="15" customFormat="1" x14ac:dyDescent="0.25"/>
    <row r="4547" s="15" customFormat="1" x14ac:dyDescent="0.25"/>
    <row r="4548" s="15" customFormat="1" x14ac:dyDescent="0.25"/>
    <row r="4549" s="15" customFormat="1" x14ac:dyDescent="0.25"/>
    <row r="4550" s="15" customFormat="1" x14ac:dyDescent="0.25"/>
    <row r="4551" s="15" customFormat="1" x14ac:dyDescent="0.25"/>
    <row r="4552" s="15" customFormat="1" x14ac:dyDescent="0.25"/>
    <row r="4553" s="15" customFormat="1" x14ac:dyDescent="0.25"/>
    <row r="4554" s="15" customFormat="1" x14ac:dyDescent="0.25"/>
    <row r="4555" s="15" customFormat="1" x14ac:dyDescent="0.25"/>
    <row r="4556" s="15" customFormat="1" x14ac:dyDescent="0.25"/>
    <row r="4557" s="15" customFormat="1" x14ac:dyDescent="0.25"/>
    <row r="4558" s="15" customFormat="1" x14ac:dyDescent="0.25"/>
    <row r="4559" s="15" customFormat="1" x14ac:dyDescent="0.25"/>
    <row r="4560" s="15" customFormat="1" x14ac:dyDescent="0.25"/>
    <row r="4561" s="15" customFormat="1" x14ac:dyDescent="0.25"/>
    <row r="4562" s="15" customFormat="1" x14ac:dyDescent="0.25"/>
    <row r="4563" s="15" customFormat="1" x14ac:dyDescent="0.25"/>
    <row r="4564" s="15" customFormat="1" x14ac:dyDescent="0.25"/>
    <row r="4565" s="15" customFormat="1" x14ac:dyDescent="0.25"/>
    <row r="4566" s="15" customFormat="1" x14ac:dyDescent="0.25"/>
    <row r="4567" s="15" customFormat="1" x14ac:dyDescent="0.25"/>
    <row r="4568" s="15" customFormat="1" x14ac:dyDescent="0.25"/>
    <row r="4569" s="15" customFormat="1" x14ac:dyDescent="0.25"/>
    <row r="4570" s="15" customFormat="1" x14ac:dyDescent="0.25"/>
    <row r="4571" s="15" customFormat="1" x14ac:dyDescent="0.25"/>
    <row r="4572" s="15" customFormat="1" x14ac:dyDescent="0.25"/>
    <row r="4573" s="15" customFormat="1" x14ac:dyDescent="0.25"/>
    <row r="4574" s="15" customFormat="1" x14ac:dyDescent="0.25"/>
    <row r="4575" s="15" customFormat="1" x14ac:dyDescent="0.25"/>
    <row r="4576" s="15" customFormat="1" x14ac:dyDescent="0.25"/>
    <row r="4577" s="15" customFormat="1" x14ac:dyDescent="0.25"/>
    <row r="4578" s="15" customFormat="1" x14ac:dyDescent="0.25"/>
    <row r="4579" s="15" customFormat="1" x14ac:dyDescent="0.25"/>
    <row r="4580" s="15" customFormat="1" x14ac:dyDescent="0.25"/>
    <row r="4581" s="15" customFormat="1" x14ac:dyDescent="0.25"/>
    <row r="4582" s="15" customFormat="1" x14ac:dyDescent="0.25"/>
    <row r="4583" s="15" customFormat="1" x14ac:dyDescent="0.25"/>
    <row r="4584" s="15" customFormat="1" x14ac:dyDescent="0.25"/>
    <row r="4585" s="15" customFormat="1" x14ac:dyDescent="0.25"/>
    <row r="4586" s="15" customFormat="1" x14ac:dyDescent="0.25"/>
    <row r="4587" s="15" customFormat="1" x14ac:dyDescent="0.25"/>
    <row r="4588" s="15" customFormat="1" x14ac:dyDescent="0.25"/>
    <row r="4589" s="15" customFormat="1" x14ac:dyDescent="0.25"/>
    <row r="4590" s="15" customFormat="1" x14ac:dyDescent="0.25"/>
    <row r="4591" s="15" customFormat="1" x14ac:dyDescent="0.25"/>
    <row r="4592" s="15" customFormat="1" x14ac:dyDescent="0.25"/>
    <row r="4593" s="15" customFormat="1" x14ac:dyDescent="0.25"/>
    <row r="4594" s="15" customFormat="1" x14ac:dyDescent="0.25"/>
    <row r="4595" s="15" customFormat="1" x14ac:dyDescent="0.25"/>
    <row r="4596" s="15" customFormat="1" x14ac:dyDescent="0.25"/>
    <row r="4597" s="15" customFormat="1" x14ac:dyDescent="0.25"/>
    <row r="4598" s="15" customFormat="1" x14ac:dyDescent="0.25"/>
    <row r="4599" s="15" customFormat="1" x14ac:dyDescent="0.25"/>
    <row r="4600" s="15" customFormat="1" x14ac:dyDescent="0.25"/>
    <row r="4601" s="15" customFormat="1" x14ac:dyDescent="0.25"/>
    <row r="4602" s="15" customFormat="1" x14ac:dyDescent="0.25"/>
    <row r="4603" s="15" customFormat="1" x14ac:dyDescent="0.25"/>
    <row r="4604" s="15" customFormat="1" x14ac:dyDescent="0.25"/>
    <row r="4605" s="15" customFormat="1" x14ac:dyDescent="0.25"/>
    <row r="4606" s="15" customFormat="1" x14ac:dyDescent="0.25"/>
    <row r="4607" s="15" customFormat="1" x14ac:dyDescent="0.25"/>
    <row r="4608" s="15" customFormat="1" x14ac:dyDescent="0.25"/>
    <row r="4609" s="15" customFormat="1" x14ac:dyDescent="0.25"/>
    <row r="4610" s="15" customFormat="1" x14ac:dyDescent="0.25"/>
    <row r="4611" s="15" customFormat="1" x14ac:dyDescent="0.25"/>
    <row r="4612" s="15" customFormat="1" x14ac:dyDescent="0.25"/>
    <row r="4613" s="15" customFormat="1" x14ac:dyDescent="0.25"/>
    <row r="4614" s="15" customFormat="1" x14ac:dyDescent="0.25"/>
    <row r="4615" s="15" customFormat="1" x14ac:dyDescent="0.25"/>
    <row r="4616" s="15" customFormat="1" x14ac:dyDescent="0.25"/>
    <row r="4617" s="15" customFormat="1" x14ac:dyDescent="0.25"/>
    <row r="4618" s="15" customFormat="1" x14ac:dyDescent="0.25"/>
    <row r="4619" s="15" customFormat="1" x14ac:dyDescent="0.25"/>
    <row r="4620" s="15" customFormat="1" x14ac:dyDescent="0.25"/>
    <row r="4621" s="15" customFormat="1" x14ac:dyDescent="0.25"/>
    <row r="4622" s="15" customFormat="1" x14ac:dyDescent="0.25"/>
    <row r="4623" s="15" customFormat="1" x14ac:dyDescent="0.25"/>
    <row r="4624" s="15" customFormat="1" x14ac:dyDescent="0.25"/>
    <row r="4625" s="15" customFormat="1" x14ac:dyDescent="0.25"/>
    <row r="4626" s="15" customFormat="1" x14ac:dyDescent="0.25"/>
    <row r="4627" s="15" customFormat="1" x14ac:dyDescent="0.25"/>
    <row r="4628" s="15" customFormat="1" x14ac:dyDescent="0.25"/>
    <row r="4629" s="15" customFormat="1" x14ac:dyDescent="0.25"/>
    <row r="4630" s="15" customFormat="1" x14ac:dyDescent="0.25"/>
    <row r="4631" s="15" customFormat="1" x14ac:dyDescent="0.25"/>
    <row r="4632" s="15" customFormat="1" x14ac:dyDescent="0.25"/>
    <row r="4633" s="15" customFormat="1" x14ac:dyDescent="0.25"/>
    <row r="4634" s="15" customFormat="1" x14ac:dyDescent="0.25"/>
    <row r="4635" s="15" customFormat="1" x14ac:dyDescent="0.25"/>
    <row r="4636" s="15" customFormat="1" x14ac:dyDescent="0.25"/>
    <row r="4637" s="15" customFormat="1" x14ac:dyDescent="0.25"/>
    <row r="4638" s="15" customFormat="1" x14ac:dyDescent="0.25"/>
    <row r="4639" s="15" customFormat="1" x14ac:dyDescent="0.25"/>
    <row r="4640" s="15" customFormat="1" x14ac:dyDescent="0.25"/>
    <row r="4641" s="15" customFormat="1" x14ac:dyDescent="0.25"/>
    <row r="4642" s="15" customFormat="1" x14ac:dyDescent="0.25"/>
    <row r="4643" s="15" customFormat="1" x14ac:dyDescent="0.25"/>
    <row r="4644" s="15" customFormat="1" x14ac:dyDescent="0.25"/>
    <row r="4645" s="15" customFormat="1" x14ac:dyDescent="0.25"/>
    <row r="4646" s="15" customFormat="1" x14ac:dyDescent="0.25"/>
    <row r="4647" s="15" customFormat="1" x14ac:dyDescent="0.25"/>
    <row r="4648" s="15" customFormat="1" x14ac:dyDescent="0.25"/>
    <row r="4649" s="15" customFormat="1" x14ac:dyDescent="0.25"/>
    <row r="4650" s="15" customFormat="1" x14ac:dyDescent="0.25"/>
    <row r="4651" s="15" customFormat="1" x14ac:dyDescent="0.25"/>
    <row r="4652" s="15" customFormat="1" x14ac:dyDescent="0.25"/>
    <row r="4653" s="15" customFormat="1" x14ac:dyDescent="0.25"/>
    <row r="4654" s="15" customFormat="1" x14ac:dyDescent="0.25"/>
    <row r="4655" s="15" customFormat="1" x14ac:dyDescent="0.25"/>
    <row r="4656" s="15" customFormat="1" x14ac:dyDescent="0.25"/>
    <row r="4657" s="15" customFormat="1" x14ac:dyDescent="0.25"/>
    <row r="4658" s="15" customFormat="1" x14ac:dyDescent="0.25"/>
    <row r="4659" s="15" customFormat="1" x14ac:dyDescent="0.25"/>
    <row r="4660" s="15" customFormat="1" x14ac:dyDescent="0.25"/>
    <row r="4661" s="15" customFormat="1" x14ac:dyDescent="0.25"/>
    <row r="4662" s="15" customFormat="1" x14ac:dyDescent="0.25"/>
    <row r="4663" s="15" customFormat="1" x14ac:dyDescent="0.25"/>
    <row r="4664" s="15" customFormat="1" x14ac:dyDescent="0.25"/>
    <row r="4665" s="15" customFormat="1" x14ac:dyDescent="0.25"/>
    <row r="4666" s="15" customFormat="1" x14ac:dyDescent="0.25"/>
    <row r="4667" s="15" customFormat="1" x14ac:dyDescent="0.25"/>
    <row r="4668" s="15" customFormat="1" x14ac:dyDescent="0.25"/>
    <row r="4669" s="15" customFormat="1" x14ac:dyDescent="0.25"/>
    <row r="4670" s="15" customFormat="1" x14ac:dyDescent="0.25"/>
    <row r="4671" s="15" customFormat="1" x14ac:dyDescent="0.25"/>
    <row r="4672" s="15" customFormat="1" x14ac:dyDescent="0.25"/>
    <row r="4673" s="15" customFormat="1" x14ac:dyDescent="0.25"/>
    <row r="4674" s="15" customFormat="1" x14ac:dyDescent="0.25"/>
    <row r="4675" s="15" customFormat="1" x14ac:dyDescent="0.25"/>
    <row r="4676" s="15" customFormat="1" x14ac:dyDescent="0.25"/>
    <row r="4677" s="15" customFormat="1" x14ac:dyDescent="0.25"/>
    <row r="4678" s="15" customFormat="1" x14ac:dyDescent="0.25"/>
    <row r="4679" s="15" customFormat="1" x14ac:dyDescent="0.25"/>
    <row r="4680" s="15" customFormat="1" x14ac:dyDescent="0.25"/>
    <row r="4681" s="15" customFormat="1" x14ac:dyDescent="0.25"/>
    <row r="4682" s="15" customFormat="1" x14ac:dyDescent="0.25"/>
    <row r="4683" s="15" customFormat="1" x14ac:dyDescent="0.25"/>
    <row r="4684" s="15" customFormat="1" x14ac:dyDescent="0.25"/>
    <row r="4685" s="15" customFormat="1" x14ac:dyDescent="0.25"/>
    <row r="4686" s="15" customFormat="1" x14ac:dyDescent="0.25"/>
    <row r="4687" s="15" customFormat="1" x14ac:dyDescent="0.25"/>
    <row r="4688" s="15" customFormat="1" x14ac:dyDescent="0.25"/>
    <row r="4689" s="15" customFormat="1" x14ac:dyDescent="0.25"/>
    <row r="4690" s="15" customFormat="1" x14ac:dyDescent="0.25"/>
    <row r="4691" s="15" customFormat="1" x14ac:dyDescent="0.25"/>
    <row r="4692" s="15" customFormat="1" x14ac:dyDescent="0.25"/>
    <row r="4693" s="15" customFormat="1" x14ac:dyDescent="0.25"/>
    <row r="4694" s="15" customFormat="1" x14ac:dyDescent="0.25"/>
    <row r="4695" s="15" customFormat="1" x14ac:dyDescent="0.25"/>
    <row r="4696" s="15" customFormat="1" x14ac:dyDescent="0.25"/>
    <row r="4697" s="15" customFormat="1" x14ac:dyDescent="0.25"/>
    <row r="4698" s="15" customFormat="1" x14ac:dyDescent="0.25"/>
    <row r="4699" s="15" customFormat="1" x14ac:dyDescent="0.25"/>
    <row r="4700" s="15" customFormat="1" x14ac:dyDescent="0.25"/>
    <row r="4701" s="15" customFormat="1" x14ac:dyDescent="0.25"/>
    <row r="4702" s="15" customFormat="1" x14ac:dyDescent="0.25"/>
    <row r="4703" s="15" customFormat="1" x14ac:dyDescent="0.25"/>
    <row r="4704" s="15" customFormat="1" x14ac:dyDescent="0.25"/>
    <row r="4705" s="15" customFormat="1" x14ac:dyDescent="0.25"/>
    <row r="4706" s="15" customFormat="1" x14ac:dyDescent="0.25"/>
    <row r="4707" s="15" customFormat="1" x14ac:dyDescent="0.25"/>
    <row r="4708" s="15" customFormat="1" x14ac:dyDescent="0.25"/>
    <row r="4709" s="15" customFormat="1" x14ac:dyDescent="0.25"/>
    <row r="4710" s="15" customFormat="1" x14ac:dyDescent="0.25"/>
    <row r="4711" s="15" customFormat="1" x14ac:dyDescent="0.25"/>
    <row r="4712" s="15" customFormat="1" x14ac:dyDescent="0.25"/>
    <row r="4713" s="15" customFormat="1" x14ac:dyDescent="0.25"/>
    <row r="4714" s="15" customFormat="1" x14ac:dyDescent="0.25"/>
    <row r="4715" s="15" customFormat="1" x14ac:dyDescent="0.25"/>
    <row r="4716" s="15" customFormat="1" x14ac:dyDescent="0.25"/>
    <row r="4717" s="15" customFormat="1" x14ac:dyDescent="0.25"/>
    <row r="4718" s="15" customFormat="1" x14ac:dyDescent="0.25"/>
    <row r="4719" s="15" customFormat="1" x14ac:dyDescent="0.25"/>
    <row r="4720" s="15" customFormat="1" x14ac:dyDescent="0.25"/>
    <row r="4721" s="15" customFormat="1" x14ac:dyDescent="0.25"/>
    <row r="4722" s="15" customFormat="1" x14ac:dyDescent="0.25"/>
    <row r="4723" s="15" customFormat="1" x14ac:dyDescent="0.25"/>
    <row r="4724" s="15" customFormat="1" x14ac:dyDescent="0.25"/>
    <row r="4725" s="15" customFormat="1" x14ac:dyDescent="0.25"/>
    <row r="4726" s="15" customFormat="1" x14ac:dyDescent="0.25"/>
    <row r="4727" s="15" customFormat="1" x14ac:dyDescent="0.25"/>
    <row r="4728" s="15" customFormat="1" x14ac:dyDescent="0.25"/>
    <row r="4729" s="15" customFormat="1" x14ac:dyDescent="0.25"/>
    <row r="4730" s="15" customFormat="1" x14ac:dyDescent="0.25"/>
    <row r="4731" s="15" customFormat="1" x14ac:dyDescent="0.25"/>
    <row r="4732" s="15" customFormat="1" x14ac:dyDescent="0.25"/>
    <row r="4733" s="15" customFormat="1" x14ac:dyDescent="0.25"/>
    <row r="4734" s="15" customFormat="1" x14ac:dyDescent="0.25"/>
    <row r="4735" s="15" customFormat="1" x14ac:dyDescent="0.25"/>
    <row r="4736" s="15" customFormat="1" x14ac:dyDescent="0.25"/>
    <row r="4737" s="15" customFormat="1" x14ac:dyDescent="0.25"/>
    <row r="4738" s="15" customFormat="1" x14ac:dyDescent="0.25"/>
    <row r="4739" s="15" customFormat="1" x14ac:dyDescent="0.25"/>
    <row r="4740" s="15" customFormat="1" x14ac:dyDescent="0.25"/>
    <row r="4741" s="15" customFormat="1" x14ac:dyDescent="0.25"/>
    <row r="4742" s="15" customFormat="1" x14ac:dyDescent="0.25"/>
    <row r="4743" s="15" customFormat="1" x14ac:dyDescent="0.25"/>
    <row r="4744" s="15" customFormat="1" x14ac:dyDescent="0.25"/>
    <row r="4745" s="15" customFormat="1" x14ac:dyDescent="0.25"/>
    <row r="4746" s="15" customFormat="1" x14ac:dyDescent="0.25"/>
    <row r="4747" s="15" customFormat="1" x14ac:dyDescent="0.25"/>
    <row r="4748" s="15" customFormat="1" x14ac:dyDescent="0.25"/>
    <row r="4749" s="15" customFormat="1" x14ac:dyDescent="0.25"/>
    <row r="4750" s="15" customFormat="1" x14ac:dyDescent="0.25"/>
    <row r="4751" s="15" customFormat="1" x14ac:dyDescent="0.25"/>
    <row r="4752" s="15" customFormat="1" x14ac:dyDescent="0.25"/>
    <row r="4753" s="15" customFormat="1" x14ac:dyDescent="0.25"/>
    <row r="4754" s="15" customFormat="1" x14ac:dyDescent="0.25"/>
    <row r="4755" s="15" customFormat="1" x14ac:dyDescent="0.25"/>
    <row r="4756" s="15" customFormat="1" x14ac:dyDescent="0.25"/>
    <row r="4757" s="15" customFormat="1" x14ac:dyDescent="0.25"/>
    <row r="4758" s="15" customFormat="1" x14ac:dyDescent="0.25"/>
    <row r="4759" s="15" customFormat="1" x14ac:dyDescent="0.25"/>
    <row r="4760" s="15" customFormat="1" x14ac:dyDescent="0.25"/>
    <row r="4761" s="15" customFormat="1" x14ac:dyDescent="0.25"/>
    <row r="4762" s="15" customFormat="1" x14ac:dyDescent="0.25"/>
    <row r="4763" s="15" customFormat="1" x14ac:dyDescent="0.25"/>
    <row r="4764" s="15" customFormat="1" x14ac:dyDescent="0.25"/>
    <row r="4765" s="15" customFormat="1" x14ac:dyDescent="0.25"/>
    <row r="4766" s="15" customFormat="1" x14ac:dyDescent="0.25"/>
    <row r="4767" s="15" customFormat="1" x14ac:dyDescent="0.25"/>
    <row r="4768" s="15" customFormat="1" x14ac:dyDescent="0.25"/>
    <row r="4769" s="15" customFormat="1" x14ac:dyDescent="0.25"/>
    <row r="4770" s="15" customFormat="1" x14ac:dyDescent="0.25"/>
    <row r="4771" s="15" customFormat="1" x14ac:dyDescent="0.25"/>
    <row r="4772" s="15" customFormat="1" x14ac:dyDescent="0.25"/>
    <row r="4773" s="15" customFormat="1" x14ac:dyDescent="0.25"/>
    <row r="4774" s="15" customFormat="1" x14ac:dyDescent="0.25"/>
    <row r="4775" s="15" customFormat="1" x14ac:dyDescent="0.25"/>
    <row r="4776" s="15" customFormat="1" x14ac:dyDescent="0.25"/>
    <row r="4777" s="15" customFormat="1" x14ac:dyDescent="0.25"/>
    <row r="4778" s="15" customFormat="1" x14ac:dyDescent="0.25"/>
    <row r="4779" s="15" customFormat="1" x14ac:dyDescent="0.25"/>
    <row r="4780" s="15" customFormat="1" x14ac:dyDescent="0.25"/>
    <row r="4781" s="15" customFormat="1" x14ac:dyDescent="0.25"/>
    <row r="4782" s="15" customFormat="1" x14ac:dyDescent="0.25"/>
    <row r="4783" s="15" customFormat="1" x14ac:dyDescent="0.25"/>
    <row r="4784" s="15" customFormat="1" x14ac:dyDescent="0.25"/>
    <row r="4785" s="15" customFormat="1" x14ac:dyDescent="0.25"/>
    <row r="4786" s="15" customFormat="1" x14ac:dyDescent="0.25"/>
    <row r="4787" s="15" customFormat="1" x14ac:dyDescent="0.25"/>
    <row r="4788" s="15" customFormat="1" x14ac:dyDescent="0.25"/>
    <row r="4789" s="15" customFormat="1" x14ac:dyDescent="0.25"/>
    <row r="4790" s="15" customFormat="1" x14ac:dyDescent="0.25"/>
    <row r="4791" s="15" customFormat="1" x14ac:dyDescent="0.25"/>
    <row r="4792" s="15" customFormat="1" x14ac:dyDescent="0.25"/>
    <row r="4793" s="15" customFormat="1" x14ac:dyDescent="0.25"/>
    <row r="4794" s="15" customFormat="1" x14ac:dyDescent="0.25"/>
    <row r="4795" s="15" customFormat="1" x14ac:dyDescent="0.25"/>
    <row r="4796" s="15" customFormat="1" x14ac:dyDescent="0.25"/>
    <row r="4797" s="15" customFormat="1" x14ac:dyDescent="0.25"/>
    <row r="4798" s="15" customFormat="1" x14ac:dyDescent="0.25"/>
    <row r="4799" s="15" customFormat="1" x14ac:dyDescent="0.25"/>
    <row r="4800" s="15" customFormat="1" x14ac:dyDescent="0.25"/>
    <row r="4801" s="15" customFormat="1" x14ac:dyDescent="0.25"/>
    <row r="4802" s="15" customFormat="1" x14ac:dyDescent="0.25"/>
    <row r="4803" s="15" customFormat="1" x14ac:dyDescent="0.25"/>
    <row r="4804" s="15" customFormat="1" x14ac:dyDescent="0.25"/>
    <row r="4805" s="15" customFormat="1" x14ac:dyDescent="0.25"/>
    <row r="4806" s="15" customFormat="1" x14ac:dyDescent="0.25"/>
    <row r="4807" s="15" customFormat="1" x14ac:dyDescent="0.25"/>
    <row r="4808" s="15" customFormat="1" x14ac:dyDescent="0.25"/>
    <row r="4809" s="15" customFormat="1" x14ac:dyDescent="0.25"/>
    <row r="4810" s="15" customFormat="1" x14ac:dyDescent="0.25"/>
    <row r="4811" s="15" customFormat="1" x14ac:dyDescent="0.25"/>
    <row r="4812" s="15" customFormat="1" x14ac:dyDescent="0.25"/>
    <row r="4813" s="15" customFormat="1" x14ac:dyDescent="0.25"/>
    <row r="4814" s="15" customFormat="1" x14ac:dyDescent="0.25"/>
    <row r="4815" s="15" customFormat="1" x14ac:dyDescent="0.25"/>
    <row r="4816" s="15" customFormat="1" x14ac:dyDescent="0.25"/>
    <row r="4817" s="15" customFormat="1" x14ac:dyDescent="0.25"/>
    <row r="4818" s="15" customFormat="1" x14ac:dyDescent="0.25"/>
    <row r="4819" s="15" customFormat="1" x14ac:dyDescent="0.25"/>
    <row r="4820" s="15" customFormat="1" x14ac:dyDescent="0.25"/>
    <row r="4821" s="15" customFormat="1" x14ac:dyDescent="0.25"/>
    <row r="4822" s="15" customFormat="1" x14ac:dyDescent="0.25"/>
    <row r="4823" s="15" customFormat="1" x14ac:dyDescent="0.25"/>
    <row r="4824" s="15" customFormat="1" x14ac:dyDescent="0.25"/>
    <row r="4825" s="15" customFormat="1" x14ac:dyDescent="0.25"/>
    <row r="4826" s="15" customFormat="1" x14ac:dyDescent="0.25"/>
    <row r="4827" s="15" customFormat="1" x14ac:dyDescent="0.25"/>
    <row r="4828" s="15" customFormat="1" x14ac:dyDescent="0.25"/>
    <row r="4829" s="15" customFormat="1" x14ac:dyDescent="0.25"/>
    <row r="4830" s="15" customFormat="1" x14ac:dyDescent="0.25"/>
    <row r="4831" s="15" customFormat="1" x14ac:dyDescent="0.25"/>
    <row r="4832" s="15" customFormat="1" x14ac:dyDescent="0.25"/>
    <row r="4833" s="15" customFormat="1" x14ac:dyDescent="0.25"/>
    <row r="4834" s="15" customFormat="1" x14ac:dyDescent="0.25"/>
    <row r="4835" s="15" customFormat="1" x14ac:dyDescent="0.25"/>
    <row r="4836" s="15" customFormat="1" x14ac:dyDescent="0.25"/>
    <row r="4837" s="15" customFormat="1" x14ac:dyDescent="0.25"/>
    <row r="4838" s="15" customFormat="1" x14ac:dyDescent="0.25"/>
    <row r="4839" s="15" customFormat="1" x14ac:dyDescent="0.25"/>
    <row r="4840" s="15" customFormat="1" x14ac:dyDescent="0.25"/>
    <row r="4841" s="15" customFormat="1" x14ac:dyDescent="0.25"/>
    <row r="4842" s="15" customFormat="1" x14ac:dyDescent="0.25"/>
    <row r="4843" s="15" customFormat="1" x14ac:dyDescent="0.25"/>
    <row r="4844" s="15" customFormat="1" x14ac:dyDescent="0.25"/>
    <row r="4845" s="15" customFormat="1" x14ac:dyDescent="0.25"/>
    <row r="4846" s="15" customFormat="1" x14ac:dyDescent="0.25"/>
    <row r="4847" s="15" customFormat="1" x14ac:dyDescent="0.25"/>
    <row r="4848" s="15" customFormat="1" x14ac:dyDescent="0.25"/>
    <row r="4849" s="15" customFormat="1" x14ac:dyDescent="0.25"/>
    <row r="4850" s="15" customFormat="1" x14ac:dyDescent="0.25"/>
    <row r="4851" s="15" customFormat="1" x14ac:dyDescent="0.25"/>
    <row r="4852" s="15" customFormat="1" x14ac:dyDescent="0.25"/>
    <row r="4853" s="15" customFormat="1" x14ac:dyDescent="0.25"/>
    <row r="4854" s="15" customFormat="1" x14ac:dyDescent="0.25"/>
    <row r="4855" s="15" customFormat="1" x14ac:dyDescent="0.25"/>
    <row r="4856" s="15" customFormat="1" x14ac:dyDescent="0.25"/>
    <row r="4857" s="15" customFormat="1" x14ac:dyDescent="0.25"/>
    <row r="4858" s="15" customFormat="1" x14ac:dyDescent="0.25"/>
    <row r="4859" s="15" customFormat="1" x14ac:dyDescent="0.25"/>
    <row r="4860" s="15" customFormat="1" x14ac:dyDescent="0.25"/>
    <row r="4861" s="15" customFormat="1" x14ac:dyDescent="0.25"/>
    <row r="4862" s="15" customFormat="1" x14ac:dyDescent="0.25"/>
    <row r="4863" s="15" customFormat="1" x14ac:dyDescent="0.25"/>
    <row r="4864" s="15" customFormat="1" x14ac:dyDescent="0.25"/>
    <row r="4865" s="15" customFormat="1" x14ac:dyDescent="0.25"/>
    <row r="4866" s="15" customFormat="1" x14ac:dyDescent="0.25"/>
    <row r="4867" s="15" customFormat="1" x14ac:dyDescent="0.25"/>
    <row r="4868" s="15" customFormat="1" x14ac:dyDescent="0.25"/>
    <row r="4869" s="15" customFormat="1" x14ac:dyDescent="0.25"/>
    <row r="4870" s="15" customFormat="1" x14ac:dyDescent="0.25"/>
    <row r="4871" s="15" customFormat="1" x14ac:dyDescent="0.25"/>
    <row r="4872" s="15" customFormat="1" x14ac:dyDescent="0.25"/>
    <row r="4873" s="15" customFormat="1" x14ac:dyDescent="0.25"/>
    <row r="4874" s="15" customFormat="1" x14ac:dyDescent="0.25"/>
    <row r="4875" s="15" customFormat="1" x14ac:dyDescent="0.25"/>
    <row r="4876" s="15" customFormat="1" x14ac:dyDescent="0.25"/>
    <row r="4877" s="15" customFormat="1" x14ac:dyDescent="0.25"/>
    <row r="4878" s="15" customFormat="1" x14ac:dyDescent="0.25"/>
    <row r="4879" s="15" customFormat="1" x14ac:dyDescent="0.25"/>
    <row r="4880" s="15" customFormat="1" x14ac:dyDescent="0.25"/>
    <row r="4881" s="15" customFormat="1" x14ac:dyDescent="0.25"/>
    <row r="4882" s="15" customFormat="1" x14ac:dyDescent="0.25"/>
    <row r="4883" s="15" customFormat="1" x14ac:dyDescent="0.25"/>
    <row r="4884" s="15" customFormat="1" x14ac:dyDescent="0.25"/>
    <row r="4885" s="15" customFormat="1" x14ac:dyDescent="0.25"/>
    <row r="4886" s="15" customFormat="1" x14ac:dyDescent="0.25"/>
    <row r="4887" s="15" customFormat="1" x14ac:dyDescent="0.25"/>
    <row r="4888" s="15" customFormat="1" x14ac:dyDescent="0.25"/>
    <row r="4889" s="15" customFormat="1" x14ac:dyDescent="0.25"/>
    <row r="4890" s="15" customFormat="1" x14ac:dyDescent="0.25"/>
    <row r="4891" s="15" customFormat="1" x14ac:dyDescent="0.25"/>
    <row r="4892" s="15" customFormat="1" x14ac:dyDescent="0.25"/>
    <row r="4893" s="15" customFormat="1" x14ac:dyDescent="0.25"/>
    <row r="4894" s="15" customFormat="1" x14ac:dyDescent="0.25"/>
    <row r="4895" s="15" customFormat="1" x14ac:dyDescent="0.25"/>
    <row r="4896" s="15" customFormat="1" x14ac:dyDescent="0.25"/>
    <row r="4897" s="15" customFormat="1" x14ac:dyDescent="0.25"/>
    <row r="4898" s="15" customFormat="1" x14ac:dyDescent="0.25"/>
    <row r="4899" s="15" customFormat="1" x14ac:dyDescent="0.25"/>
    <row r="4900" s="15" customFormat="1" x14ac:dyDescent="0.25"/>
    <row r="4901" s="15" customFormat="1" x14ac:dyDescent="0.25"/>
    <row r="4902" s="15" customFormat="1" x14ac:dyDescent="0.25"/>
    <row r="4903" s="15" customFormat="1" x14ac:dyDescent="0.25"/>
    <row r="4904" s="15" customFormat="1" x14ac:dyDescent="0.25"/>
    <row r="4905" s="15" customFormat="1" x14ac:dyDescent="0.25"/>
    <row r="4906" s="15" customFormat="1" x14ac:dyDescent="0.25"/>
    <row r="4907" s="15" customFormat="1" x14ac:dyDescent="0.25"/>
    <row r="4908" s="15" customFormat="1" x14ac:dyDescent="0.25"/>
    <row r="4909" s="15" customFormat="1" x14ac:dyDescent="0.25"/>
    <row r="4910" s="15" customFormat="1" x14ac:dyDescent="0.25"/>
    <row r="4911" s="15" customFormat="1" x14ac:dyDescent="0.25"/>
    <row r="4912" s="15" customFormat="1" x14ac:dyDescent="0.25"/>
    <row r="4913" s="15" customFormat="1" x14ac:dyDescent="0.25"/>
    <row r="4914" s="15" customFormat="1" x14ac:dyDescent="0.25"/>
    <row r="4915" s="15" customFormat="1" x14ac:dyDescent="0.25"/>
    <row r="4916" s="15" customFormat="1" x14ac:dyDescent="0.25"/>
    <row r="4917" s="15" customFormat="1" x14ac:dyDescent="0.25"/>
    <row r="4918" s="15" customFormat="1" x14ac:dyDescent="0.25"/>
    <row r="4919" s="15" customFormat="1" x14ac:dyDescent="0.25"/>
    <row r="4920" s="15" customFormat="1" x14ac:dyDescent="0.25"/>
    <row r="4921" s="15" customFormat="1" x14ac:dyDescent="0.25"/>
    <row r="4922" s="15" customFormat="1" x14ac:dyDescent="0.25"/>
    <row r="4923" s="15" customFormat="1" x14ac:dyDescent="0.25"/>
    <row r="4924" s="15" customFormat="1" x14ac:dyDescent="0.25"/>
    <row r="4925" s="15" customFormat="1" x14ac:dyDescent="0.25"/>
    <row r="4926" s="15" customFormat="1" x14ac:dyDescent="0.25"/>
    <row r="4927" s="15" customFormat="1" x14ac:dyDescent="0.25"/>
    <row r="4928" s="15" customFormat="1" x14ac:dyDescent="0.25"/>
    <row r="4929" s="15" customFormat="1" x14ac:dyDescent="0.25"/>
    <row r="4930" s="15" customFormat="1" x14ac:dyDescent="0.25"/>
    <row r="4931" s="15" customFormat="1" x14ac:dyDescent="0.25"/>
    <row r="4932" s="15" customFormat="1" x14ac:dyDescent="0.25"/>
    <row r="4933" s="15" customFormat="1" x14ac:dyDescent="0.25"/>
    <row r="4934" s="15" customFormat="1" x14ac:dyDescent="0.25"/>
    <row r="4935" s="15" customFormat="1" x14ac:dyDescent="0.25"/>
    <row r="4936" s="15" customFormat="1" x14ac:dyDescent="0.25"/>
    <row r="4937" s="15" customFormat="1" x14ac:dyDescent="0.25"/>
    <row r="4938" s="15" customFormat="1" x14ac:dyDescent="0.25"/>
    <row r="4939" s="15" customFormat="1" x14ac:dyDescent="0.25"/>
    <row r="4940" s="15" customFormat="1" x14ac:dyDescent="0.25"/>
    <row r="4941" s="15" customFormat="1" x14ac:dyDescent="0.25"/>
    <row r="4942" s="15" customFormat="1" x14ac:dyDescent="0.25"/>
    <row r="4943" s="15" customFormat="1" x14ac:dyDescent="0.25"/>
    <row r="4944" s="15" customFormat="1" x14ac:dyDescent="0.25"/>
    <row r="4945" s="15" customFormat="1" x14ac:dyDescent="0.25"/>
    <row r="4946" s="15" customFormat="1" x14ac:dyDescent="0.25"/>
    <row r="4947" s="15" customFormat="1" x14ac:dyDescent="0.25"/>
    <row r="4948" s="15" customFormat="1" x14ac:dyDescent="0.25"/>
    <row r="4949" s="15" customFormat="1" x14ac:dyDescent="0.25"/>
    <row r="4950" s="15" customFormat="1" x14ac:dyDescent="0.25"/>
    <row r="4951" s="15" customFormat="1" x14ac:dyDescent="0.25"/>
    <row r="4952" s="15" customFormat="1" x14ac:dyDescent="0.25"/>
    <row r="4953" s="15" customFormat="1" x14ac:dyDescent="0.25"/>
    <row r="4954" s="15" customFormat="1" x14ac:dyDescent="0.25"/>
    <row r="4955" s="15" customFormat="1" x14ac:dyDescent="0.25"/>
    <row r="4956" s="15" customFormat="1" x14ac:dyDescent="0.25"/>
    <row r="4957" s="15" customFormat="1" x14ac:dyDescent="0.25"/>
    <row r="4958" s="15" customFormat="1" x14ac:dyDescent="0.25"/>
    <row r="4959" s="15" customFormat="1" x14ac:dyDescent="0.25"/>
    <row r="4960" s="15" customFormat="1" x14ac:dyDescent="0.25"/>
    <row r="4961" s="15" customFormat="1" x14ac:dyDescent="0.25"/>
    <row r="4962" s="15" customFormat="1" x14ac:dyDescent="0.25"/>
    <row r="4963" s="15" customFormat="1" x14ac:dyDescent="0.25"/>
    <row r="4964" s="15" customFormat="1" x14ac:dyDescent="0.25"/>
    <row r="4965" s="15" customFormat="1" x14ac:dyDescent="0.25"/>
    <row r="4966" s="15" customFormat="1" x14ac:dyDescent="0.25"/>
    <row r="4967" s="15" customFormat="1" x14ac:dyDescent="0.25"/>
    <row r="4968" s="15" customFormat="1" x14ac:dyDescent="0.25"/>
    <row r="4969" s="15" customFormat="1" x14ac:dyDescent="0.25"/>
    <row r="4970" s="15" customFormat="1" x14ac:dyDescent="0.25"/>
    <row r="4971" s="15" customFormat="1" x14ac:dyDescent="0.25"/>
    <row r="4972" s="15" customFormat="1" x14ac:dyDescent="0.25"/>
    <row r="4973" s="15" customFormat="1" x14ac:dyDescent="0.25"/>
    <row r="4974" s="15" customFormat="1" x14ac:dyDescent="0.25"/>
    <row r="4975" s="15" customFormat="1" x14ac:dyDescent="0.25"/>
    <row r="4976" s="15" customFormat="1" x14ac:dyDescent="0.25"/>
    <row r="4977" s="15" customFormat="1" x14ac:dyDescent="0.25"/>
    <row r="4978" s="15" customFormat="1" x14ac:dyDescent="0.25"/>
    <row r="4979" s="15" customFormat="1" x14ac:dyDescent="0.25"/>
    <row r="4980" s="15" customFormat="1" x14ac:dyDescent="0.25"/>
    <row r="4981" s="15" customFormat="1" x14ac:dyDescent="0.25"/>
    <row r="4982" s="15" customFormat="1" x14ac:dyDescent="0.25"/>
    <row r="4983" s="15" customFormat="1" x14ac:dyDescent="0.25"/>
    <row r="4984" s="15" customFormat="1" x14ac:dyDescent="0.25"/>
    <row r="4985" s="15" customFormat="1" x14ac:dyDescent="0.25"/>
    <row r="4986" s="15" customFormat="1" x14ac:dyDescent="0.25"/>
    <row r="4987" s="15" customFormat="1" x14ac:dyDescent="0.25"/>
    <row r="4988" s="15" customFormat="1" x14ac:dyDescent="0.25"/>
    <row r="4989" s="15" customFormat="1" x14ac:dyDescent="0.25"/>
    <row r="4990" s="15" customFormat="1" x14ac:dyDescent="0.25"/>
    <row r="4991" s="15" customFormat="1" x14ac:dyDescent="0.25"/>
    <row r="4992" s="15" customFormat="1" x14ac:dyDescent="0.25"/>
    <row r="4993" s="15" customFormat="1" x14ac:dyDescent="0.25"/>
    <row r="4994" s="15" customFormat="1" x14ac:dyDescent="0.25"/>
    <row r="4995" s="15" customFormat="1" x14ac:dyDescent="0.25"/>
    <row r="4996" s="15" customFormat="1" x14ac:dyDescent="0.25"/>
    <row r="4997" s="15" customFormat="1" x14ac:dyDescent="0.25"/>
    <row r="4998" s="15" customFormat="1" x14ac:dyDescent="0.25"/>
    <row r="4999" s="15" customFormat="1" x14ac:dyDescent="0.25"/>
    <row r="5000" s="15" customFormat="1" x14ac:dyDescent="0.25"/>
  </sheetData>
  <sheetProtection formatCells="0" formatColumns="0" formatRows="0" insertColumns="0" insertRows="0" deleteColumns="0" deleteRows="0" sort="0" autoFilter="0"/>
  <mergeCells count="2">
    <mergeCell ref="A7:G7"/>
    <mergeCell ref="A8:F8"/>
  </mergeCells>
  <phoneticPr fontId="3" type="noConversion"/>
  <pageMargins left="0.25" right="0.25" top="0.25" bottom="0.25" header="0.5" footer="0.5"/>
  <pageSetup scale="49" fitToHeight="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27">
    <pageSetUpPr fitToPage="1"/>
  </sheetPr>
  <dimension ref="A1:H618"/>
  <sheetViews>
    <sheetView zoomScaleNormal="100" zoomScaleSheetLayoutView="100" workbookViewId="0"/>
  </sheetViews>
  <sheetFormatPr defaultColWidth="11.44140625" defaultRowHeight="13.2" x14ac:dyDescent="0.25"/>
  <cols>
    <col min="1" max="1" width="34.44140625" style="15" customWidth="1"/>
    <col min="2" max="2" width="50.109375" style="15" customWidth="1"/>
    <col min="3" max="3" width="11.44140625" style="15" customWidth="1"/>
    <col min="4" max="4" width="14.109375" style="15" bestFit="1" customWidth="1"/>
    <col min="5" max="5" width="14.109375" style="15" customWidth="1"/>
    <col min="6" max="6" width="11.44140625" style="15" customWidth="1"/>
    <col min="7" max="7" width="5.109375" style="15" customWidth="1"/>
    <col min="8" max="8" width="33.44140625" style="15" customWidth="1"/>
    <col min="9" max="16384" width="11.44140625" style="15"/>
  </cols>
  <sheetData>
    <row r="1" spans="1:8" ht="13.8" thickBot="1" x14ac:dyDescent="0.3">
      <c r="A1" s="15" t="s">
        <v>287</v>
      </c>
      <c r="B1" s="15" t="s">
        <v>1239</v>
      </c>
    </row>
    <row r="2" spans="1:8" ht="13.8" thickBot="1" x14ac:dyDescent="0.3">
      <c r="A2" s="668" t="s">
        <v>77</v>
      </c>
      <c r="B2" s="669"/>
      <c r="C2" s="670"/>
      <c r="D2" s="277" t="s">
        <v>282</v>
      </c>
      <c r="E2" s="278" t="s">
        <v>312</v>
      </c>
      <c r="F2" s="279" t="s">
        <v>300</v>
      </c>
      <c r="H2" s="4" t="s">
        <v>191</v>
      </c>
    </row>
    <row r="3" spans="1:8" x14ac:dyDescent="0.25">
      <c r="A3" s="9" t="s">
        <v>1339</v>
      </c>
      <c r="B3" s="9" t="s">
        <v>1339</v>
      </c>
      <c r="C3" s="50" t="s">
        <v>1196</v>
      </c>
      <c r="D3" s="12" t="s">
        <v>284</v>
      </c>
      <c r="E3" s="13" t="s">
        <v>311</v>
      </c>
      <c r="F3" s="14" t="s">
        <v>301</v>
      </c>
      <c r="H3" s="51" t="s">
        <v>1339</v>
      </c>
    </row>
    <row r="4" spans="1:8" x14ac:dyDescent="0.25">
      <c r="A4" s="9" t="s">
        <v>1340</v>
      </c>
      <c r="B4" s="9" t="s">
        <v>1340</v>
      </c>
      <c r="C4" s="50" t="s">
        <v>1086</v>
      </c>
      <c r="D4" s="12" t="s">
        <v>284</v>
      </c>
      <c r="E4" s="13" t="s">
        <v>311</v>
      </c>
      <c r="F4" s="14" t="s">
        <v>301</v>
      </c>
      <c r="H4" s="29" t="s">
        <v>1340</v>
      </c>
    </row>
    <row r="5" spans="1:8" x14ac:dyDescent="0.25">
      <c r="A5" s="9" t="s">
        <v>1341</v>
      </c>
      <c r="B5" s="9" t="s">
        <v>1341</v>
      </c>
      <c r="C5" s="50" t="s">
        <v>1342</v>
      </c>
      <c r="D5" s="12" t="s">
        <v>284</v>
      </c>
      <c r="E5" s="13" t="s">
        <v>311</v>
      </c>
      <c r="F5" s="14" t="s">
        <v>301</v>
      </c>
      <c r="H5" s="29" t="s">
        <v>1341</v>
      </c>
    </row>
    <row r="6" spans="1:8" x14ac:dyDescent="0.25">
      <c r="A6" s="9" t="s">
        <v>1343</v>
      </c>
      <c r="B6" s="9" t="s">
        <v>1343</v>
      </c>
      <c r="C6" s="50" t="s">
        <v>1085</v>
      </c>
      <c r="D6" s="12" t="s">
        <v>284</v>
      </c>
      <c r="E6" s="13" t="s">
        <v>311</v>
      </c>
      <c r="F6" s="14" t="s">
        <v>301</v>
      </c>
      <c r="H6" s="29" t="s">
        <v>1343</v>
      </c>
    </row>
    <row r="7" spans="1:8" x14ac:dyDescent="0.25">
      <c r="A7" s="8" t="s">
        <v>818</v>
      </c>
      <c r="B7" s="9" t="s">
        <v>99</v>
      </c>
      <c r="C7" s="10" t="s">
        <v>98</v>
      </c>
      <c r="D7" s="12" t="s">
        <v>284</v>
      </c>
      <c r="E7" s="13" t="s">
        <v>311</v>
      </c>
      <c r="F7" s="14" t="s">
        <v>301</v>
      </c>
      <c r="H7" s="31" t="s">
        <v>818</v>
      </c>
    </row>
    <row r="8" spans="1:8" x14ac:dyDescent="0.25">
      <c r="A8" s="8" t="s">
        <v>97</v>
      </c>
      <c r="B8" s="9" t="s">
        <v>96</v>
      </c>
      <c r="C8" s="10" t="s">
        <v>239</v>
      </c>
      <c r="D8" s="12" t="s">
        <v>284</v>
      </c>
      <c r="E8" s="13" t="s">
        <v>311</v>
      </c>
      <c r="F8" s="14" t="s">
        <v>301</v>
      </c>
      <c r="H8" s="31" t="s">
        <v>97</v>
      </c>
    </row>
    <row r="9" spans="1:8" s="16" customFormat="1" x14ac:dyDescent="0.25">
      <c r="A9" s="8" t="s">
        <v>168</v>
      </c>
      <c r="B9" s="9" t="s">
        <v>169</v>
      </c>
      <c r="C9" s="10" t="s">
        <v>172</v>
      </c>
      <c r="D9" s="12" t="s">
        <v>285</v>
      </c>
      <c r="E9" s="13" t="s">
        <v>311</v>
      </c>
      <c r="F9" s="14" t="s">
        <v>301</v>
      </c>
      <c r="G9" s="15"/>
      <c r="H9" s="29" t="s">
        <v>168</v>
      </c>
    </row>
    <row r="10" spans="1:8" ht="12" customHeight="1" x14ac:dyDescent="0.25">
      <c r="A10" s="8" t="s">
        <v>167</v>
      </c>
      <c r="B10" s="9" t="s">
        <v>171</v>
      </c>
      <c r="C10" s="10" t="s">
        <v>173</v>
      </c>
      <c r="D10" s="12" t="s">
        <v>284</v>
      </c>
      <c r="E10" s="13" t="s">
        <v>311</v>
      </c>
      <c r="F10" s="14" t="s">
        <v>301</v>
      </c>
      <c r="H10" s="29" t="s">
        <v>167</v>
      </c>
    </row>
    <row r="11" spans="1:8" x14ac:dyDescent="0.25">
      <c r="A11" s="8" t="s">
        <v>435</v>
      </c>
      <c r="B11" s="9" t="s">
        <v>436</v>
      </c>
      <c r="C11" s="10" t="s">
        <v>437</v>
      </c>
      <c r="D11" s="12" t="s">
        <v>284</v>
      </c>
      <c r="E11" s="13" t="s">
        <v>311</v>
      </c>
      <c r="F11" s="14" t="s">
        <v>301</v>
      </c>
      <c r="H11" s="29" t="s">
        <v>435</v>
      </c>
    </row>
    <row r="12" spans="1:8" x14ac:dyDescent="0.25">
      <c r="A12" s="8" t="s">
        <v>221</v>
      </c>
      <c r="B12" s="9" t="s">
        <v>222</v>
      </c>
      <c r="C12" s="10" t="s">
        <v>223</v>
      </c>
      <c r="D12" s="12" t="s">
        <v>284</v>
      </c>
      <c r="E12" s="13" t="s">
        <v>311</v>
      </c>
      <c r="F12" s="14" t="s">
        <v>301</v>
      </c>
      <c r="H12" s="29" t="s">
        <v>221</v>
      </c>
    </row>
    <row r="13" spans="1:8" x14ac:dyDescent="0.25">
      <c r="A13" s="8" t="s">
        <v>1201</v>
      </c>
      <c r="B13" s="9" t="s">
        <v>1201</v>
      </c>
      <c r="C13" s="10" t="s">
        <v>1202</v>
      </c>
      <c r="D13" s="12" t="s">
        <v>284</v>
      </c>
      <c r="E13" s="13" t="s">
        <v>311</v>
      </c>
      <c r="F13" s="14" t="s">
        <v>301</v>
      </c>
      <c r="H13" s="29" t="s">
        <v>1201</v>
      </c>
    </row>
    <row r="14" spans="1:8" x14ac:dyDescent="0.25">
      <c r="A14" s="8" t="s">
        <v>331</v>
      </c>
      <c r="B14" s="9" t="s">
        <v>332</v>
      </c>
      <c r="C14" s="10" t="s">
        <v>334</v>
      </c>
      <c r="D14" s="12" t="s">
        <v>284</v>
      </c>
      <c r="E14" s="13" t="s">
        <v>311</v>
      </c>
      <c r="F14" s="14" t="s">
        <v>301</v>
      </c>
      <c r="H14" s="29" t="s">
        <v>331</v>
      </c>
    </row>
    <row r="15" spans="1:8" x14ac:dyDescent="0.25">
      <c r="A15" s="8" t="s">
        <v>1057</v>
      </c>
      <c r="B15" s="9" t="s">
        <v>1058</v>
      </c>
      <c r="C15" s="10" t="s">
        <v>1059</v>
      </c>
      <c r="D15" s="12" t="s">
        <v>284</v>
      </c>
      <c r="E15" s="13" t="s">
        <v>311</v>
      </c>
      <c r="F15" s="14" t="s">
        <v>301</v>
      </c>
      <c r="H15" s="29" t="s">
        <v>1057</v>
      </c>
    </row>
    <row r="16" spans="1:8" x14ac:dyDescent="0.25">
      <c r="A16" s="8" t="s">
        <v>1060</v>
      </c>
      <c r="B16" s="9" t="s">
        <v>1061</v>
      </c>
      <c r="C16" s="10" t="s">
        <v>441</v>
      </c>
      <c r="D16" s="12" t="s">
        <v>284</v>
      </c>
      <c r="E16" s="13" t="s">
        <v>311</v>
      </c>
      <c r="F16" s="14" t="s">
        <v>301</v>
      </c>
      <c r="H16" s="29" t="s">
        <v>1060</v>
      </c>
    </row>
    <row r="17" spans="1:8" s="16" customFormat="1" x14ac:dyDescent="0.25">
      <c r="A17" s="8" t="s">
        <v>1096</v>
      </c>
      <c r="B17" s="9" t="s">
        <v>816</v>
      </c>
      <c r="C17" s="10" t="s">
        <v>779</v>
      </c>
      <c r="D17" s="12" t="s">
        <v>284</v>
      </c>
      <c r="E17" s="13" t="s">
        <v>311</v>
      </c>
      <c r="F17" s="14" t="s">
        <v>302</v>
      </c>
      <c r="G17" s="15"/>
      <c r="H17" s="29" t="s">
        <v>1096</v>
      </c>
    </row>
    <row r="18" spans="1:8" x14ac:dyDescent="0.25">
      <c r="A18" s="8" t="s">
        <v>1097</v>
      </c>
      <c r="B18" s="9" t="s">
        <v>1098</v>
      </c>
      <c r="C18" s="10" t="s">
        <v>784</v>
      </c>
      <c r="D18" s="12" t="s">
        <v>284</v>
      </c>
      <c r="E18" s="13" t="s">
        <v>311</v>
      </c>
      <c r="F18" s="14" t="s">
        <v>302</v>
      </c>
      <c r="H18" s="29" t="s">
        <v>1097</v>
      </c>
    </row>
    <row r="19" spans="1:8" x14ac:dyDescent="0.25">
      <c r="A19" s="8" t="s">
        <v>905</v>
      </c>
      <c r="B19" s="9" t="s">
        <v>905</v>
      </c>
      <c r="C19" s="10" t="s">
        <v>224</v>
      </c>
      <c r="D19" s="12" t="s">
        <v>284</v>
      </c>
      <c r="E19" s="13" t="s">
        <v>311</v>
      </c>
      <c r="F19" s="14" t="s">
        <v>301</v>
      </c>
      <c r="H19" s="29" t="s">
        <v>905</v>
      </c>
    </row>
    <row r="20" spans="1:8" x14ac:dyDescent="0.25">
      <c r="A20" s="8" t="s">
        <v>84</v>
      </c>
      <c r="B20" s="9" t="s">
        <v>817</v>
      </c>
      <c r="C20" s="10" t="s">
        <v>86</v>
      </c>
      <c r="D20" s="12" t="s">
        <v>284</v>
      </c>
      <c r="E20" s="13" t="s">
        <v>311</v>
      </c>
      <c r="F20" s="14" t="s">
        <v>301</v>
      </c>
      <c r="H20" s="29" t="s">
        <v>84</v>
      </c>
    </row>
    <row r="21" spans="1:8" x14ac:dyDescent="0.25">
      <c r="A21" s="8" t="s">
        <v>1203</v>
      </c>
      <c r="B21" s="9" t="s">
        <v>1203</v>
      </c>
      <c r="C21" s="10" t="s">
        <v>1087</v>
      </c>
      <c r="D21" s="12" t="s">
        <v>284</v>
      </c>
      <c r="E21" s="13" t="s">
        <v>311</v>
      </c>
      <c r="F21" s="14" t="s">
        <v>301</v>
      </c>
      <c r="H21" s="29" t="s">
        <v>1203</v>
      </c>
    </row>
    <row r="22" spans="1:8" x14ac:dyDescent="0.25">
      <c r="A22" s="8" t="s">
        <v>969</v>
      </c>
      <c r="B22" s="11" t="s">
        <v>969</v>
      </c>
      <c r="C22" s="10" t="s">
        <v>970</v>
      </c>
      <c r="D22" s="12" t="s">
        <v>284</v>
      </c>
      <c r="E22" s="13" t="s">
        <v>311</v>
      </c>
      <c r="F22" s="14" t="s">
        <v>301</v>
      </c>
      <c r="H22" s="29" t="s">
        <v>969</v>
      </c>
    </row>
    <row r="23" spans="1:8" x14ac:dyDescent="0.25">
      <c r="A23" s="8" t="s">
        <v>499</v>
      </c>
      <c r="B23" s="9" t="s">
        <v>500</v>
      </c>
      <c r="C23" s="10" t="s">
        <v>501</v>
      </c>
      <c r="D23" s="12" t="s">
        <v>284</v>
      </c>
      <c r="E23" s="13" t="s">
        <v>311</v>
      </c>
      <c r="F23" s="14" t="s">
        <v>301</v>
      </c>
      <c r="H23" s="29" t="s">
        <v>499</v>
      </c>
    </row>
    <row r="24" spans="1:8" x14ac:dyDescent="0.25">
      <c r="A24" s="8" t="s">
        <v>951</v>
      </c>
      <c r="B24" s="9" t="s">
        <v>953</v>
      </c>
      <c r="C24" s="10" t="s">
        <v>952</v>
      </c>
      <c r="D24" s="12" t="s">
        <v>285</v>
      </c>
      <c r="E24" s="13" t="s">
        <v>311</v>
      </c>
      <c r="F24" s="14" t="s">
        <v>301</v>
      </c>
      <c r="H24" s="29" t="s">
        <v>951</v>
      </c>
    </row>
    <row r="25" spans="1:8" x14ac:dyDescent="0.25">
      <c r="A25" s="8" t="s">
        <v>233</v>
      </c>
      <c r="B25" s="9" t="s">
        <v>234</v>
      </c>
      <c r="C25" s="10" t="s">
        <v>235</v>
      </c>
      <c r="D25" s="12" t="s">
        <v>284</v>
      </c>
      <c r="E25" s="13" t="s">
        <v>311</v>
      </c>
      <c r="F25" s="14" t="s">
        <v>301</v>
      </c>
      <c r="H25" s="29" t="s">
        <v>233</v>
      </c>
    </row>
    <row r="26" spans="1:8" ht="11.25" customHeight="1" x14ac:dyDescent="0.25">
      <c r="A26" s="8" t="s">
        <v>1106</v>
      </c>
      <c r="B26" s="9" t="s">
        <v>1107</v>
      </c>
      <c r="C26" s="10" t="s">
        <v>735</v>
      </c>
      <c r="D26" s="12" t="s">
        <v>284</v>
      </c>
      <c r="E26" s="13" t="s">
        <v>311</v>
      </c>
      <c r="F26" s="14" t="s">
        <v>301</v>
      </c>
      <c r="H26" s="29" t="s">
        <v>1106</v>
      </c>
    </row>
    <row r="27" spans="1:8" x14ac:dyDescent="0.25">
      <c r="A27" s="8" t="s">
        <v>1108</v>
      </c>
      <c r="B27" s="9" t="s">
        <v>1109</v>
      </c>
      <c r="C27" s="10" t="s">
        <v>1110</v>
      </c>
      <c r="D27" s="12" t="s">
        <v>284</v>
      </c>
      <c r="E27" s="13" t="s">
        <v>311</v>
      </c>
      <c r="F27" s="14" t="s">
        <v>301</v>
      </c>
      <c r="H27" s="29" t="s">
        <v>1108</v>
      </c>
    </row>
    <row r="28" spans="1:8" x14ac:dyDescent="0.25">
      <c r="A28" s="8" t="s">
        <v>1111</v>
      </c>
      <c r="B28" s="9" t="s">
        <v>1111</v>
      </c>
      <c r="C28" s="10" t="s">
        <v>1112</v>
      </c>
      <c r="D28" s="12" t="s">
        <v>284</v>
      </c>
      <c r="E28" s="13" t="s">
        <v>311</v>
      </c>
      <c r="F28" s="14" t="s">
        <v>301</v>
      </c>
      <c r="H28" s="29" t="s">
        <v>1111</v>
      </c>
    </row>
    <row r="29" spans="1:8" x14ac:dyDescent="0.25">
      <c r="A29" s="8" t="s">
        <v>192</v>
      </c>
      <c r="B29" s="9" t="s">
        <v>809</v>
      </c>
      <c r="C29" s="10" t="s">
        <v>193</v>
      </c>
      <c r="D29" s="12" t="s">
        <v>285</v>
      </c>
      <c r="E29" s="13" t="s">
        <v>311</v>
      </c>
      <c r="F29" s="14" t="s">
        <v>301</v>
      </c>
      <c r="H29" s="29" t="s">
        <v>192</v>
      </c>
    </row>
    <row r="30" spans="1:8" x14ac:dyDescent="0.25">
      <c r="A30" s="8" t="s">
        <v>9</v>
      </c>
      <c r="B30" s="9" t="s">
        <v>9</v>
      </c>
      <c r="C30" s="10" t="s">
        <v>10</v>
      </c>
      <c r="D30" s="12" t="s">
        <v>285</v>
      </c>
      <c r="E30" s="13" t="s">
        <v>311</v>
      </c>
      <c r="F30" s="14" t="s">
        <v>301</v>
      </c>
      <c r="H30" s="29" t="s">
        <v>9</v>
      </c>
    </row>
    <row r="31" spans="1:8" x14ac:dyDescent="0.25">
      <c r="A31" s="39" t="s">
        <v>665</v>
      </c>
      <c r="B31" s="9" t="s">
        <v>666</v>
      </c>
      <c r="C31" s="10" t="s">
        <v>667</v>
      </c>
      <c r="D31" s="12" t="s">
        <v>284</v>
      </c>
      <c r="E31" s="13" t="s">
        <v>311</v>
      </c>
      <c r="F31" s="14" t="s">
        <v>301</v>
      </c>
      <c r="H31" s="29" t="s">
        <v>665</v>
      </c>
    </row>
    <row r="32" spans="1:8" x14ac:dyDescent="0.25">
      <c r="A32" s="39" t="s">
        <v>1222</v>
      </c>
      <c r="B32" s="9" t="s">
        <v>1222</v>
      </c>
      <c r="C32" s="10" t="s">
        <v>1223</v>
      </c>
      <c r="D32" s="12" t="s">
        <v>284</v>
      </c>
      <c r="E32" s="13" t="s">
        <v>311</v>
      </c>
      <c r="F32" s="14" t="s">
        <v>301</v>
      </c>
      <c r="H32" s="29" t="s">
        <v>1222</v>
      </c>
    </row>
    <row r="33" spans="1:8" s="16" customFormat="1" x14ac:dyDescent="0.25">
      <c r="A33" s="8" t="s">
        <v>493</v>
      </c>
      <c r="B33" s="9" t="s">
        <v>494</v>
      </c>
      <c r="C33" s="10" t="s">
        <v>495</v>
      </c>
      <c r="D33" s="12" t="s">
        <v>284</v>
      </c>
      <c r="E33" s="13" t="s">
        <v>311</v>
      </c>
      <c r="F33" s="14" t="s">
        <v>301</v>
      </c>
      <c r="G33" s="15"/>
      <c r="H33" s="29" t="s">
        <v>493</v>
      </c>
    </row>
    <row r="34" spans="1:8" x14ac:dyDescent="0.25">
      <c r="A34" s="8" t="s">
        <v>249</v>
      </c>
      <c r="B34" s="9" t="s">
        <v>250</v>
      </c>
      <c r="C34" s="10" t="s">
        <v>251</v>
      </c>
      <c r="D34" s="12" t="s">
        <v>284</v>
      </c>
      <c r="E34" s="13" t="s">
        <v>311</v>
      </c>
      <c r="F34" s="14" t="s">
        <v>301</v>
      </c>
      <c r="H34" s="29" t="s">
        <v>249</v>
      </c>
    </row>
    <row r="35" spans="1:8" x14ac:dyDescent="0.25">
      <c r="A35" s="8" t="s">
        <v>1049</v>
      </c>
      <c r="B35" s="9" t="s">
        <v>1050</v>
      </c>
      <c r="C35" s="10" t="s">
        <v>804</v>
      </c>
      <c r="D35" s="12" t="s">
        <v>285</v>
      </c>
      <c r="E35" s="13" t="s">
        <v>311</v>
      </c>
      <c r="F35" s="14" t="s">
        <v>301</v>
      </c>
      <c r="H35" s="29" t="s">
        <v>1049</v>
      </c>
    </row>
    <row r="36" spans="1:8" s="16" customFormat="1" x14ac:dyDescent="0.25">
      <c r="A36" s="8" t="s">
        <v>1053</v>
      </c>
      <c r="B36" s="9" t="s">
        <v>1052</v>
      </c>
      <c r="C36" s="10" t="s">
        <v>1051</v>
      </c>
      <c r="D36" s="12" t="s">
        <v>285</v>
      </c>
      <c r="E36" s="13" t="s">
        <v>311</v>
      </c>
      <c r="F36" s="14" t="s">
        <v>301</v>
      </c>
      <c r="G36" s="15"/>
      <c r="H36" s="29" t="s">
        <v>1053</v>
      </c>
    </row>
    <row r="37" spans="1:8" s="16" customFormat="1" x14ac:dyDescent="0.25">
      <c r="A37" s="8" t="s">
        <v>295</v>
      </c>
      <c r="B37" s="9" t="s">
        <v>100</v>
      </c>
      <c r="C37" s="10" t="s">
        <v>238</v>
      </c>
      <c r="D37" s="12" t="s">
        <v>284</v>
      </c>
      <c r="E37" s="13" t="s">
        <v>311</v>
      </c>
      <c r="F37" s="14" t="s">
        <v>301</v>
      </c>
      <c r="G37" s="15"/>
      <c r="H37" s="29" t="s">
        <v>295</v>
      </c>
    </row>
    <row r="38" spans="1:8" x14ac:dyDescent="0.25">
      <c r="A38" s="8" t="s">
        <v>296</v>
      </c>
      <c r="B38" s="9" t="s">
        <v>298</v>
      </c>
      <c r="C38" s="10" t="s">
        <v>297</v>
      </c>
      <c r="D38" s="12" t="s">
        <v>284</v>
      </c>
      <c r="E38" s="13" t="s">
        <v>311</v>
      </c>
      <c r="F38" s="14" t="s">
        <v>301</v>
      </c>
      <c r="H38" s="29" t="s">
        <v>296</v>
      </c>
    </row>
    <row r="39" spans="1:8" x14ac:dyDescent="0.25">
      <c r="A39" s="8" t="s">
        <v>876</v>
      </c>
      <c r="B39" s="9" t="s">
        <v>876</v>
      </c>
      <c r="C39" s="10" t="s">
        <v>872</v>
      </c>
      <c r="D39" s="12" t="s">
        <v>285</v>
      </c>
      <c r="E39" s="13" t="s">
        <v>311</v>
      </c>
      <c r="F39" s="14" t="s">
        <v>301</v>
      </c>
      <c r="H39" s="29" t="s">
        <v>869</v>
      </c>
    </row>
    <row r="40" spans="1:8" x14ac:dyDescent="0.25">
      <c r="A40" s="8" t="s">
        <v>870</v>
      </c>
      <c r="B40" s="9" t="s">
        <v>870</v>
      </c>
      <c r="C40" s="10" t="s">
        <v>873</v>
      </c>
      <c r="D40" s="12" t="s">
        <v>284</v>
      </c>
      <c r="E40" s="13" t="s">
        <v>311</v>
      </c>
      <c r="F40" s="14" t="s">
        <v>301</v>
      </c>
      <c r="H40" s="29" t="s">
        <v>870</v>
      </c>
    </row>
    <row r="41" spans="1:8" x14ac:dyDescent="0.25">
      <c r="A41" s="8" t="s">
        <v>914</v>
      </c>
      <c r="B41" s="9" t="s">
        <v>915</v>
      </c>
      <c r="C41" s="10" t="s">
        <v>916</v>
      </c>
      <c r="D41" s="12" t="s">
        <v>284</v>
      </c>
      <c r="E41" s="13" t="s">
        <v>311</v>
      </c>
      <c r="F41" s="14" t="s">
        <v>301</v>
      </c>
      <c r="H41" s="29" t="s">
        <v>914</v>
      </c>
    </row>
    <row r="42" spans="1:8" x14ac:dyDescent="0.25">
      <c r="A42" s="8" t="s">
        <v>1064</v>
      </c>
      <c r="B42" s="9" t="s">
        <v>1068</v>
      </c>
      <c r="C42" s="10" t="s">
        <v>916</v>
      </c>
      <c r="D42" s="12" t="s">
        <v>284</v>
      </c>
      <c r="E42" s="13" t="s">
        <v>311</v>
      </c>
      <c r="F42" s="14" t="s">
        <v>301</v>
      </c>
      <c r="H42" s="29" t="s">
        <v>1064</v>
      </c>
    </row>
    <row r="43" spans="1:8" x14ac:dyDescent="0.25">
      <c r="A43" s="8" t="s">
        <v>917</v>
      </c>
      <c r="B43" s="9" t="s">
        <v>920</v>
      </c>
      <c r="C43" s="10" t="s">
        <v>923</v>
      </c>
      <c r="D43" s="12" t="s">
        <v>284</v>
      </c>
      <c r="E43" s="13" t="s">
        <v>311</v>
      </c>
      <c r="F43" s="14" t="s">
        <v>301</v>
      </c>
      <c r="H43" s="29" t="s">
        <v>917</v>
      </c>
    </row>
    <row r="44" spans="1:8" x14ac:dyDescent="0.25">
      <c r="A44" s="8" t="s">
        <v>1065</v>
      </c>
      <c r="B44" s="9" t="s">
        <v>1069</v>
      </c>
      <c r="C44" s="10" t="s">
        <v>923</v>
      </c>
      <c r="D44" s="12" t="s">
        <v>284</v>
      </c>
      <c r="E44" s="13" t="s">
        <v>311</v>
      </c>
      <c r="F44" s="14" t="s">
        <v>301</v>
      </c>
      <c r="H44" s="29" t="s">
        <v>1065</v>
      </c>
    </row>
    <row r="45" spans="1:8" x14ac:dyDescent="0.25">
      <c r="A45" s="8" t="s">
        <v>918</v>
      </c>
      <c r="B45" s="9" t="s">
        <v>921</v>
      </c>
      <c r="C45" s="10" t="s">
        <v>924</v>
      </c>
      <c r="D45" s="12" t="s">
        <v>284</v>
      </c>
      <c r="E45" s="13" t="s">
        <v>311</v>
      </c>
      <c r="F45" s="14" t="s">
        <v>301</v>
      </c>
      <c r="H45" s="29" t="s">
        <v>918</v>
      </c>
    </row>
    <row r="46" spans="1:8" x14ac:dyDescent="0.25">
      <c r="A46" s="8" t="s">
        <v>1066</v>
      </c>
      <c r="B46" s="9" t="s">
        <v>1070</v>
      </c>
      <c r="C46" s="10" t="s">
        <v>924</v>
      </c>
      <c r="D46" s="12" t="s">
        <v>284</v>
      </c>
      <c r="E46" s="13" t="s">
        <v>311</v>
      </c>
      <c r="F46" s="14" t="s">
        <v>301</v>
      </c>
      <c r="H46" s="29" t="s">
        <v>1066</v>
      </c>
    </row>
    <row r="47" spans="1:8" x14ac:dyDescent="0.25">
      <c r="A47" s="8" t="s">
        <v>919</v>
      </c>
      <c r="B47" s="9" t="s">
        <v>922</v>
      </c>
      <c r="C47" s="10" t="s">
        <v>925</v>
      </c>
      <c r="D47" s="12" t="s">
        <v>284</v>
      </c>
      <c r="E47" s="13" t="s">
        <v>311</v>
      </c>
      <c r="F47" s="14" t="s">
        <v>301</v>
      </c>
      <c r="H47" s="29" t="s">
        <v>919</v>
      </c>
    </row>
    <row r="48" spans="1:8" ht="15" customHeight="1" x14ac:dyDescent="0.25">
      <c r="A48" s="8" t="s">
        <v>1067</v>
      </c>
      <c r="B48" s="9" t="s">
        <v>1071</v>
      </c>
      <c r="C48" s="10" t="s">
        <v>925</v>
      </c>
      <c r="D48" s="12" t="s">
        <v>284</v>
      </c>
      <c r="E48" s="13" t="s">
        <v>311</v>
      </c>
      <c r="F48" s="14" t="s">
        <v>301</v>
      </c>
      <c r="H48" s="29" t="s">
        <v>1067</v>
      </c>
    </row>
    <row r="49" spans="1:8" ht="13.5" customHeight="1" x14ac:dyDescent="0.25">
      <c r="A49" s="8" t="s">
        <v>937</v>
      </c>
      <c r="B49" s="9" t="s">
        <v>938</v>
      </c>
      <c r="C49" s="10" t="s">
        <v>926</v>
      </c>
      <c r="D49" s="12" t="s">
        <v>284</v>
      </c>
      <c r="E49" s="13" t="s">
        <v>311</v>
      </c>
      <c r="F49" s="14" t="s">
        <v>301</v>
      </c>
      <c r="H49" s="29" t="s">
        <v>937</v>
      </c>
    </row>
    <row r="50" spans="1:8" x14ac:dyDescent="0.25">
      <c r="A50" s="8" t="s">
        <v>202</v>
      </c>
      <c r="B50" s="9" t="s">
        <v>819</v>
      </c>
      <c r="C50" s="10" t="s">
        <v>1099</v>
      </c>
      <c r="D50" s="12" t="s">
        <v>284</v>
      </c>
      <c r="E50" s="13" t="s">
        <v>311</v>
      </c>
      <c r="F50" s="14" t="s">
        <v>302</v>
      </c>
      <c r="G50" s="17"/>
      <c r="H50" s="29" t="s">
        <v>202</v>
      </c>
    </row>
    <row r="51" spans="1:8" x14ac:dyDescent="0.25">
      <c r="A51" s="8" t="s">
        <v>1275</v>
      </c>
      <c r="B51" s="9" t="s">
        <v>1276</v>
      </c>
      <c r="C51" s="10" t="s">
        <v>1277</v>
      </c>
      <c r="D51" s="12" t="s">
        <v>285</v>
      </c>
      <c r="E51" s="13" t="s">
        <v>311</v>
      </c>
      <c r="F51" s="14" t="s">
        <v>301</v>
      </c>
      <c r="H51" s="29" t="s">
        <v>1275</v>
      </c>
    </row>
    <row r="52" spans="1:8" x14ac:dyDescent="0.25">
      <c r="A52" s="8" t="s">
        <v>1278</v>
      </c>
      <c r="B52" s="9" t="s">
        <v>1279</v>
      </c>
      <c r="C52" s="10" t="s">
        <v>1280</v>
      </c>
      <c r="D52" s="12" t="s">
        <v>285</v>
      </c>
      <c r="E52" s="13" t="s">
        <v>311</v>
      </c>
      <c r="F52" s="14" t="s">
        <v>301</v>
      </c>
      <c r="H52" s="29" t="s">
        <v>1278</v>
      </c>
    </row>
    <row r="53" spans="1:8" x14ac:dyDescent="0.25">
      <c r="A53" s="8" t="s">
        <v>1281</v>
      </c>
      <c r="B53" s="9" t="s">
        <v>1282</v>
      </c>
      <c r="C53" s="10" t="s">
        <v>1283</v>
      </c>
      <c r="D53" s="12" t="s">
        <v>285</v>
      </c>
      <c r="E53" s="13" t="s">
        <v>311</v>
      </c>
      <c r="F53" s="14" t="s">
        <v>301</v>
      </c>
      <c r="H53" s="29" t="s">
        <v>1281</v>
      </c>
    </row>
    <row r="54" spans="1:8" x14ac:dyDescent="0.25">
      <c r="A54" s="8" t="s">
        <v>1284</v>
      </c>
      <c r="B54" s="9" t="s">
        <v>1285</v>
      </c>
      <c r="C54" s="10" t="s">
        <v>1286</v>
      </c>
      <c r="D54" s="12" t="s">
        <v>285</v>
      </c>
      <c r="E54" s="13" t="s">
        <v>311</v>
      </c>
      <c r="F54" s="14" t="s">
        <v>301</v>
      </c>
      <c r="H54" s="29" t="s">
        <v>1284</v>
      </c>
    </row>
    <row r="55" spans="1:8" x14ac:dyDescent="0.25">
      <c r="A55" s="8" t="s">
        <v>1287</v>
      </c>
      <c r="B55" s="9" t="s">
        <v>1288</v>
      </c>
      <c r="C55" s="10" t="s">
        <v>1289</v>
      </c>
      <c r="D55" s="12" t="s">
        <v>285</v>
      </c>
      <c r="E55" s="13" t="s">
        <v>311</v>
      </c>
      <c r="F55" s="14" t="s">
        <v>301</v>
      </c>
      <c r="H55" s="29" t="s">
        <v>1287</v>
      </c>
    </row>
    <row r="56" spans="1:8" x14ac:dyDescent="0.25">
      <c r="A56" s="8" t="s">
        <v>1290</v>
      </c>
      <c r="B56" s="9" t="s">
        <v>1291</v>
      </c>
      <c r="C56" s="10" t="s">
        <v>1292</v>
      </c>
      <c r="D56" s="12" t="s">
        <v>285</v>
      </c>
      <c r="E56" s="13" t="s">
        <v>311</v>
      </c>
      <c r="F56" s="14" t="s">
        <v>301</v>
      </c>
      <c r="H56" s="29" t="s">
        <v>1290</v>
      </c>
    </row>
    <row r="57" spans="1:8" x14ac:dyDescent="0.25">
      <c r="A57" s="8" t="s">
        <v>1293</v>
      </c>
      <c r="B57" s="9" t="s">
        <v>1294</v>
      </c>
      <c r="C57" s="10" t="s">
        <v>1295</v>
      </c>
      <c r="D57" s="12" t="s">
        <v>285</v>
      </c>
      <c r="E57" s="13" t="s">
        <v>311</v>
      </c>
      <c r="F57" s="14" t="s">
        <v>301</v>
      </c>
      <c r="H57" s="29" t="s">
        <v>1293</v>
      </c>
    </row>
    <row r="58" spans="1:8" x14ac:dyDescent="0.25">
      <c r="A58" s="8" t="s">
        <v>1296</v>
      </c>
      <c r="B58" s="9" t="s">
        <v>1297</v>
      </c>
      <c r="C58" s="10" t="s">
        <v>1298</v>
      </c>
      <c r="D58" s="12" t="s">
        <v>285</v>
      </c>
      <c r="E58" s="13" t="s">
        <v>311</v>
      </c>
      <c r="F58" s="14" t="s">
        <v>301</v>
      </c>
      <c r="H58" s="29" t="s">
        <v>1296</v>
      </c>
    </row>
    <row r="59" spans="1:8" x14ac:dyDescent="0.25">
      <c r="A59" s="8" t="s">
        <v>966</v>
      </c>
      <c r="B59" s="9" t="s">
        <v>967</v>
      </c>
      <c r="C59" s="10" t="s">
        <v>968</v>
      </c>
      <c r="D59" s="12" t="s">
        <v>284</v>
      </c>
      <c r="E59" s="13" t="s">
        <v>311</v>
      </c>
      <c r="F59" s="14" t="s">
        <v>301</v>
      </c>
      <c r="G59" s="17"/>
      <c r="H59" s="29" t="s">
        <v>966</v>
      </c>
    </row>
    <row r="60" spans="1:8" x14ac:dyDescent="0.25">
      <c r="A60" s="8" t="s">
        <v>1266</v>
      </c>
      <c r="B60" s="9" t="s">
        <v>1267</v>
      </c>
      <c r="C60" s="10" t="s">
        <v>1268</v>
      </c>
      <c r="D60" s="12" t="s">
        <v>285</v>
      </c>
      <c r="E60" s="13" t="s">
        <v>311</v>
      </c>
      <c r="F60" s="14" t="s">
        <v>301</v>
      </c>
      <c r="G60" s="17"/>
      <c r="H60" s="29" t="s">
        <v>1266</v>
      </c>
    </row>
    <row r="61" spans="1:8" x14ac:dyDescent="0.25">
      <c r="A61" s="8" t="s">
        <v>1269</v>
      </c>
      <c r="B61" s="9" t="s">
        <v>1271</v>
      </c>
      <c r="C61" s="10" t="s">
        <v>1273</v>
      </c>
      <c r="D61" s="12" t="s">
        <v>285</v>
      </c>
      <c r="E61" s="13" t="s">
        <v>311</v>
      </c>
      <c r="F61" s="14" t="s">
        <v>301</v>
      </c>
      <c r="G61" s="17"/>
      <c r="H61" s="29" t="s">
        <v>1269</v>
      </c>
    </row>
    <row r="62" spans="1:8" x14ac:dyDescent="0.25">
      <c r="A62" s="8" t="s">
        <v>1270</v>
      </c>
      <c r="B62" s="9" t="s">
        <v>1272</v>
      </c>
      <c r="C62" s="10" t="s">
        <v>1274</v>
      </c>
      <c r="D62" s="12" t="s">
        <v>285</v>
      </c>
      <c r="E62" s="13" t="s">
        <v>311</v>
      </c>
      <c r="F62" s="14" t="s">
        <v>301</v>
      </c>
      <c r="G62" s="17"/>
      <c r="H62" s="29" t="s">
        <v>1270</v>
      </c>
    </row>
    <row r="63" spans="1:8" x14ac:dyDescent="0.25">
      <c r="A63" s="8" t="s">
        <v>1314</v>
      </c>
      <c r="B63" s="9" t="s">
        <v>1315</v>
      </c>
      <c r="C63" s="10" t="s">
        <v>1316</v>
      </c>
      <c r="D63" s="12" t="s">
        <v>258</v>
      </c>
      <c r="E63" s="13" t="s">
        <v>311</v>
      </c>
      <c r="F63" s="14" t="s">
        <v>301</v>
      </c>
      <c r="H63" s="29" t="s">
        <v>1314</v>
      </c>
    </row>
    <row r="64" spans="1:8" x14ac:dyDescent="0.25">
      <c r="A64" s="8" t="s">
        <v>1317</v>
      </c>
      <c r="B64" s="9" t="s">
        <v>1318</v>
      </c>
      <c r="C64" s="10" t="s">
        <v>1319</v>
      </c>
      <c r="D64" s="12" t="s">
        <v>258</v>
      </c>
      <c r="E64" s="13" t="s">
        <v>311</v>
      </c>
      <c r="F64" s="14" t="s">
        <v>301</v>
      </c>
      <c r="H64" s="29" t="s">
        <v>1317</v>
      </c>
    </row>
    <row r="65" spans="1:8" x14ac:dyDescent="0.25">
      <c r="A65" s="8" t="s">
        <v>1320</v>
      </c>
      <c r="B65" s="9" t="s">
        <v>1321</v>
      </c>
      <c r="C65" s="10" t="s">
        <v>1322</v>
      </c>
      <c r="D65" s="12" t="s">
        <v>258</v>
      </c>
      <c r="E65" s="13" t="s">
        <v>311</v>
      </c>
      <c r="F65" s="14" t="s">
        <v>301</v>
      </c>
      <c r="H65" s="29" t="s">
        <v>1320</v>
      </c>
    </row>
    <row r="66" spans="1:8" x14ac:dyDescent="0.25">
      <c r="A66" s="8" t="s">
        <v>1323</v>
      </c>
      <c r="B66" s="9" t="s">
        <v>1324</v>
      </c>
      <c r="C66" s="10" t="s">
        <v>1325</v>
      </c>
      <c r="D66" s="12" t="s">
        <v>258</v>
      </c>
      <c r="E66" s="13" t="s">
        <v>311</v>
      </c>
      <c r="F66" s="14" t="s">
        <v>301</v>
      </c>
      <c r="H66" s="29" t="s">
        <v>1323</v>
      </c>
    </row>
    <row r="67" spans="1:8" x14ac:dyDescent="0.25">
      <c r="A67" s="8" t="s">
        <v>1326</v>
      </c>
      <c r="B67" s="9" t="s">
        <v>1327</v>
      </c>
      <c r="C67" s="10" t="s">
        <v>1328</v>
      </c>
      <c r="D67" s="12" t="s">
        <v>258</v>
      </c>
      <c r="E67" s="13" t="s">
        <v>311</v>
      </c>
      <c r="F67" s="14" t="s">
        <v>301</v>
      </c>
      <c r="H67" s="29" t="s">
        <v>1326</v>
      </c>
    </row>
    <row r="68" spans="1:8" x14ac:dyDescent="0.25">
      <c r="A68" s="8" t="s">
        <v>307</v>
      </c>
      <c r="B68" s="9" t="s">
        <v>308</v>
      </c>
      <c r="C68" s="10" t="s">
        <v>309</v>
      </c>
      <c r="D68" s="12" t="s">
        <v>284</v>
      </c>
      <c r="E68" s="13" t="s">
        <v>311</v>
      </c>
      <c r="F68" s="14" t="s">
        <v>302</v>
      </c>
      <c r="H68" s="29" t="s">
        <v>307</v>
      </c>
    </row>
    <row r="69" spans="1:8" s="16" customFormat="1" x14ac:dyDescent="0.25">
      <c r="A69" s="8" t="s">
        <v>927</v>
      </c>
      <c r="B69" s="9" t="s">
        <v>928</v>
      </c>
      <c r="C69" s="10" t="s">
        <v>1100</v>
      </c>
      <c r="D69" s="12" t="s">
        <v>284</v>
      </c>
      <c r="E69" s="13" t="s">
        <v>311</v>
      </c>
      <c r="F69" s="14" t="s">
        <v>302</v>
      </c>
      <c r="G69" s="15"/>
      <c r="H69" s="29" t="s">
        <v>927</v>
      </c>
    </row>
    <row r="70" spans="1:8" s="16" customFormat="1" x14ac:dyDescent="0.25">
      <c r="A70" s="8" t="s">
        <v>943</v>
      </c>
      <c r="B70" s="9" t="s">
        <v>944</v>
      </c>
      <c r="C70" s="10" t="s">
        <v>945</v>
      </c>
      <c r="D70" s="12" t="s">
        <v>285</v>
      </c>
      <c r="E70" s="13" t="s">
        <v>311</v>
      </c>
      <c r="F70" s="14" t="s">
        <v>301</v>
      </c>
      <c r="G70" s="15"/>
      <c r="H70" s="29" t="s">
        <v>946</v>
      </c>
    </row>
    <row r="71" spans="1:8" x14ac:dyDescent="0.25">
      <c r="A71" s="8" t="s">
        <v>939</v>
      </c>
      <c r="B71" s="9" t="s">
        <v>940</v>
      </c>
      <c r="C71" s="10" t="s">
        <v>941</v>
      </c>
      <c r="D71" s="12" t="s">
        <v>284</v>
      </c>
      <c r="E71" s="13" t="s">
        <v>311</v>
      </c>
      <c r="F71" s="14" t="s">
        <v>301</v>
      </c>
      <c r="H71" s="29" t="s">
        <v>942</v>
      </c>
    </row>
    <row r="72" spans="1:8" ht="92.4" x14ac:dyDescent="0.25">
      <c r="A72" s="8" t="s">
        <v>724</v>
      </c>
      <c r="B72" s="9" t="s">
        <v>820</v>
      </c>
      <c r="C72" s="10" t="s">
        <v>723</v>
      </c>
      <c r="D72" s="12" t="s">
        <v>285</v>
      </c>
      <c r="E72" s="13" t="s">
        <v>299</v>
      </c>
      <c r="F72" s="14" t="s">
        <v>301</v>
      </c>
      <c r="H72" s="29" t="s">
        <v>724</v>
      </c>
    </row>
    <row r="73" spans="1:8" ht="92.4" x14ac:dyDescent="0.25">
      <c r="A73" s="8" t="s">
        <v>722</v>
      </c>
      <c r="B73" s="9" t="s">
        <v>820</v>
      </c>
      <c r="C73" s="10" t="s">
        <v>725</v>
      </c>
      <c r="D73" s="12" t="s">
        <v>284</v>
      </c>
      <c r="E73" s="13" t="s">
        <v>299</v>
      </c>
      <c r="F73" s="14" t="s">
        <v>301</v>
      </c>
      <c r="H73" s="29" t="s">
        <v>722</v>
      </c>
    </row>
    <row r="74" spans="1:8" x14ac:dyDescent="0.25">
      <c r="A74" s="8" t="s">
        <v>663</v>
      </c>
      <c r="B74" s="9" t="s">
        <v>664</v>
      </c>
      <c r="C74" s="10" t="s">
        <v>750</v>
      </c>
      <c r="D74" s="12" t="s">
        <v>284</v>
      </c>
      <c r="E74" s="13" t="s">
        <v>311</v>
      </c>
      <c r="F74" s="14" t="s">
        <v>301</v>
      </c>
      <c r="H74" s="29" t="s">
        <v>663</v>
      </c>
    </row>
    <row r="75" spans="1:8" x14ac:dyDescent="0.25">
      <c r="A75" s="8" t="s">
        <v>219</v>
      </c>
      <c r="B75" s="9" t="s">
        <v>788</v>
      </c>
      <c r="C75" s="10" t="s">
        <v>254</v>
      </c>
      <c r="D75" s="12" t="s">
        <v>285</v>
      </c>
      <c r="E75" s="13" t="s">
        <v>311</v>
      </c>
      <c r="F75" s="14" t="s">
        <v>301</v>
      </c>
      <c r="H75" s="29" t="s">
        <v>219</v>
      </c>
    </row>
    <row r="76" spans="1:8" x14ac:dyDescent="0.25">
      <c r="A76" s="8" t="s">
        <v>21</v>
      </c>
      <c r="B76" s="9" t="s">
        <v>225</v>
      </c>
      <c r="C76" s="10" t="s">
        <v>226</v>
      </c>
      <c r="D76" s="12" t="s">
        <v>284</v>
      </c>
      <c r="E76" s="13" t="s">
        <v>311</v>
      </c>
      <c r="F76" s="14" t="s">
        <v>301</v>
      </c>
      <c r="H76" s="29" t="s">
        <v>21</v>
      </c>
    </row>
    <row r="77" spans="1:8" ht="26.4" x14ac:dyDescent="0.25">
      <c r="A77" s="8" t="s">
        <v>152</v>
      </c>
      <c r="B77" s="9" t="s">
        <v>153</v>
      </c>
      <c r="C77" s="10" t="s">
        <v>227</v>
      </c>
      <c r="D77" s="12" t="s">
        <v>284</v>
      </c>
      <c r="E77" s="13" t="s">
        <v>311</v>
      </c>
      <c r="F77" s="14" t="s">
        <v>301</v>
      </c>
      <c r="H77" s="29" t="s">
        <v>152</v>
      </c>
    </row>
    <row r="78" spans="1:8" x14ac:dyDescent="0.25">
      <c r="A78" s="8" t="s">
        <v>930</v>
      </c>
      <c r="B78" s="9" t="s">
        <v>932</v>
      </c>
      <c r="C78" s="10" t="s">
        <v>242</v>
      </c>
      <c r="D78" s="12" t="s">
        <v>285</v>
      </c>
      <c r="E78" s="13" t="s">
        <v>311</v>
      </c>
      <c r="F78" s="14" t="s">
        <v>301</v>
      </c>
      <c r="H78" s="29" t="s">
        <v>934</v>
      </c>
    </row>
    <row r="79" spans="1:8" x14ac:dyDescent="0.25">
      <c r="A79" s="8" t="s">
        <v>929</v>
      </c>
      <c r="B79" s="9" t="s">
        <v>931</v>
      </c>
      <c r="C79" s="10" t="s">
        <v>933</v>
      </c>
      <c r="D79" s="12" t="s">
        <v>284</v>
      </c>
      <c r="E79" s="13" t="s">
        <v>311</v>
      </c>
      <c r="F79" s="14" t="s">
        <v>301</v>
      </c>
      <c r="H79" s="29" t="s">
        <v>935</v>
      </c>
    </row>
    <row r="80" spans="1:8" x14ac:dyDescent="0.25">
      <c r="A80" s="8" t="s">
        <v>445</v>
      </c>
      <c r="B80" s="9" t="s">
        <v>445</v>
      </c>
      <c r="C80" s="10" t="s">
        <v>446</v>
      </c>
      <c r="D80" s="12" t="s">
        <v>284</v>
      </c>
      <c r="E80" s="13" t="s">
        <v>311</v>
      </c>
      <c r="F80" s="14" t="s">
        <v>301</v>
      </c>
      <c r="H80" s="29" t="s">
        <v>447</v>
      </c>
    </row>
    <row r="81" spans="1:8" x14ac:dyDescent="0.25">
      <c r="A81" s="8" t="s">
        <v>1306</v>
      </c>
      <c r="B81" s="9" t="s">
        <v>1306</v>
      </c>
      <c r="C81" s="10" t="s">
        <v>1307</v>
      </c>
      <c r="D81" s="12" t="s">
        <v>284</v>
      </c>
      <c r="E81" s="13" t="s">
        <v>311</v>
      </c>
      <c r="F81" s="14" t="s">
        <v>301</v>
      </c>
      <c r="H81" s="29" t="s">
        <v>1306</v>
      </c>
    </row>
    <row r="82" spans="1:8" ht="26.4" x14ac:dyDescent="0.25">
      <c r="A82" s="8" t="s">
        <v>438</v>
      </c>
      <c r="B82" s="9" t="s">
        <v>822</v>
      </c>
      <c r="C82" s="10" t="s">
        <v>439</v>
      </c>
      <c r="D82" s="12" t="s">
        <v>284</v>
      </c>
      <c r="E82" s="13" t="s">
        <v>311</v>
      </c>
      <c r="F82" s="14" t="s">
        <v>301</v>
      </c>
      <c r="H82" s="29" t="s">
        <v>438</v>
      </c>
    </row>
    <row r="83" spans="1:8" x14ac:dyDescent="0.25">
      <c r="A83" s="8" t="s">
        <v>550</v>
      </c>
      <c r="B83" s="9" t="s">
        <v>551</v>
      </c>
      <c r="C83" s="10" t="s">
        <v>552</v>
      </c>
      <c r="D83" s="12" t="s">
        <v>284</v>
      </c>
      <c r="E83" s="13" t="s">
        <v>311</v>
      </c>
      <c r="F83" s="14" t="s">
        <v>301</v>
      </c>
      <c r="H83" s="29" t="s">
        <v>550</v>
      </c>
    </row>
    <row r="84" spans="1:8" x14ac:dyDescent="0.25">
      <c r="A84" s="8" t="s">
        <v>1217</v>
      </c>
      <c r="B84" s="9" t="s">
        <v>1218</v>
      </c>
      <c r="C84" s="10" t="s">
        <v>1219</v>
      </c>
      <c r="D84" s="12" t="s">
        <v>284</v>
      </c>
      <c r="E84" s="13" t="s">
        <v>311</v>
      </c>
      <c r="F84" s="14" t="s">
        <v>301</v>
      </c>
      <c r="H84" s="29" t="s">
        <v>1217</v>
      </c>
    </row>
    <row r="85" spans="1:8" x14ac:dyDescent="0.25">
      <c r="A85" s="8" t="s">
        <v>1333</v>
      </c>
      <c r="B85" s="9" t="s">
        <v>1334</v>
      </c>
      <c r="C85" s="10" t="s">
        <v>1335</v>
      </c>
      <c r="D85" s="12" t="s">
        <v>284</v>
      </c>
      <c r="E85" s="13" t="s">
        <v>311</v>
      </c>
      <c r="F85" s="14" t="s">
        <v>301</v>
      </c>
      <c r="H85" s="29" t="s">
        <v>1333</v>
      </c>
    </row>
    <row r="86" spans="1:8" x14ac:dyDescent="0.25">
      <c r="A86" s="8" t="s">
        <v>780</v>
      </c>
      <c r="B86" s="9" t="s">
        <v>821</v>
      </c>
      <c r="C86" s="10" t="s">
        <v>1101</v>
      </c>
      <c r="D86" s="12" t="s">
        <v>284</v>
      </c>
      <c r="E86" s="13" t="s">
        <v>311</v>
      </c>
      <c r="F86" s="14" t="s">
        <v>302</v>
      </c>
      <c r="H86" s="29" t="s">
        <v>780</v>
      </c>
    </row>
    <row r="87" spans="1:8" x14ac:dyDescent="0.25">
      <c r="A87" s="8" t="s">
        <v>947</v>
      </c>
      <c r="B87" s="9" t="s">
        <v>947</v>
      </c>
      <c r="C87" s="10" t="s">
        <v>948</v>
      </c>
      <c r="D87" s="12" t="s">
        <v>285</v>
      </c>
      <c r="E87" s="13" t="s">
        <v>311</v>
      </c>
      <c r="F87" s="14" t="s">
        <v>301</v>
      </c>
      <c r="H87" s="29" t="s">
        <v>947</v>
      </c>
    </row>
    <row r="88" spans="1:8" x14ac:dyDescent="0.25">
      <c r="A88" s="8" t="s">
        <v>763</v>
      </c>
      <c r="B88" s="9" t="s">
        <v>764</v>
      </c>
      <c r="C88" s="10" t="s">
        <v>83</v>
      </c>
      <c r="D88" s="12" t="s">
        <v>284</v>
      </c>
      <c r="E88" s="13" t="s">
        <v>311</v>
      </c>
      <c r="F88" s="14" t="s">
        <v>302</v>
      </c>
      <c r="H88" s="29" t="s">
        <v>763</v>
      </c>
    </row>
    <row r="89" spans="1:8" x14ac:dyDescent="0.25">
      <c r="A89" s="8" t="s">
        <v>1093</v>
      </c>
      <c r="B89" s="9" t="s">
        <v>1093</v>
      </c>
      <c r="C89" s="10" t="s">
        <v>337</v>
      </c>
      <c r="D89" s="12" t="s">
        <v>284</v>
      </c>
      <c r="E89" s="13" t="s">
        <v>311</v>
      </c>
      <c r="F89" s="14" t="s">
        <v>301</v>
      </c>
      <c r="H89" s="29" t="s">
        <v>1093</v>
      </c>
    </row>
    <row r="90" spans="1:8" x14ac:dyDescent="0.25">
      <c r="A90" s="8" t="s">
        <v>440</v>
      </c>
      <c r="B90" s="9" t="s">
        <v>188</v>
      </c>
      <c r="C90" s="10" t="s">
        <v>190</v>
      </c>
      <c r="D90" s="12" t="s">
        <v>285</v>
      </c>
      <c r="E90" s="13" t="s">
        <v>311</v>
      </c>
      <c r="F90" s="14" t="s">
        <v>301</v>
      </c>
      <c r="H90" s="29" t="s">
        <v>440</v>
      </c>
    </row>
    <row r="91" spans="1:8" x14ac:dyDescent="0.25">
      <c r="A91" s="8" t="s">
        <v>186</v>
      </c>
      <c r="B91" s="9" t="s">
        <v>187</v>
      </c>
      <c r="C91" s="10" t="s">
        <v>189</v>
      </c>
      <c r="D91" s="12" t="s">
        <v>284</v>
      </c>
      <c r="E91" s="13" t="s">
        <v>311</v>
      </c>
      <c r="F91" s="14" t="s">
        <v>301</v>
      </c>
      <c r="H91" s="29" t="s">
        <v>186</v>
      </c>
    </row>
    <row r="92" spans="1:8" x14ac:dyDescent="0.25">
      <c r="A92" s="8" t="s">
        <v>959</v>
      </c>
      <c r="B92" s="9" t="s">
        <v>957</v>
      </c>
      <c r="C92" s="10" t="s">
        <v>745</v>
      </c>
      <c r="D92" s="12" t="s">
        <v>284</v>
      </c>
      <c r="E92" s="13" t="s">
        <v>311</v>
      </c>
      <c r="F92" s="14" t="s">
        <v>301</v>
      </c>
      <c r="H92" s="29" t="s">
        <v>959</v>
      </c>
    </row>
    <row r="93" spans="1:8" x14ac:dyDescent="0.25">
      <c r="A93" s="8" t="s">
        <v>960</v>
      </c>
      <c r="B93" s="9" t="s">
        <v>958</v>
      </c>
      <c r="C93" s="10" t="s">
        <v>259</v>
      </c>
      <c r="D93" s="12" t="s">
        <v>284</v>
      </c>
      <c r="E93" s="13" t="s">
        <v>311</v>
      </c>
      <c r="F93" s="14" t="s">
        <v>301</v>
      </c>
      <c r="H93" s="29" t="s">
        <v>960</v>
      </c>
    </row>
    <row r="94" spans="1:8" x14ac:dyDescent="0.25">
      <c r="A94" s="12" t="s">
        <v>277</v>
      </c>
      <c r="B94" s="9" t="s">
        <v>823</v>
      </c>
      <c r="C94" s="10" t="s">
        <v>278</v>
      </c>
      <c r="D94" s="12" t="s">
        <v>284</v>
      </c>
      <c r="E94" s="13" t="s">
        <v>311</v>
      </c>
      <c r="F94" s="14" t="s">
        <v>301</v>
      </c>
      <c r="H94" s="32" t="s">
        <v>277</v>
      </c>
    </row>
    <row r="95" spans="1:8" x14ac:dyDescent="0.25">
      <c r="A95" s="280" t="s">
        <v>93</v>
      </c>
      <c r="B95" s="13" t="s">
        <v>94</v>
      </c>
      <c r="C95" s="10" t="s">
        <v>95</v>
      </c>
      <c r="D95" s="12" t="s">
        <v>284</v>
      </c>
      <c r="E95" s="13" t="s">
        <v>311</v>
      </c>
      <c r="F95" s="14" t="s">
        <v>301</v>
      </c>
      <c r="H95" s="281" t="s">
        <v>93</v>
      </c>
    </row>
    <row r="96" spans="1:8" x14ac:dyDescent="0.25">
      <c r="A96" s="8" t="s">
        <v>70</v>
      </c>
      <c r="B96" s="9" t="s">
        <v>243</v>
      </c>
      <c r="C96" s="10" t="s">
        <v>353</v>
      </c>
      <c r="D96" s="12" t="s">
        <v>284</v>
      </c>
      <c r="E96" s="13" t="s">
        <v>311</v>
      </c>
      <c r="F96" s="14" t="s">
        <v>301</v>
      </c>
      <c r="H96" s="29" t="s">
        <v>70</v>
      </c>
    </row>
    <row r="97" spans="1:8" x14ac:dyDescent="0.25">
      <c r="A97" s="8" t="s">
        <v>805</v>
      </c>
      <c r="B97" s="9" t="s">
        <v>806</v>
      </c>
      <c r="C97" s="10" t="s">
        <v>807</v>
      </c>
      <c r="D97" s="12" t="s">
        <v>284</v>
      </c>
      <c r="E97" s="13" t="s">
        <v>311</v>
      </c>
      <c r="F97" s="14" t="s">
        <v>301</v>
      </c>
      <c r="H97" s="29" t="s">
        <v>808</v>
      </c>
    </row>
    <row r="98" spans="1:8" x14ac:dyDescent="0.25">
      <c r="A98" s="8" t="s">
        <v>710</v>
      </c>
      <c r="B98" s="9" t="s">
        <v>711</v>
      </c>
      <c r="C98" s="10" t="s">
        <v>334</v>
      </c>
      <c r="D98" s="12" t="s">
        <v>285</v>
      </c>
      <c r="E98" s="13" t="s">
        <v>311</v>
      </c>
      <c r="F98" s="14" t="s">
        <v>301</v>
      </c>
      <c r="H98" s="29" t="s">
        <v>710</v>
      </c>
    </row>
    <row r="99" spans="1:8" x14ac:dyDescent="0.25">
      <c r="A99" s="8" t="s">
        <v>457</v>
      </c>
      <c r="B99" s="9" t="s">
        <v>458</v>
      </c>
      <c r="C99" s="10" t="s">
        <v>170</v>
      </c>
      <c r="D99" s="12" t="s">
        <v>285</v>
      </c>
      <c r="E99" s="13" t="s">
        <v>311</v>
      </c>
      <c r="F99" s="14" t="s">
        <v>301</v>
      </c>
      <c r="H99" s="29" t="s">
        <v>457</v>
      </c>
    </row>
    <row r="100" spans="1:8" x14ac:dyDescent="0.25">
      <c r="A100" s="8" t="s">
        <v>1088</v>
      </c>
      <c r="B100" s="11" t="s">
        <v>1088</v>
      </c>
      <c r="C100" s="10" t="s">
        <v>1089</v>
      </c>
      <c r="D100" s="12" t="s">
        <v>284</v>
      </c>
      <c r="E100" s="13" t="s">
        <v>311</v>
      </c>
      <c r="F100" s="14" t="s">
        <v>301</v>
      </c>
      <c r="H100" s="29" t="s">
        <v>1088</v>
      </c>
    </row>
    <row r="101" spans="1:8" x14ac:dyDescent="0.25">
      <c r="A101" s="8" t="s">
        <v>516</v>
      </c>
      <c r="B101" s="11" t="s">
        <v>516</v>
      </c>
      <c r="C101" s="10" t="s">
        <v>517</v>
      </c>
      <c r="D101" s="12" t="s">
        <v>284</v>
      </c>
      <c r="E101" s="13" t="s">
        <v>311</v>
      </c>
      <c r="F101" s="14" t="s">
        <v>301</v>
      </c>
      <c r="H101" s="29" t="s">
        <v>516</v>
      </c>
    </row>
    <row r="102" spans="1:8" x14ac:dyDescent="0.25">
      <c r="A102" s="8" t="s">
        <v>824</v>
      </c>
      <c r="B102" s="9" t="s">
        <v>824</v>
      </c>
      <c r="C102" s="10" t="s">
        <v>334</v>
      </c>
      <c r="D102" s="12" t="s">
        <v>284</v>
      </c>
      <c r="E102" s="13" t="s">
        <v>311</v>
      </c>
      <c r="F102" s="14" t="s">
        <v>301</v>
      </c>
      <c r="H102" s="29" t="s">
        <v>824</v>
      </c>
    </row>
    <row r="103" spans="1:8" x14ac:dyDescent="0.25">
      <c r="A103" s="8" t="s">
        <v>89</v>
      </c>
      <c r="B103" s="9" t="s">
        <v>746</v>
      </c>
      <c r="C103" s="10" t="s">
        <v>113</v>
      </c>
      <c r="D103" s="12" t="s">
        <v>284</v>
      </c>
      <c r="E103" s="13" t="s">
        <v>311</v>
      </c>
      <c r="F103" s="14" t="s">
        <v>301</v>
      </c>
      <c r="H103" s="29" t="s">
        <v>89</v>
      </c>
    </row>
    <row r="104" spans="1:8" x14ac:dyDescent="0.25">
      <c r="A104" s="8" t="s">
        <v>335</v>
      </c>
      <c r="B104" s="9" t="s">
        <v>826</v>
      </c>
      <c r="C104" s="10" t="s">
        <v>336</v>
      </c>
      <c r="D104" s="12" t="s">
        <v>284</v>
      </c>
      <c r="E104" s="13" t="s">
        <v>311</v>
      </c>
      <c r="F104" s="14" t="s">
        <v>301</v>
      </c>
      <c r="H104" s="29" t="s">
        <v>335</v>
      </c>
    </row>
    <row r="105" spans="1:8" x14ac:dyDescent="0.25">
      <c r="A105" s="8" t="s">
        <v>849</v>
      </c>
      <c r="B105" s="9" t="s">
        <v>827</v>
      </c>
      <c r="C105" s="10" t="s">
        <v>247</v>
      </c>
      <c r="D105" s="12" t="s">
        <v>284</v>
      </c>
      <c r="E105" s="13" t="s">
        <v>311</v>
      </c>
      <c r="F105" s="14" t="s">
        <v>301</v>
      </c>
      <c r="H105" s="29" t="s">
        <v>849</v>
      </c>
    </row>
    <row r="106" spans="1:8" x14ac:dyDescent="0.25">
      <c r="A106" s="8" t="s">
        <v>497</v>
      </c>
      <c r="B106" s="9" t="s">
        <v>496</v>
      </c>
      <c r="C106" s="10" t="s">
        <v>498</v>
      </c>
      <c r="D106" s="12" t="s">
        <v>258</v>
      </c>
      <c r="E106" s="13" t="s">
        <v>311</v>
      </c>
      <c r="F106" s="14" t="s">
        <v>301</v>
      </c>
      <c r="H106" s="29" t="s">
        <v>497</v>
      </c>
    </row>
    <row r="107" spans="1:8" x14ac:dyDescent="0.25">
      <c r="A107" s="8" t="s">
        <v>293</v>
      </c>
      <c r="B107" s="9" t="s">
        <v>160</v>
      </c>
      <c r="C107" s="10" t="s">
        <v>294</v>
      </c>
      <c r="D107" s="12" t="s">
        <v>284</v>
      </c>
      <c r="E107" s="13" t="s">
        <v>311</v>
      </c>
      <c r="F107" s="14" t="s">
        <v>301</v>
      </c>
      <c r="H107" s="29" t="s">
        <v>293</v>
      </c>
    </row>
    <row r="108" spans="1:8" x14ac:dyDescent="0.25">
      <c r="A108" s="8" t="s">
        <v>793</v>
      </c>
      <c r="B108" s="9" t="s">
        <v>794</v>
      </c>
      <c r="C108" s="10" t="s">
        <v>795</v>
      </c>
      <c r="D108" s="12" t="s">
        <v>285</v>
      </c>
      <c r="E108" s="13" t="s">
        <v>311</v>
      </c>
      <c r="F108" s="14" t="s">
        <v>301</v>
      </c>
      <c r="H108" s="32" t="s">
        <v>793</v>
      </c>
    </row>
    <row r="109" spans="1:8" x14ac:dyDescent="0.25">
      <c r="A109" s="8" t="s">
        <v>792</v>
      </c>
      <c r="B109" s="9" t="s">
        <v>828</v>
      </c>
      <c r="C109" s="10" t="s">
        <v>734</v>
      </c>
      <c r="D109" s="12" t="s">
        <v>284</v>
      </c>
      <c r="E109" s="13" t="s">
        <v>311</v>
      </c>
      <c r="F109" s="14" t="s">
        <v>301</v>
      </c>
      <c r="H109" s="32" t="s">
        <v>792</v>
      </c>
    </row>
    <row r="110" spans="1:8" x14ac:dyDescent="0.25">
      <c r="A110" s="8" t="s">
        <v>783</v>
      </c>
      <c r="B110" s="9" t="s">
        <v>829</v>
      </c>
      <c r="C110" s="10" t="s">
        <v>1102</v>
      </c>
      <c r="D110" s="12" t="s">
        <v>284</v>
      </c>
      <c r="E110" s="13" t="s">
        <v>311</v>
      </c>
      <c r="F110" s="14" t="s">
        <v>302</v>
      </c>
      <c r="H110" s="29" t="s">
        <v>783</v>
      </c>
    </row>
    <row r="111" spans="1:8" x14ac:dyDescent="0.25">
      <c r="A111" s="8" t="s">
        <v>800</v>
      </c>
      <c r="B111" s="9" t="s">
        <v>800</v>
      </c>
      <c r="C111" s="10" t="s">
        <v>801</v>
      </c>
      <c r="D111" s="12" t="s">
        <v>285</v>
      </c>
      <c r="E111" s="13" t="s">
        <v>311</v>
      </c>
      <c r="F111" s="14" t="s">
        <v>301</v>
      </c>
      <c r="H111" s="29" t="s">
        <v>800</v>
      </c>
    </row>
    <row r="112" spans="1:8" x14ac:dyDescent="0.25">
      <c r="A112" s="8" t="s">
        <v>847</v>
      </c>
      <c r="B112" s="9" t="s">
        <v>830</v>
      </c>
      <c r="C112" s="10" t="s">
        <v>91</v>
      </c>
      <c r="D112" s="12" t="s">
        <v>284</v>
      </c>
      <c r="E112" s="13" t="s">
        <v>311</v>
      </c>
      <c r="F112" s="14" t="s">
        <v>301</v>
      </c>
      <c r="H112" s="29" t="s">
        <v>847</v>
      </c>
    </row>
    <row r="113" spans="1:8" x14ac:dyDescent="0.25">
      <c r="A113" s="8" t="s">
        <v>848</v>
      </c>
      <c r="B113" s="9" t="s">
        <v>831</v>
      </c>
      <c r="C113" s="10" t="s">
        <v>240</v>
      </c>
      <c r="D113" s="12" t="s">
        <v>284</v>
      </c>
      <c r="E113" s="13" t="s">
        <v>311</v>
      </c>
      <c r="F113" s="14" t="s">
        <v>301</v>
      </c>
      <c r="H113" s="29" t="s">
        <v>848</v>
      </c>
    </row>
    <row r="114" spans="1:8" x14ac:dyDescent="0.25">
      <c r="A114" s="8" t="s">
        <v>269</v>
      </c>
      <c r="B114" s="9" t="s">
        <v>269</v>
      </c>
      <c r="C114" s="10" t="s">
        <v>329</v>
      </c>
      <c r="D114" s="12" t="s">
        <v>284</v>
      </c>
      <c r="E114" s="13" t="s">
        <v>311</v>
      </c>
      <c r="F114" s="14" t="s">
        <v>301</v>
      </c>
      <c r="H114" s="29" t="s">
        <v>269</v>
      </c>
    </row>
    <row r="115" spans="1:8" x14ac:dyDescent="0.25">
      <c r="A115" s="8" t="s">
        <v>712</v>
      </c>
      <c r="B115" s="9" t="s">
        <v>712</v>
      </c>
      <c r="C115" s="10" t="s">
        <v>713</v>
      </c>
      <c r="D115" s="12" t="s">
        <v>285</v>
      </c>
      <c r="E115" s="13" t="s">
        <v>311</v>
      </c>
      <c r="F115" s="14" t="s">
        <v>301</v>
      </c>
      <c r="H115" s="281" t="s">
        <v>712</v>
      </c>
    </row>
    <row r="116" spans="1:8" ht="15.75" customHeight="1" x14ac:dyDescent="0.25">
      <c r="A116" s="8" t="s">
        <v>1072</v>
      </c>
      <c r="B116" s="13" t="s">
        <v>1073</v>
      </c>
      <c r="C116" s="10" t="s">
        <v>729</v>
      </c>
      <c r="D116" s="12" t="s">
        <v>285</v>
      </c>
      <c r="E116" s="13" t="s">
        <v>311</v>
      </c>
      <c r="F116" s="14" t="s">
        <v>301</v>
      </c>
      <c r="H116" s="29" t="s">
        <v>1072</v>
      </c>
    </row>
    <row r="117" spans="1:8" ht="15" customHeight="1" x14ac:dyDescent="0.25">
      <c r="A117" s="8" t="s">
        <v>1074</v>
      </c>
      <c r="B117" s="9" t="s">
        <v>1075</v>
      </c>
      <c r="C117" s="10" t="s">
        <v>878</v>
      </c>
      <c r="D117" s="12" t="s">
        <v>284</v>
      </c>
      <c r="E117" s="13" t="s">
        <v>311</v>
      </c>
      <c r="F117" s="14" t="s">
        <v>301</v>
      </c>
      <c r="H117" s="29" t="s">
        <v>1074</v>
      </c>
    </row>
    <row r="118" spans="1:8" x14ac:dyDescent="0.25">
      <c r="A118" s="8" t="s">
        <v>879</v>
      </c>
      <c r="B118" s="13" t="s">
        <v>879</v>
      </c>
      <c r="C118" s="10" t="s">
        <v>729</v>
      </c>
      <c r="D118" s="12" t="s">
        <v>285</v>
      </c>
      <c r="E118" s="13" t="s">
        <v>311</v>
      </c>
      <c r="F118" s="14" t="s">
        <v>301</v>
      </c>
      <c r="H118" s="29" t="s">
        <v>879</v>
      </c>
    </row>
    <row r="119" spans="1:8" x14ac:dyDescent="0.25">
      <c r="A119" s="8" t="s">
        <v>877</v>
      </c>
      <c r="B119" s="9" t="s">
        <v>877</v>
      </c>
      <c r="C119" s="10" t="s">
        <v>878</v>
      </c>
      <c r="D119" s="12" t="s">
        <v>284</v>
      </c>
      <c r="E119" s="13" t="s">
        <v>311</v>
      </c>
      <c r="F119" s="14" t="s">
        <v>301</v>
      </c>
      <c r="H119" s="29" t="s">
        <v>877</v>
      </c>
    </row>
    <row r="120" spans="1:8" x14ac:dyDescent="0.25">
      <c r="A120" s="280" t="s">
        <v>102</v>
      </c>
      <c r="B120" s="13" t="s">
        <v>832</v>
      </c>
      <c r="C120" s="282" t="s">
        <v>104</v>
      </c>
      <c r="D120" s="12" t="s">
        <v>284</v>
      </c>
      <c r="E120" s="13" t="s">
        <v>311</v>
      </c>
      <c r="F120" s="14" t="s">
        <v>301</v>
      </c>
      <c r="H120" s="281" t="s">
        <v>102</v>
      </c>
    </row>
    <row r="121" spans="1:8" x14ac:dyDescent="0.25">
      <c r="A121" s="8" t="s">
        <v>101</v>
      </c>
      <c r="B121" s="13" t="s">
        <v>833</v>
      </c>
      <c r="C121" s="10" t="s">
        <v>103</v>
      </c>
      <c r="D121" s="12" t="s">
        <v>284</v>
      </c>
      <c r="E121" s="13" t="s">
        <v>311</v>
      </c>
      <c r="F121" s="14" t="s">
        <v>301</v>
      </c>
      <c r="H121" s="29" t="s">
        <v>101</v>
      </c>
    </row>
    <row r="122" spans="1:8" x14ac:dyDescent="0.25">
      <c r="A122" s="8" t="s">
        <v>949</v>
      </c>
      <c r="B122" s="13" t="s">
        <v>949</v>
      </c>
      <c r="C122" s="10" t="s">
        <v>950</v>
      </c>
      <c r="D122" s="12" t="s">
        <v>284</v>
      </c>
      <c r="E122" s="13" t="s">
        <v>311</v>
      </c>
      <c r="F122" s="14" t="s">
        <v>301</v>
      </c>
      <c r="H122" s="29" t="s">
        <v>949</v>
      </c>
    </row>
    <row r="123" spans="1:8" x14ac:dyDescent="0.25">
      <c r="A123" s="8" t="s">
        <v>333</v>
      </c>
      <c r="B123" s="9" t="s">
        <v>333</v>
      </c>
      <c r="C123" s="10" t="s">
        <v>721</v>
      </c>
      <c r="D123" s="12" t="s">
        <v>284</v>
      </c>
      <c r="E123" s="13" t="s">
        <v>311</v>
      </c>
      <c r="F123" s="14" t="s">
        <v>301</v>
      </c>
      <c r="H123" s="29" t="s">
        <v>333</v>
      </c>
    </row>
    <row r="124" spans="1:8" x14ac:dyDescent="0.25">
      <c r="A124" s="41" t="s">
        <v>1233</v>
      </c>
      <c r="B124" s="41" t="s">
        <v>1234</v>
      </c>
      <c r="C124" s="43" t="s">
        <v>1235</v>
      </c>
      <c r="D124" s="47"/>
      <c r="E124" s="49" t="s">
        <v>311</v>
      </c>
      <c r="F124" s="48" t="s">
        <v>301</v>
      </c>
      <c r="H124" s="29" t="s">
        <v>1233</v>
      </c>
    </row>
    <row r="125" spans="1:8" s="16" customFormat="1" x14ac:dyDescent="0.25">
      <c r="A125" s="38" t="s">
        <v>910</v>
      </c>
      <c r="B125" s="40" t="s">
        <v>908</v>
      </c>
      <c r="C125" s="42" t="s">
        <v>909</v>
      </c>
      <c r="D125" s="44" t="s">
        <v>284</v>
      </c>
      <c r="E125" s="45" t="s">
        <v>311</v>
      </c>
      <c r="F125" s="46" t="s">
        <v>301</v>
      </c>
      <c r="G125" s="15"/>
      <c r="H125" s="29" t="s">
        <v>910</v>
      </c>
    </row>
    <row r="126" spans="1:8" s="16" customFormat="1" x14ac:dyDescent="0.25">
      <c r="A126" s="8" t="s">
        <v>954</v>
      </c>
      <c r="B126" s="9" t="s">
        <v>955</v>
      </c>
      <c r="C126" s="10" t="s">
        <v>956</v>
      </c>
      <c r="D126" s="12" t="s">
        <v>285</v>
      </c>
      <c r="E126" s="13" t="s">
        <v>311</v>
      </c>
      <c r="F126" s="14" t="s">
        <v>301</v>
      </c>
      <c r="G126" s="15"/>
      <c r="H126" s="29" t="s">
        <v>954</v>
      </c>
    </row>
    <row r="127" spans="1:8" s="16" customFormat="1" x14ac:dyDescent="0.25">
      <c r="A127" s="8" t="s">
        <v>781</v>
      </c>
      <c r="B127" s="9" t="s">
        <v>834</v>
      </c>
      <c r="C127" s="10" t="s">
        <v>782</v>
      </c>
      <c r="D127" s="12" t="s">
        <v>285</v>
      </c>
      <c r="E127" s="13" t="s">
        <v>311</v>
      </c>
      <c r="F127" s="14" t="s">
        <v>301</v>
      </c>
      <c r="G127" s="15"/>
      <c r="H127" s="29" t="s">
        <v>781</v>
      </c>
    </row>
    <row r="128" spans="1:8" s="16" customFormat="1" x14ac:dyDescent="0.25">
      <c r="A128" s="8" t="s">
        <v>1310</v>
      </c>
      <c r="B128" s="9" t="s">
        <v>1308</v>
      </c>
      <c r="C128" s="10" t="s">
        <v>1309</v>
      </c>
      <c r="D128" s="12" t="s">
        <v>285</v>
      </c>
      <c r="E128" s="13" t="s">
        <v>311</v>
      </c>
      <c r="F128" s="14" t="s">
        <v>301</v>
      </c>
      <c r="G128" s="15"/>
      <c r="H128" s="29" t="s">
        <v>1310</v>
      </c>
    </row>
    <row r="129" spans="1:8" s="16" customFormat="1" x14ac:dyDescent="0.25">
      <c r="A129" s="8" t="s">
        <v>1207</v>
      </c>
      <c r="B129" s="9" t="s">
        <v>1208</v>
      </c>
      <c r="C129" s="10" t="s">
        <v>1209</v>
      </c>
      <c r="D129" s="12" t="s">
        <v>285</v>
      </c>
      <c r="E129" s="13" t="s">
        <v>311</v>
      </c>
      <c r="F129" s="14" t="s">
        <v>301</v>
      </c>
      <c r="G129" s="15"/>
      <c r="H129" s="29" t="s">
        <v>1207</v>
      </c>
    </row>
    <row r="130" spans="1:8" s="16" customFormat="1" x14ac:dyDescent="0.25">
      <c r="A130" s="8" t="s">
        <v>874</v>
      </c>
      <c r="B130" s="9" t="s">
        <v>875</v>
      </c>
      <c r="C130" s="10" t="s">
        <v>871</v>
      </c>
      <c r="D130" s="12" t="s">
        <v>285</v>
      </c>
      <c r="E130" s="13" t="s">
        <v>311</v>
      </c>
      <c r="F130" s="14" t="s">
        <v>301</v>
      </c>
      <c r="G130" s="15"/>
      <c r="H130" s="29" t="s">
        <v>868</v>
      </c>
    </row>
    <row r="131" spans="1:8" s="16" customFormat="1" x14ac:dyDescent="0.25">
      <c r="A131" s="8" t="s">
        <v>747</v>
      </c>
      <c r="B131" s="9" t="s">
        <v>748</v>
      </c>
      <c r="C131" s="10" t="s">
        <v>749</v>
      </c>
      <c r="D131" s="12" t="s">
        <v>285</v>
      </c>
      <c r="E131" s="13" t="s">
        <v>311</v>
      </c>
      <c r="F131" s="14" t="s">
        <v>301</v>
      </c>
      <c r="G131" s="15"/>
      <c r="H131" s="29" t="s">
        <v>747</v>
      </c>
    </row>
    <row r="132" spans="1:8" s="16" customFormat="1" x14ac:dyDescent="0.25">
      <c r="A132" s="8" t="s">
        <v>881</v>
      </c>
      <c r="B132" s="9" t="s">
        <v>883</v>
      </c>
      <c r="C132" s="10" t="s">
        <v>795</v>
      </c>
      <c r="D132" s="12" t="s">
        <v>285</v>
      </c>
      <c r="E132" s="13" t="s">
        <v>311</v>
      </c>
      <c r="F132" s="14" t="s">
        <v>301</v>
      </c>
      <c r="G132" s="15"/>
      <c r="H132" s="29" t="s">
        <v>885</v>
      </c>
    </row>
    <row r="133" spans="1:8" s="16" customFormat="1" x14ac:dyDescent="0.25">
      <c r="A133" s="8" t="s">
        <v>1090</v>
      </c>
      <c r="B133" s="9" t="s">
        <v>1091</v>
      </c>
      <c r="C133" s="10" t="s">
        <v>1092</v>
      </c>
      <c r="D133" s="12" t="s">
        <v>285</v>
      </c>
      <c r="E133" s="13" t="s">
        <v>311</v>
      </c>
      <c r="F133" s="14" t="s">
        <v>301</v>
      </c>
      <c r="G133" s="15"/>
      <c r="H133" s="29" t="s">
        <v>1091</v>
      </c>
    </row>
    <row r="134" spans="1:8" s="16" customFormat="1" x14ac:dyDescent="0.25">
      <c r="A134" s="8" t="s">
        <v>936</v>
      </c>
      <c r="B134" s="9" t="s">
        <v>900</v>
      </c>
      <c r="C134" s="10" t="s">
        <v>897</v>
      </c>
      <c r="D134" s="12" t="s">
        <v>284</v>
      </c>
      <c r="E134" s="13" t="s">
        <v>311</v>
      </c>
      <c r="F134" s="14" t="s">
        <v>301</v>
      </c>
      <c r="G134" s="15"/>
      <c r="H134" s="29" t="s">
        <v>902</v>
      </c>
    </row>
    <row r="135" spans="1:8" s="16" customFormat="1" x14ac:dyDescent="0.25">
      <c r="A135" s="8" t="s">
        <v>448</v>
      </c>
      <c r="B135" s="9" t="s">
        <v>449</v>
      </c>
      <c r="C135" s="10" t="s">
        <v>450</v>
      </c>
      <c r="D135" s="12" t="s">
        <v>285</v>
      </c>
      <c r="E135" s="13" t="s">
        <v>311</v>
      </c>
      <c r="F135" s="14" t="s">
        <v>301</v>
      </c>
      <c r="G135" s="15"/>
      <c r="H135" s="29" t="s">
        <v>448</v>
      </c>
    </row>
    <row r="136" spans="1:8" s="16" customFormat="1" x14ac:dyDescent="0.25">
      <c r="A136" s="8" t="s">
        <v>349</v>
      </c>
      <c r="B136" s="9" t="s">
        <v>835</v>
      </c>
      <c r="C136" s="10" t="s">
        <v>350</v>
      </c>
      <c r="D136" s="12" t="s">
        <v>285</v>
      </c>
      <c r="E136" s="13" t="s">
        <v>311</v>
      </c>
      <c r="F136" s="14" t="s">
        <v>301</v>
      </c>
      <c r="G136" s="15"/>
      <c r="H136" s="29" t="s">
        <v>349</v>
      </c>
    </row>
    <row r="137" spans="1:8" s="16" customFormat="1" x14ac:dyDescent="0.25">
      <c r="A137" s="8" t="s">
        <v>68</v>
      </c>
      <c r="B137" s="9" t="s">
        <v>265</v>
      </c>
      <c r="C137" s="10" t="s">
        <v>266</v>
      </c>
      <c r="D137" s="12" t="s">
        <v>284</v>
      </c>
      <c r="E137" s="13" t="s">
        <v>311</v>
      </c>
      <c r="F137" s="14" t="s">
        <v>301</v>
      </c>
      <c r="G137" s="15"/>
      <c r="H137" s="29" t="s">
        <v>68</v>
      </c>
    </row>
    <row r="138" spans="1:8" s="16" customFormat="1" x14ac:dyDescent="0.25">
      <c r="A138" s="8" t="s">
        <v>730</v>
      </c>
      <c r="B138" s="9" t="s">
        <v>730</v>
      </c>
      <c r="C138" s="10" t="s">
        <v>731</v>
      </c>
      <c r="D138" s="12" t="s">
        <v>284</v>
      </c>
      <c r="E138" s="13" t="s">
        <v>311</v>
      </c>
      <c r="F138" s="14" t="s">
        <v>301</v>
      </c>
      <c r="G138" s="15"/>
      <c r="H138" s="29" t="s">
        <v>730</v>
      </c>
    </row>
    <row r="139" spans="1:8" s="16" customFormat="1" x14ac:dyDescent="0.25">
      <c r="A139" s="8" t="s">
        <v>141</v>
      </c>
      <c r="B139" s="9" t="s">
        <v>244</v>
      </c>
      <c r="C139" s="10" t="s">
        <v>354</v>
      </c>
      <c r="D139" s="12" t="s">
        <v>284</v>
      </c>
      <c r="E139" s="13" t="s">
        <v>311</v>
      </c>
      <c r="F139" s="14" t="s">
        <v>301</v>
      </c>
      <c r="G139" s="15"/>
      <c r="H139" s="29" t="s">
        <v>141</v>
      </c>
    </row>
    <row r="140" spans="1:8" s="16" customFormat="1" x14ac:dyDescent="0.25">
      <c r="A140" s="8" t="s">
        <v>87</v>
      </c>
      <c r="B140" s="9" t="s">
        <v>714</v>
      </c>
      <c r="C140" s="10" t="s">
        <v>112</v>
      </c>
      <c r="D140" s="12" t="s">
        <v>284</v>
      </c>
      <c r="E140" s="13" t="s">
        <v>311</v>
      </c>
      <c r="F140" s="14" t="s">
        <v>301</v>
      </c>
      <c r="G140" s="15"/>
      <c r="H140" s="29" t="s">
        <v>87</v>
      </c>
    </row>
    <row r="141" spans="1:8" s="16" customFormat="1" x14ac:dyDescent="0.25">
      <c r="A141" s="8" t="s">
        <v>789</v>
      </c>
      <c r="B141" s="9" t="s">
        <v>790</v>
      </c>
      <c r="C141" s="10" t="s">
        <v>791</v>
      </c>
      <c r="D141" s="12" t="s">
        <v>285</v>
      </c>
      <c r="E141" s="13" t="s">
        <v>311</v>
      </c>
      <c r="F141" s="14" t="s">
        <v>301</v>
      </c>
      <c r="G141" s="15"/>
      <c r="H141" s="32" t="s">
        <v>789</v>
      </c>
    </row>
    <row r="142" spans="1:8" s="16" customFormat="1" x14ac:dyDescent="0.25">
      <c r="A142" s="8" t="s">
        <v>911</v>
      </c>
      <c r="B142" s="9" t="s">
        <v>906</v>
      </c>
      <c r="C142" s="10" t="s">
        <v>907</v>
      </c>
      <c r="D142" s="12" t="s">
        <v>284</v>
      </c>
      <c r="E142" s="13" t="s">
        <v>311</v>
      </c>
      <c r="F142" s="14" t="s">
        <v>301</v>
      </c>
      <c r="G142" s="15"/>
      <c r="H142" s="29" t="s">
        <v>911</v>
      </c>
    </row>
    <row r="143" spans="1:8" s="16" customFormat="1" x14ac:dyDescent="0.25">
      <c r="A143" s="8" t="s">
        <v>912</v>
      </c>
      <c r="B143" s="9" t="s">
        <v>913</v>
      </c>
      <c r="C143" s="10" t="s">
        <v>294</v>
      </c>
      <c r="D143" s="12" t="s">
        <v>284</v>
      </c>
      <c r="E143" s="13" t="s">
        <v>311</v>
      </c>
      <c r="F143" s="14" t="s">
        <v>301</v>
      </c>
      <c r="G143" s="15"/>
      <c r="H143" s="29" t="s">
        <v>912</v>
      </c>
    </row>
    <row r="144" spans="1:8" s="16" customFormat="1" x14ac:dyDescent="0.25">
      <c r="A144" s="8" t="s">
        <v>1210</v>
      </c>
      <c r="B144" s="9" t="s">
        <v>1211</v>
      </c>
      <c r="C144" s="10" t="s">
        <v>1212</v>
      </c>
      <c r="D144" s="12" t="s">
        <v>285</v>
      </c>
      <c r="E144" s="13" t="s">
        <v>311</v>
      </c>
      <c r="F144" s="14" t="s">
        <v>301</v>
      </c>
      <c r="G144" s="15"/>
      <c r="H144" s="29" t="s">
        <v>1210</v>
      </c>
    </row>
    <row r="145" spans="1:8" s="16" customFormat="1" x14ac:dyDescent="0.25">
      <c r="A145" s="8" t="s">
        <v>1044</v>
      </c>
      <c r="B145" s="9" t="s">
        <v>1044</v>
      </c>
      <c r="C145" s="10" t="s">
        <v>1045</v>
      </c>
      <c r="D145" s="12" t="s">
        <v>284</v>
      </c>
      <c r="E145" s="13" t="s">
        <v>311</v>
      </c>
      <c r="F145" s="14" t="s">
        <v>301</v>
      </c>
      <c r="G145" s="15"/>
      <c r="H145" s="29" t="s">
        <v>1044</v>
      </c>
    </row>
    <row r="146" spans="1:8" s="16" customFormat="1" x14ac:dyDescent="0.25">
      <c r="A146" s="8" t="s">
        <v>199</v>
      </c>
      <c r="B146" s="9" t="s">
        <v>200</v>
      </c>
      <c r="C146" s="10" t="s">
        <v>201</v>
      </c>
      <c r="D146" s="12" t="s">
        <v>284</v>
      </c>
      <c r="E146" s="13" t="s">
        <v>311</v>
      </c>
      <c r="F146" s="14" t="s">
        <v>301</v>
      </c>
      <c r="G146" s="15"/>
      <c r="H146" s="29" t="s">
        <v>199</v>
      </c>
    </row>
    <row r="147" spans="1:8" s="16" customFormat="1" x14ac:dyDescent="0.25">
      <c r="A147" s="8" t="s">
        <v>1330</v>
      </c>
      <c r="B147" s="9" t="s">
        <v>1331</v>
      </c>
      <c r="C147" s="10" t="s">
        <v>1332</v>
      </c>
      <c r="D147" s="12" t="s">
        <v>284</v>
      </c>
      <c r="E147" s="13" t="s">
        <v>311</v>
      </c>
      <c r="F147" s="14" t="s">
        <v>301</v>
      </c>
      <c r="G147" s="15"/>
      <c r="H147" s="29" t="s">
        <v>1330</v>
      </c>
    </row>
    <row r="148" spans="1:8" s="16" customFormat="1" x14ac:dyDescent="0.25">
      <c r="A148" s="8" t="s">
        <v>886</v>
      </c>
      <c r="B148" s="9" t="s">
        <v>887</v>
      </c>
      <c r="C148" s="10" t="s">
        <v>888</v>
      </c>
      <c r="D148" s="12" t="s">
        <v>284</v>
      </c>
      <c r="E148" s="13" t="s">
        <v>311</v>
      </c>
      <c r="F148" s="14" t="s">
        <v>301</v>
      </c>
      <c r="G148" s="15"/>
      <c r="H148" s="29" t="s">
        <v>889</v>
      </c>
    </row>
    <row r="149" spans="1:8" s="16" customFormat="1" x14ac:dyDescent="0.25">
      <c r="A149" s="8" t="s">
        <v>742</v>
      </c>
      <c r="B149" s="9" t="s">
        <v>777</v>
      </c>
      <c r="C149" s="10" t="s">
        <v>252</v>
      </c>
      <c r="D149" s="12" t="s">
        <v>284</v>
      </c>
      <c r="E149" s="13" t="s">
        <v>311</v>
      </c>
      <c r="F149" s="14" t="s">
        <v>301</v>
      </c>
      <c r="G149" s="15"/>
      <c r="H149" s="29" t="s">
        <v>742</v>
      </c>
    </row>
    <row r="150" spans="1:8" s="16" customFormat="1" x14ac:dyDescent="0.25">
      <c r="A150" s="8" t="s">
        <v>739</v>
      </c>
      <c r="B150" s="9" t="s">
        <v>740</v>
      </c>
      <c r="C150" s="10" t="s">
        <v>741</v>
      </c>
      <c r="D150" s="12" t="s">
        <v>284</v>
      </c>
      <c r="E150" s="13" t="s">
        <v>311</v>
      </c>
      <c r="F150" s="14" t="s">
        <v>301</v>
      </c>
      <c r="G150" s="15"/>
      <c r="H150" s="29" t="s">
        <v>739</v>
      </c>
    </row>
    <row r="151" spans="1:8" s="16" customFormat="1" x14ac:dyDescent="0.25">
      <c r="A151" s="8" t="s">
        <v>255</v>
      </c>
      <c r="B151" s="9" t="s">
        <v>256</v>
      </c>
      <c r="C151" s="10" t="s">
        <v>257</v>
      </c>
      <c r="D151" s="12" t="s">
        <v>258</v>
      </c>
      <c r="E151" s="13" t="s">
        <v>311</v>
      </c>
      <c r="F151" s="14" t="s">
        <v>301</v>
      </c>
      <c r="G151" s="15"/>
      <c r="H151" s="29" t="s">
        <v>255</v>
      </c>
    </row>
    <row r="152" spans="1:8" s="16" customFormat="1" x14ac:dyDescent="0.25">
      <c r="A152" s="8" t="s">
        <v>326</v>
      </c>
      <c r="B152" s="9" t="s">
        <v>326</v>
      </c>
      <c r="C152" s="10" t="s">
        <v>327</v>
      </c>
      <c r="D152" s="12" t="s">
        <v>284</v>
      </c>
      <c r="E152" s="13" t="s">
        <v>311</v>
      </c>
      <c r="F152" s="14" t="s">
        <v>301</v>
      </c>
      <c r="G152" s="15"/>
      <c r="H152" s="29" t="s">
        <v>326</v>
      </c>
    </row>
    <row r="153" spans="1:8" s="16" customFormat="1" x14ac:dyDescent="0.25">
      <c r="A153" s="8" t="s">
        <v>728</v>
      </c>
      <c r="B153" s="9" t="s">
        <v>726</v>
      </c>
      <c r="C153" s="10" t="s">
        <v>727</v>
      </c>
      <c r="D153" s="12" t="s">
        <v>258</v>
      </c>
      <c r="E153" s="13" t="s">
        <v>311</v>
      </c>
      <c r="F153" s="14" t="s">
        <v>301</v>
      </c>
      <c r="G153" s="15"/>
      <c r="H153" s="29" t="s">
        <v>728</v>
      </c>
    </row>
    <row r="154" spans="1:8" s="16" customFormat="1" ht="12.75" customHeight="1" x14ac:dyDescent="0.25">
      <c r="A154" s="8" t="s">
        <v>1125</v>
      </c>
      <c r="B154" s="9" t="s">
        <v>1125</v>
      </c>
      <c r="C154" s="10" t="s">
        <v>1126</v>
      </c>
      <c r="D154" s="12" t="s">
        <v>285</v>
      </c>
      <c r="E154" s="13" t="s">
        <v>311</v>
      </c>
      <c r="F154" s="14" t="s">
        <v>301</v>
      </c>
      <c r="G154" s="15"/>
      <c r="H154" s="29" t="s">
        <v>1125</v>
      </c>
    </row>
    <row r="155" spans="1:8" s="16" customFormat="1" x14ac:dyDescent="0.25">
      <c r="A155" s="8" t="s">
        <v>1124</v>
      </c>
      <c r="B155" s="9" t="s">
        <v>1124</v>
      </c>
      <c r="C155" s="10" t="s">
        <v>660</v>
      </c>
      <c r="D155" s="12" t="s">
        <v>284</v>
      </c>
      <c r="E155" s="13" t="s">
        <v>311</v>
      </c>
      <c r="F155" s="14" t="s">
        <v>301</v>
      </c>
      <c r="G155" s="15"/>
      <c r="H155" s="29" t="s">
        <v>1124</v>
      </c>
    </row>
    <row r="156" spans="1:8" s="16" customFormat="1" x14ac:dyDescent="0.25">
      <c r="A156" s="8" t="s">
        <v>961</v>
      </c>
      <c r="B156" s="9" t="s">
        <v>962</v>
      </c>
      <c r="C156" s="10" t="s">
        <v>336</v>
      </c>
      <c r="D156" s="12" t="s">
        <v>284</v>
      </c>
      <c r="E156" s="13" t="s">
        <v>311</v>
      </c>
      <c r="F156" s="14" t="s">
        <v>301</v>
      </c>
      <c r="G156" s="15"/>
      <c r="H156" s="29" t="s">
        <v>961</v>
      </c>
    </row>
    <row r="157" spans="1:8" s="16" customFormat="1" x14ac:dyDescent="0.25">
      <c r="A157" s="8" t="s">
        <v>963</v>
      </c>
      <c r="B157" s="9" t="s">
        <v>964</v>
      </c>
      <c r="C157" s="10" t="s">
        <v>965</v>
      </c>
      <c r="D157" s="12" t="s">
        <v>284</v>
      </c>
      <c r="E157" s="13" t="s">
        <v>311</v>
      </c>
      <c r="F157" s="14" t="s">
        <v>301</v>
      </c>
      <c r="G157" s="15"/>
      <c r="H157" s="29" t="s">
        <v>963</v>
      </c>
    </row>
    <row r="158" spans="1:8" s="16" customFormat="1" x14ac:dyDescent="0.25">
      <c r="A158" s="8" t="s">
        <v>880</v>
      </c>
      <c r="B158" s="9" t="s">
        <v>882</v>
      </c>
      <c r="C158" s="10" t="s">
        <v>734</v>
      </c>
      <c r="D158" s="12" t="s">
        <v>284</v>
      </c>
      <c r="E158" s="13" t="s">
        <v>311</v>
      </c>
      <c r="F158" s="14" t="s">
        <v>301</v>
      </c>
      <c r="G158" s="15"/>
      <c r="H158" s="29" t="s">
        <v>884</v>
      </c>
    </row>
    <row r="159" spans="1:8" s="16" customFormat="1" x14ac:dyDescent="0.25">
      <c r="A159" s="8" t="s">
        <v>1082</v>
      </c>
      <c r="B159" s="9" t="s">
        <v>1083</v>
      </c>
      <c r="C159" s="10" t="s">
        <v>1084</v>
      </c>
      <c r="D159" s="12" t="s">
        <v>284</v>
      </c>
      <c r="E159" s="13" t="s">
        <v>311</v>
      </c>
      <c r="F159" s="14" t="s">
        <v>301</v>
      </c>
      <c r="G159" s="15"/>
      <c r="H159" s="29" t="s">
        <v>1083</v>
      </c>
    </row>
    <row r="160" spans="1:8" s="16" customFormat="1" ht="12.75" customHeight="1" x14ac:dyDescent="0.25">
      <c r="A160" s="8" t="s">
        <v>898</v>
      </c>
      <c r="B160" s="9" t="s">
        <v>899</v>
      </c>
      <c r="C160" s="10" t="s">
        <v>896</v>
      </c>
      <c r="D160" s="12" t="s">
        <v>284</v>
      </c>
      <c r="E160" s="13" t="s">
        <v>311</v>
      </c>
      <c r="F160" s="14" t="s">
        <v>301</v>
      </c>
      <c r="G160" s="15"/>
      <c r="H160" s="29" t="s">
        <v>901</v>
      </c>
    </row>
    <row r="161" spans="1:8" s="16" customFormat="1" x14ac:dyDescent="0.25">
      <c r="A161" s="8" t="s">
        <v>451</v>
      </c>
      <c r="B161" s="9" t="s">
        <v>452</v>
      </c>
      <c r="C161" s="10" t="s">
        <v>453</v>
      </c>
      <c r="D161" s="12" t="s">
        <v>284</v>
      </c>
      <c r="E161" s="13" t="s">
        <v>311</v>
      </c>
      <c r="F161" s="14" t="s">
        <v>301</v>
      </c>
      <c r="G161" s="15"/>
      <c r="H161" s="29" t="s">
        <v>451</v>
      </c>
    </row>
    <row r="162" spans="1:8" s="16" customFormat="1" x14ac:dyDescent="0.25">
      <c r="A162" s="8" t="s">
        <v>351</v>
      </c>
      <c r="B162" s="9" t="s">
        <v>836</v>
      </c>
      <c r="C162" s="10" t="s">
        <v>352</v>
      </c>
      <c r="D162" s="12" t="s">
        <v>284</v>
      </c>
      <c r="E162" s="13" t="s">
        <v>311</v>
      </c>
      <c r="F162" s="14" t="s">
        <v>301</v>
      </c>
      <c r="G162" s="15"/>
      <c r="H162" s="29" t="s">
        <v>351</v>
      </c>
    </row>
    <row r="163" spans="1:8" s="16" customFormat="1" x14ac:dyDescent="0.25">
      <c r="A163" s="8" t="s">
        <v>1079</v>
      </c>
      <c r="B163" s="9" t="s">
        <v>1080</v>
      </c>
      <c r="C163" s="10" t="s">
        <v>1215</v>
      </c>
      <c r="D163" s="12" t="s">
        <v>285</v>
      </c>
      <c r="E163" s="13" t="s">
        <v>311</v>
      </c>
      <c r="F163" s="14" t="s">
        <v>301</v>
      </c>
      <c r="G163" s="15"/>
      <c r="H163" s="29" t="s">
        <v>1079</v>
      </c>
    </row>
    <row r="164" spans="1:8" s="16" customFormat="1" x14ac:dyDescent="0.25">
      <c r="A164" s="8" t="s">
        <v>1081</v>
      </c>
      <c r="B164" s="9" t="s">
        <v>1081</v>
      </c>
      <c r="C164" s="10" t="s">
        <v>1216</v>
      </c>
      <c r="D164" s="12" t="s">
        <v>284</v>
      </c>
      <c r="E164" s="13" t="s">
        <v>311</v>
      </c>
      <c r="F164" s="14" t="s">
        <v>301</v>
      </c>
      <c r="G164" s="15"/>
      <c r="H164" s="29" t="s">
        <v>1081</v>
      </c>
    </row>
    <row r="165" spans="1:8" s="16" customFormat="1" x14ac:dyDescent="0.25">
      <c r="A165" s="8" t="s">
        <v>1301</v>
      </c>
      <c r="B165" s="9" t="s">
        <v>1299</v>
      </c>
      <c r="C165" s="10" t="s">
        <v>1304</v>
      </c>
      <c r="D165" s="12" t="s">
        <v>285</v>
      </c>
      <c r="E165" s="13" t="s">
        <v>311</v>
      </c>
      <c r="F165" s="14" t="s">
        <v>302</v>
      </c>
      <c r="G165" s="15"/>
      <c r="H165" s="29" t="s">
        <v>1301</v>
      </c>
    </row>
    <row r="166" spans="1:8" s="16" customFormat="1" x14ac:dyDescent="0.25">
      <c r="A166" s="8" t="s">
        <v>1302</v>
      </c>
      <c r="B166" s="9" t="s">
        <v>1300</v>
      </c>
      <c r="C166" s="10" t="s">
        <v>1303</v>
      </c>
      <c r="D166" s="12" t="s">
        <v>284</v>
      </c>
      <c r="E166" s="13" t="s">
        <v>311</v>
      </c>
      <c r="F166" s="14" t="s">
        <v>302</v>
      </c>
      <c r="G166" s="15"/>
      <c r="H166" s="29" t="s">
        <v>1302</v>
      </c>
    </row>
    <row r="167" spans="1:8" s="16" customFormat="1" x14ac:dyDescent="0.25">
      <c r="A167" s="8" t="s">
        <v>1046</v>
      </c>
      <c r="B167" s="9" t="s">
        <v>1047</v>
      </c>
      <c r="C167" s="10" t="s">
        <v>1048</v>
      </c>
      <c r="D167" s="12" t="s">
        <v>285</v>
      </c>
      <c r="E167" s="13" t="s">
        <v>311</v>
      </c>
      <c r="F167" s="14" t="s">
        <v>301</v>
      </c>
      <c r="G167" s="15"/>
      <c r="H167" s="29" t="s">
        <v>1046</v>
      </c>
    </row>
    <row r="168" spans="1:8" s="16" customFormat="1" ht="15" customHeight="1" x14ac:dyDescent="0.25">
      <c r="A168" s="8" t="s">
        <v>736</v>
      </c>
      <c r="B168" s="9" t="s">
        <v>737</v>
      </c>
      <c r="C168" s="10" t="s">
        <v>738</v>
      </c>
      <c r="D168" s="12" t="s">
        <v>284</v>
      </c>
      <c r="E168" s="13" t="s">
        <v>311</v>
      </c>
      <c r="F168" s="14" t="s">
        <v>301</v>
      </c>
      <c r="G168" s="15"/>
      <c r="H168" s="29" t="s">
        <v>736</v>
      </c>
    </row>
    <row r="169" spans="1:8" s="16" customFormat="1" x14ac:dyDescent="0.25">
      <c r="A169" s="8" t="s">
        <v>744</v>
      </c>
      <c r="B169" s="9" t="s">
        <v>778</v>
      </c>
      <c r="C169" s="10" t="s">
        <v>253</v>
      </c>
      <c r="D169" s="12" t="s">
        <v>284</v>
      </c>
      <c r="E169" s="13" t="s">
        <v>311</v>
      </c>
      <c r="F169" s="14" t="s">
        <v>301</v>
      </c>
      <c r="G169" s="15"/>
      <c r="H169" s="29" t="s">
        <v>744</v>
      </c>
    </row>
    <row r="170" spans="1:8" s="16" customFormat="1" x14ac:dyDescent="0.25">
      <c r="A170" s="8" t="s">
        <v>85</v>
      </c>
      <c r="B170" s="9" t="s">
        <v>837</v>
      </c>
      <c r="C170" s="10" t="s">
        <v>313</v>
      </c>
      <c r="D170" s="12" t="s">
        <v>284</v>
      </c>
      <c r="E170" s="13" t="s">
        <v>311</v>
      </c>
      <c r="F170" s="14" t="s">
        <v>301</v>
      </c>
      <c r="G170" s="15"/>
      <c r="H170" s="29" t="s">
        <v>85</v>
      </c>
    </row>
    <row r="171" spans="1:8" s="16" customFormat="1" x14ac:dyDescent="0.25">
      <c r="A171" s="8" t="s">
        <v>765</v>
      </c>
      <c r="B171" s="9" t="s">
        <v>838</v>
      </c>
      <c r="C171" s="10" t="s">
        <v>766</v>
      </c>
      <c r="D171" s="12" t="s">
        <v>284</v>
      </c>
      <c r="E171" s="13" t="s">
        <v>311</v>
      </c>
      <c r="F171" s="14" t="s">
        <v>301</v>
      </c>
      <c r="G171" s="15"/>
      <c r="H171" s="29" t="s">
        <v>765</v>
      </c>
    </row>
    <row r="172" spans="1:8" s="16" customFormat="1" x14ac:dyDescent="0.25">
      <c r="A172" s="8" t="s">
        <v>890</v>
      </c>
      <c r="B172" s="9" t="s">
        <v>891</v>
      </c>
      <c r="C172" s="10" t="s">
        <v>892</v>
      </c>
      <c r="D172" s="12" t="s">
        <v>284</v>
      </c>
      <c r="E172" s="13" t="s">
        <v>311</v>
      </c>
      <c r="F172" s="14" t="s">
        <v>301</v>
      </c>
      <c r="G172" s="15"/>
      <c r="H172" s="29" t="s">
        <v>890</v>
      </c>
    </row>
    <row r="173" spans="1:8" s="16" customFormat="1" x14ac:dyDescent="0.25">
      <c r="A173" s="8" t="s">
        <v>973</v>
      </c>
      <c r="B173" s="9" t="s">
        <v>974</v>
      </c>
      <c r="C173" s="10" t="s">
        <v>975</v>
      </c>
      <c r="D173" s="12" t="s">
        <v>284</v>
      </c>
      <c r="E173" s="13" t="s">
        <v>311</v>
      </c>
      <c r="F173" s="14" t="s">
        <v>301</v>
      </c>
      <c r="G173" s="15"/>
      <c r="H173" s="29" t="s">
        <v>973</v>
      </c>
    </row>
    <row r="174" spans="1:8" s="16" customFormat="1" x14ac:dyDescent="0.25">
      <c r="A174" s="8" t="s">
        <v>1076</v>
      </c>
      <c r="B174" s="9" t="s">
        <v>1077</v>
      </c>
      <c r="C174" s="10" t="s">
        <v>1078</v>
      </c>
      <c r="D174" s="12" t="s">
        <v>284</v>
      </c>
      <c r="E174" s="13" t="s">
        <v>311</v>
      </c>
      <c r="F174" s="14" t="s">
        <v>301</v>
      </c>
      <c r="G174" s="15"/>
      <c r="H174" s="29" t="s">
        <v>1076</v>
      </c>
    </row>
    <row r="175" spans="1:8" s="16" customFormat="1" x14ac:dyDescent="0.25">
      <c r="A175" s="8" t="s">
        <v>1224</v>
      </c>
      <c r="B175" s="9" t="s">
        <v>1225</v>
      </c>
      <c r="C175" s="10" t="s">
        <v>1226</v>
      </c>
      <c r="D175" s="12" t="s">
        <v>284</v>
      </c>
      <c r="E175" s="13" t="s">
        <v>311</v>
      </c>
      <c r="F175" s="14" t="s">
        <v>301</v>
      </c>
      <c r="G175" s="15"/>
      <c r="H175" s="29" t="s">
        <v>1224</v>
      </c>
    </row>
    <row r="176" spans="1:8" s="16" customFormat="1" x14ac:dyDescent="0.25">
      <c r="A176" s="8" t="s">
        <v>1227</v>
      </c>
      <c r="B176" s="9" t="s">
        <v>1228</v>
      </c>
      <c r="C176" s="10" t="s">
        <v>1229</v>
      </c>
      <c r="D176" s="12" t="s">
        <v>284</v>
      </c>
      <c r="E176" s="13" t="s">
        <v>311</v>
      </c>
      <c r="F176" s="14" t="s">
        <v>301</v>
      </c>
      <c r="G176" s="15"/>
      <c r="H176" s="29" t="s">
        <v>1227</v>
      </c>
    </row>
    <row r="177" spans="1:8" s="16" customFormat="1" x14ac:dyDescent="0.25">
      <c r="A177" s="8" t="s">
        <v>1254</v>
      </c>
      <c r="B177" s="9" t="s">
        <v>1255</v>
      </c>
      <c r="C177" s="10" t="s">
        <v>1256</v>
      </c>
      <c r="D177" s="12" t="s">
        <v>284</v>
      </c>
      <c r="E177" s="13" t="s">
        <v>311</v>
      </c>
      <c r="F177" s="14" t="s">
        <v>301</v>
      </c>
      <c r="G177" s="15"/>
      <c r="H177" s="29" t="s">
        <v>1254</v>
      </c>
    </row>
    <row r="178" spans="1:8" s="16" customFormat="1" x14ac:dyDescent="0.25">
      <c r="A178" s="8" t="s">
        <v>1128</v>
      </c>
      <c r="B178" s="9" t="s">
        <v>1128</v>
      </c>
      <c r="C178" s="10" t="s">
        <v>1129</v>
      </c>
      <c r="D178" s="12" t="s">
        <v>284</v>
      </c>
      <c r="E178" s="13" t="s">
        <v>311</v>
      </c>
      <c r="F178" s="14" t="s">
        <v>301</v>
      </c>
      <c r="G178" s="15"/>
      <c r="H178" s="29" t="s">
        <v>1128</v>
      </c>
    </row>
    <row r="179" spans="1:8" s="16" customFormat="1" x14ac:dyDescent="0.25">
      <c r="A179" s="8" t="s">
        <v>346</v>
      </c>
      <c r="B179" s="9" t="s">
        <v>347</v>
      </c>
      <c r="C179" s="10" t="s">
        <v>348</v>
      </c>
      <c r="D179" s="12" t="s">
        <v>284</v>
      </c>
      <c r="E179" s="13" t="s">
        <v>311</v>
      </c>
      <c r="F179" s="14" t="s">
        <v>301</v>
      </c>
      <c r="G179" s="15"/>
      <c r="H179" s="29" t="s">
        <v>346</v>
      </c>
    </row>
    <row r="180" spans="1:8" s="16" customFormat="1" x14ac:dyDescent="0.25">
      <c r="A180" s="8" t="s">
        <v>1220</v>
      </c>
      <c r="B180" s="9" t="s">
        <v>1220</v>
      </c>
      <c r="C180" s="10" t="s">
        <v>1221</v>
      </c>
      <c r="D180" s="12" t="s">
        <v>284</v>
      </c>
      <c r="E180" s="13" t="s">
        <v>311</v>
      </c>
      <c r="F180" s="14" t="s">
        <v>301</v>
      </c>
      <c r="G180" s="15"/>
      <c r="H180" s="29" t="s">
        <v>1220</v>
      </c>
    </row>
    <row r="181" spans="1:8" s="16" customFormat="1" x14ac:dyDescent="0.25">
      <c r="A181" s="8" t="s">
        <v>107</v>
      </c>
      <c r="B181" s="9" t="s">
        <v>108</v>
      </c>
      <c r="C181" s="10" t="s">
        <v>109</v>
      </c>
      <c r="D181" s="12" t="s">
        <v>284</v>
      </c>
      <c r="E181" s="13" t="s">
        <v>311</v>
      </c>
      <c r="F181" s="14" t="s">
        <v>301</v>
      </c>
      <c r="G181" s="15"/>
      <c r="H181" s="29" t="s">
        <v>107</v>
      </c>
    </row>
    <row r="182" spans="1:8" x14ac:dyDescent="0.25">
      <c r="A182" s="8" t="s">
        <v>245</v>
      </c>
      <c r="B182" s="9" t="s">
        <v>245</v>
      </c>
      <c r="C182" s="10" t="s">
        <v>355</v>
      </c>
      <c r="D182" s="12" t="s">
        <v>284</v>
      </c>
      <c r="E182" s="13" t="s">
        <v>311</v>
      </c>
      <c r="F182" s="14" t="s">
        <v>301</v>
      </c>
      <c r="H182" s="29" t="s">
        <v>245</v>
      </c>
    </row>
    <row r="183" spans="1:8" x14ac:dyDescent="0.25">
      <c r="A183" s="8" t="s">
        <v>105</v>
      </c>
      <c r="B183" s="9" t="s">
        <v>106</v>
      </c>
      <c r="C183" s="10" t="s">
        <v>110</v>
      </c>
      <c r="D183" s="12" t="s">
        <v>284</v>
      </c>
      <c r="E183" s="13" t="s">
        <v>311</v>
      </c>
      <c r="F183" s="14" t="s">
        <v>301</v>
      </c>
      <c r="H183" s="29" t="s">
        <v>105</v>
      </c>
    </row>
    <row r="184" spans="1:8" x14ac:dyDescent="0.25">
      <c r="A184" s="8" t="s">
        <v>1054</v>
      </c>
      <c r="B184" s="9" t="s">
        <v>1054</v>
      </c>
      <c r="C184" s="10" t="s">
        <v>1055</v>
      </c>
      <c r="D184" s="12" t="s">
        <v>284</v>
      </c>
      <c r="E184" s="13" t="s">
        <v>311</v>
      </c>
      <c r="F184" s="14" t="s">
        <v>301</v>
      </c>
      <c r="H184" s="29" t="s">
        <v>1054</v>
      </c>
    </row>
    <row r="185" spans="1:8" s="16" customFormat="1" x14ac:dyDescent="0.25">
      <c r="A185" s="8" t="s">
        <v>732</v>
      </c>
      <c r="B185" s="9" t="s">
        <v>732</v>
      </c>
      <c r="C185" s="10" t="s">
        <v>733</v>
      </c>
      <c r="D185" s="12" t="s">
        <v>284</v>
      </c>
      <c r="E185" s="13" t="s">
        <v>311</v>
      </c>
      <c r="F185" s="14" t="s">
        <v>301</v>
      </c>
      <c r="G185" s="15"/>
      <c r="H185" s="29" t="s">
        <v>732</v>
      </c>
    </row>
    <row r="186" spans="1:8" s="16" customFormat="1" x14ac:dyDescent="0.25">
      <c r="A186" s="8" t="s">
        <v>839</v>
      </c>
      <c r="B186" s="9" t="s">
        <v>839</v>
      </c>
      <c r="C186" s="10" t="s">
        <v>734</v>
      </c>
      <c r="D186" s="12" t="s">
        <v>284</v>
      </c>
      <c r="E186" s="13" t="s">
        <v>311</v>
      </c>
      <c r="F186" s="14" t="s">
        <v>301</v>
      </c>
      <c r="G186" s="15"/>
      <c r="H186" s="29" t="s">
        <v>839</v>
      </c>
    </row>
    <row r="187" spans="1:8" s="16" customFormat="1" x14ac:dyDescent="0.25">
      <c r="A187" s="8" t="s">
        <v>657</v>
      </c>
      <c r="B187" s="11" t="s">
        <v>658</v>
      </c>
      <c r="C187" s="10" t="s">
        <v>659</v>
      </c>
      <c r="D187" s="12" t="s">
        <v>258</v>
      </c>
      <c r="E187" s="13" t="s">
        <v>311</v>
      </c>
      <c r="F187" s="14" t="s">
        <v>301</v>
      </c>
      <c r="G187" s="15"/>
      <c r="H187" s="29" t="s">
        <v>657</v>
      </c>
    </row>
    <row r="188" spans="1:8" s="16" customFormat="1" x14ac:dyDescent="0.25">
      <c r="A188" s="8" t="s">
        <v>716</v>
      </c>
      <c r="B188" s="9" t="s">
        <v>717</v>
      </c>
      <c r="C188" s="10" t="s">
        <v>715</v>
      </c>
      <c r="D188" s="12" t="s">
        <v>258</v>
      </c>
      <c r="E188" s="13" t="s">
        <v>311</v>
      </c>
      <c r="F188" s="14" t="s">
        <v>301</v>
      </c>
      <c r="G188" s="15"/>
      <c r="H188" s="29" t="s">
        <v>716</v>
      </c>
    </row>
    <row r="189" spans="1:8" s="16" customFormat="1" x14ac:dyDescent="0.25">
      <c r="A189" s="8" t="s">
        <v>718</v>
      </c>
      <c r="B189" s="9" t="s">
        <v>719</v>
      </c>
      <c r="C189" s="10" t="s">
        <v>720</v>
      </c>
      <c r="D189" s="12" t="s">
        <v>258</v>
      </c>
      <c r="E189" s="13" t="s">
        <v>311</v>
      </c>
      <c r="F189" s="14" t="s">
        <v>301</v>
      </c>
      <c r="G189" s="15"/>
      <c r="H189" s="29" t="s">
        <v>718</v>
      </c>
    </row>
    <row r="190" spans="1:8" x14ac:dyDescent="0.25">
      <c r="A190" s="8" t="s">
        <v>767</v>
      </c>
      <c r="B190" s="9" t="s">
        <v>768</v>
      </c>
      <c r="C190" s="10" t="s">
        <v>769</v>
      </c>
      <c r="D190" s="12" t="s">
        <v>258</v>
      </c>
      <c r="E190" s="13" t="s">
        <v>311</v>
      </c>
      <c r="F190" s="14" t="s">
        <v>301</v>
      </c>
      <c r="H190" s="29" t="s">
        <v>767</v>
      </c>
    </row>
    <row r="191" spans="1:8" x14ac:dyDescent="0.25">
      <c r="A191" s="8" t="s">
        <v>770</v>
      </c>
      <c r="B191" s="9" t="s">
        <v>771</v>
      </c>
      <c r="C191" s="10" t="s">
        <v>772</v>
      </c>
      <c r="D191" s="12" t="s">
        <v>258</v>
      </c>
      <c r="E191" s="13" t="s">
        <v>311</v>
      </c>
      <c r="F191" s="14" t="s">
        <v>301</v>
      </c>
      <c r="H191" s="29" t="s">
        <v>770</v>
      </c>
    </row>
    <row r="192" spans="1:8" x14ac:dyDescent="0.25">
      <c r="A192" s="8" t="s">
        <v>785</v>
      </c>
      <c r="B192" s="9" t="s">
        <v>786</v>
      </c>
      <c r="C192" s="10" t="s">
        <v>787</v>
      </c>
      <c r="D192" s="12" t="s">
        <v>258</v>
      </c>
      <c r="E192" s="13" t="s">
        <v>311</v>
      </c>
      <c r="F192" s="14" t="s">
        <v>301</v>
      </c>
      <c r="H192" s="29" t="s">
        <v>785</v>
      </c>
    </row>
    <row r="193" spans="1:8" x14ac:dyDescent="0.25">
      <c r="A193" s="8" t="s">
        <v>812</v>
      </c>
      <c r="B193" s="9" t="s">
        <v>810</v>
      </c>
      <c r="C193" s="10" t="s">
        <v>814</v>
      </c>
      <c r="D193" s="12" t="s">
        <v>258</v>
      </c>
      <c r="E193" s="13" t="s">
        <v>311</v>
      </c>
      <c r="F193" s="14" t="s">
        <v>301</v>
      </c>
      <c r="H193" s="29" t="s">
        <v>812</v>
      </c>
    </row>
    <row r="194" spans="1:8" x14ac:dyDescent="0.25">
      <c r="A194" s="8" t="s">
        <v>813</v>
      </c>
      <c r="B194" s="9" t="s">
        <v>811</v>
      </c>
      <c r="C194" s="10" t="s">
        <v>815</v>
      </c>
      <c r="D194" s="12" t="s">
        <v>258</v>
      </c>
      <c r="E194" s="13" t="s">
        <v>311</v>
      </c>
      <c r="F194" s="14" t="s">
        <v>301</v>
      </c>
      <c r="H194" s="29" t="s">
        <v>813</v>
      </c>
    </row>
    <row r="195" spans="1:8" x14ac:dyDescent="0.25">
      <c r="A195" s="8" t="s">
        <v>853</v>
      </c>
      <c r="B195" s="9" t="s">
        <v>854</v>
      </c>
      <c r="C195" s="10" t="s">
        <v>855</v>
      </c>
      <c r="D195" s="12" t="s">
        <v>258</v>
      </c>
      <c r="E195" s="13" t="s">
        <v>311</v>
      </c>
      <c r="F195" s="14" t="s">
        <v>301</v>
      </c>
      <c r="H195" s="30" t="s">
        <v>853</v>
      </c>
    </row>
    <row r="196" spans="1:8" s="16" customFormat="1" x14ac:dyDescent="0.25">
      <c r="A196" s="8" t="s">
        <v>856</v>
      </c>
      <c r="B196" s="11" t="s">
        <v>858</v>
      </c>
      <c r="C196" s="10" t="s">
        <v>856</v>
      </c>
      <c r="D196" s="12" t="s">
        <v>258</v>
      </c>
      <c r="E196" s="13" t="s">
        <v>311</v>
      </c>
      <c r="F196" s="14" t="s">
        <v>301</v>
      </c>
      <c r="G196" s="15"/>
      <c r="H196" s="29" t="s">
        <v>856</v>
      </c>
    </row>
    <row r="197" spans="1:8" s="16" customFormat="1" x14ac:dyDescent="0.25">
      <c r="A197" s="8" t="s">
        <v>857</v>
      </c>
      <c r="B197" s="9" t="s">
        <v>859</v>
      </c>
      <c r="C197" s="10" t="s">
        <v>857</v>
      </c>
      <c r="D197" s="12" t="s">
        <v>258</v>
      </c>
      <c r="E197" s="13" t="s">
        <v>311</v>
      </c>
      <c r="F197" s="14" t="s">
        <v>301</v>
      </c>
      <c r="G197" s="15"/>
      <c r="H197" s="29" t="s">
        <v>857</v>
      </c>
    </row>
    <row r="198" spans="1:8" x14ac:dyDescent="0.25">
      <c r="A198" s="8" t="s">
        <v>1056</v>
      </c>
      <c r="B198" s="9" t="s">
        <v>1056</v>
      </c>
      <c r="C198" s="10" t="s">
        <v>948</v>
      </c>
      <c r="D198" s="12" t="s">
        <v>284</v>
      </c>
      <c r="E198" s="13" t="s">
        <v>311</v>
      </c>
      <c r="F198" s="14" t="s">
        <v>301</v>
      </c>
      <c r="H198" s="30" t="s">
        <v>1056</v>
      </c>
    </row>
    <row r="199" spans="1:8" x14ac:dyDescent="0.25">
      <c r="A199" s="8" t="s">
        <v>264</v>
      </c>
      <c r="B199" s="9" t="s">
        <v>88</v>
      </c>
      <c r="C199" s="10" t="s">
        <v>283</v>
      </c>
      <c r="D199" s="12" t="s">
        <v>285</v>
      </c>
      <c r="E199" s="9" t="s">
        <v>311</v>
      </c>
      <c r="F199" s="14" t="s">
        <v>301</v>
      </c>
      <c r="H199" s="30" t="s">
        <v>264</v>
      </c>
    </row>
    <row r="200" spans="1:8" x14ac:dyDescent="0.25">
      <c r="A200" s="8" t="s">
        <v>263</v>
      </c>
      <c r="B200" s="9" t="s">
        <v>840</v>
      </c>
      <c r="C200" s="10" t="s">
        <v>248</v>
      </c>
      <c r="D200" s="12" t="s">
        <v>284</v>
      </c>
      <c r="E200" s="9" t="s">
        <v>311</v>
      </c>
      <c r="F200" s="14" t="s">
        <v>301</v>
      </c>
      <c r="H200" s="29" t="s">
        <v>263</v>
      </c>
    </row>
    <row r="201" spans="1:8" x14ac:dyDescent="0.25">
      <c r="A201" s="8" t="s">
        <v>773</v>
      </c>
      <c r="B201" s="9" t="s">
        <v>774</v>
      </c>
      <c r="C201" s="10" t="s">
        <v>775</v>
      </c>
      <c r="D201" s="12" t="s">
        <v>284</v>
      </c>
      <c r="E201" s="9" t="s">
        <v>311</v>
      </c>
      <c r="F201" s="14" t="s">
        <v>301</v>
      </c>
      <c r="H201" s="29" t="s">
        <v>773</v>
      </c>
    </row>
    <row r="202" spans="1:8" ht="15" customHeight="1" x14ac:dyDescent="0.25">
      <c r="A202" s="8" t="s">
        <v>1040</v>
      </c>
      <c r="B202" s="9" t="s">
        <v>1039</v>
      </c>
      <c r="C202" s="10" t="s">
        <v>1038</v>
      </c>
      <c r="D202" s="12" t="s">
        <v>284</v>
      </c>
      <c r="E202" s="13" t="s">
        <v>311</v>
      </c>
      <c r="F202" s="14" t="s">
        <v>301</v>
      </c>
      <c r="H202" s="29" t="s">
        <v>1040</v>
      </c>
    </row>
    <row r="203" spans="1:8" x14ac:dyDescent="0.25">
      <c r="A203" s="8" t="s">
        <v>1041</v>
      </c>
      <c r="B203" s="9" t="s">
        <v>1036</v>
      </c>
      <c r="C203" s="10" t="s">
        <v>1037</v>
      </c>
      <c r="D203" s="12" t="s">
        <v>284</v>
      </c>
      <c r="E203" s="13" t="s">
        <v>311</v>
      </c>
      <c r="F203" s="14" t="s">
        <v>301</v>
      </c>
      <c r="H203" s="29" t="s">
        <v>1041</v>
      </c>
    </row>
    <row r="204" spans="1:8" x14ac:dyDescent="0.25">
      <c r="A204" s="8" t="s">
        <v>1190</v>
      </c>
      <c r="B204" s="9" t="s">
        <v>1191</v>
      </c>
      <c r="C204" s="10" t="s">
        <v>1192</v>
      </c>
      <c r="D204" s="12" t="s">
        <v>284</v>
      </c>
      <c r="E204" s="13" t="s">
        <v>311</v>
      </c>
      <c r="F204" s="14" t="s">
        <v>301</v>
      </c>
      <c r="H204" s="29" t="s">
        <v>1190</v>
      </c>
    </row>
    <row r="205" spans="1:8" x14ac:dyDescent="0.25">
      <c r="A205" s="8" t="s">
        <v>1193</v>
      </c>
      <c r="B205" s="9" t="s">
        <v>1194</v>
      </c>
      <c r="C205" s="10" t="s">
        <v>1195</v>
      </c>
      <c r="D205" s="12" t="s">
        <v>284</v>
      </c>
      <c r="E205" s="13" t="s">
        <v>311</v>
      </c>
      <c r="F205" s="14" t="s">
        <v>301</v>
      </c>
      <c r="H205" s="29" t="s">
        <v>1193</v>
      </c>
    </row>
    <row r="206" spans="1:8" x14ac:dyDescent="0.25">
      <c r="A206" s="8" t="s">
        <v>1311</v>
      </c>
      <c r="B206" s="9" t="s">
        <v>1312</v>
      </c>
      <c r="C206" s="10" t="s">
        <v>1313</v>
      </c>
      <c r="D206" s="12" t="s">
        <v>284</v>
      </c>
      <c r="E206" s="13" t="s">
        <v>311</v>
      </c>
      <c r="F206" s="14" t="s">
        <v>301</v>
      </c>
      <c r="H206" s="29" t="s">
        <v>1311</v>
      </c>
    </row>
    <row r="207" spans="1:8" x14ac:dyDescent="0.25">
      <c r="A207" s="8" t="s">
        <v>1261</v>
      </c>
      <c r="B207" s="9" t="s">
        <v>1262</v>
      </c>
      <c r="C207" s="10" t="s">
        <v>1263</v>
      </c>
      <c r="D207" s="12" t="s">
        <v>284</v>
      </c>
      <c r="E207" s="13" t="s">
        <v>311</v>
      </c>
      <c r="F207" s="14" t="s">
        <v>301</v>
      </c>
      <c r="H207" s="29" t="s">
        <v>1261</v>
      </c>
    </row>
    <row r="208" spans="1:8" x14ac:dyDescent="0.25">
      <c r="A208" s="8" t="s">
        <v>1259</v>
      </c>
      <c r="B208" s="9" t="s">
        <v>1260</v>
      </c>
      <c r="C208" s="10" t="s">
        <v>1204</v>
      </c>
      <c r="D208" s="12" t="s">
        <v>284</v>
      </c>
      <c r="E208" s="13" t="s">
        <v>311</v>
      </c>
      <c r="F208" s="14" t="s">
        <v>301</v>
      </c>
      <c r="H208" s="29" t="s">
        <v>1259</v>
      </c>
    </row>
    <row r="209" spans="1:8" x14ac:dyDescent="0.25">
      <c r="A209" s="8" t="s">
        <v>442</v>
      </c>
      <c r="B209" s="9" t="s">
        <v>443</v>
      </c>
      <c r="C209" s="10" t="s">
        <v>1214</v>
      </c>
      <c r="D209" s="12" t="s">
        <v>284</v>
      </c>
      <c r="E209" s="9" t="s">
        <v>311</v>
      </c>
      <c r="F209" s="14" t="s">
        <v>301</v>
      </c>
      <c r="H209" s="29" t="s">
        <v>442</v>
      </c>
    </row>
    <row r="210" spans="1:8" x14ac:dyDescent="0.25">
      <c r="A210" s="8" t="s">
        <v>1197</v>
      </c>
      <c r="B210" s="9" t="s">
        <v>1197</v>
      </c>
      <c r="C210" s="10" t="s">
        <v>1198</v>
      </c>
      <c r="D210" s="12" t="s">
        <v>284</v>
      </c>
      <c r="E210" s="9" t="s">
        <v>311</v>
      </c>
      <c r="F210" s="14" t="s">
        <v>301</v>
      </c>
      <c r="H210" s="29" t="s">
        <v>1197</v>
      </c>
    </row>
    <row r="211" spans="1:8" x14ac:dyDescent="0.25">
      <c r="A211" s="8" t="s">
        <v>1205</v>
      </c>
      <c r="B211" s="9" t="s">
        <v>1205</v>
      </c>
      <c r="C211" s="10" t="s">
        <v>1206</v>
      </c>
      <c r="D211" s="12" t="s">
        <v>284</v>
      </c>
      <c r="E211" s="9" t="s">
        <v>311</v>
      </c>
      <c r="F211" s="14" t="s">
        <v>301</v>
      </c>
      <c r="H211" s="29" t="s">
        <v>1205</v>
      </c>
    </row>
    <row r="212" spans="1:8" x14ac:dyDescent="0.25">
      <c r="A212" s="8" t="s">
        <v>338</v>
      </c>
      <c r="B212" s="9" t="s">
        <v>339</v>
      </c>
      <c r="C212" s="10" t="s">
        <v>237</v>
      </c>
      <c r="D212" s="12" t="s">
        <v>284</v>
      </c>
      <c r="E212" s="13" t="s">
        <v>311</v>
      </c>
      <c r="F212" s="14" t="s">
        <v>301</v>
      </c>
      <c r="H212" s="29" t="s">
        <v>338</v>
      </c>
    </row>
    <row r="213" spans="1:8" x14ac:dyDescent="0.25">
      <c r="A213" s="8" t="s">
        <v>267</v>
      </c>
      <c r="B213" s="9" t="s">
        <v>267</v>
      </c>
      <c r="C213" s="10" t="s">
        <v>268</v>
      </c>
      <c r="D213" s="12" t="s">
        <v>284</v>
      </c>
      <c r="E213" s="13" t="s">
        <v>311</v>
      </c>
      <c r="F213" s="14" t="s">
        <v>301</v>
      </c>
      <c r="H213" s="29" t="s">
        <v>267</v>
      </c>
    </row>
    <row r="214" spans="1:8" x14ac:dyDescent="0.25">
      <c r="A214" s="8" t="s">
        <v>1236</v>
      </c>
      <c r="B214" s="9" t="s">
        <v>1237</v>
      </c>
      <c r="C214" s="10" t="s">
        <v>1238</v>
      </c>
      <c r="D214" s="12" t="s">
        <v>285</v>
      </c>
      <c r="E214" s="13" t="s">
        <v>311</v>
      </c>
      <c r="F214" s="14" t="s">
        <v>301</v>
      </c>
      <c r="H214" s="29" t="s">
        <v>1236</v>
      </c>
    </row>
    <row r="215" spans="1:8" x14ac:dyDescent="0.25">
      <c r="A215" s="8" t="s">
        <v>802</v>
      </c>
      <c r="B215" s="9" t="s">
        <v>841</v>
      </c>
      <c r="C215" s="10" t="s">
        <v>803</v>
      </c>
      <c r="D215" s="12" t="s">
        <v>284</v>
      </c>
      <c r="E215" s="13" t="s">
        <v>311</v>
      </c>
      <c r="F215" s="14" t="s">
        <v>301</v>
      </c>
      <c r="H215" s="29" t="s">
        <v>802</v>
      </c>
    </row>
    <row r="216" spans="1:8" x14ac:dyDescent="0.25">
      <c r="A216" s="8" t="s">
        <v>903</v>
      </c>
      <c r="B216" s="9" t="s">
        <v>904</v>
      </c>
      <c r="C216" s="10" t="s">
        <v>803</v>
      </c>
      <c r="D216" s="12" t="s">
        <v>284</v>
      </c>
      <c r="E216" s="13" t="s">
        <v>311</v>
      </c>
      <c r="F216" s="14" t="s">
        <v>301</v>
      </c>
      <c r="H216" s="29" t="s">
        <v>904</v>
      </c>
    </row>
    <row r="217" spans="1:8" x14ac:dyDescent="0.25">
      <c r="A217" s="8" t="s">
        <v>1103</v>
      </c>
      <c r="B217" s="9" t="s">
        <v>1104</v>
      </c>
      <c r="C217" s="10" t="s">
        <v>1105</v>
      </c>
      <c r="D217" s="12" t="s">
        <v>285</v>
      </c>
      <c r="E217" s="13" t="s">
        <v>311</v>
      </c>
      <c r="F217" s="14" t="s">
        <v>301</v>
      </c>
      <c r="H217" s="29" t="s">
        <v>1104</v>
      </c>
    </row>
    <row r="218" spans="1:8" x14ac:dyDescent="0.25">
      <c r="A218" s="8" t="s">
        <v>1133</v>
      </c>
      <c r="B218" s="9" t="s">
        <v>1135</v>
      </c>
      <c r="C218" s="10" t="s">
        <v>1137</v>
      </c>
      <c r="D218" s="12" t="s">
        <v>285</v>
      </c>
      <c r="E218" s="13" t="s">
        <v>311</v>
      </c>
      <c r="F218" s="14" t="s">
        <v>301</v>
      </c>
      <c r="H218" s="29" t="s">
        <v>1133</v>
      </c>
    </row>
    <row r="219" spans="1:8" x14ac:dyDescent="0.25">
      <c r="A219" s="8" t="s">
        <v>1132</v>
      </c>
      <c r="B219" s="9" t="s">
        <v>1134</v>
      </c>
      <c r="C219" s="10" t="s">
        <v>1136</v>
      </c>
      <c r="D219" s="12" t="s">
        <v>284</v>
      </c>
      <c r="E219" s="13" t="s">
        <v>311</v>
      </c>
      <c r="F219" s="14" t="s">
        <v>301</v>
      </c>
      <c r="H219" s="29" t="s">
        <v>1132</v>
      </c>
    </row>
    <row r="220" spans="1:8" x14ac:dyDescent="0.25">
      <c r="A220" s="8" t="s">
        <v>1130</v>
      </c>
      <c r="B220" s="9" t="s">
        <v>1130</v>
      </c>
      <c r="C220" s="10" t="s">
        <v>1131</v>
      </c>
      <c r="D220" s="12" t="s">
        <v>285</v>
      </c>
      <c r="E220" s="13" t="s">
        <v>311</v>
      </c>
      <c r="F220" s="14" t="s">
        <v>301</v>
      </c>
      <c r="H220" s="29" t="s">
        <v>1130</v>
      </c>
    </row>
    <row r="221" spans="1:8" x14ac:dyDescent="0.25">
      <c r="A221" s="8" t="s">
        <v>344</v>
      </c>
      <c r="B221" s="9" t="s">
        <v>842</v>
      </c>
      <c r="C221" s="10" t="s">
        <v>340</v>
      </c>
      <c r="D221" s="12" t="s">
        <v>285</v>
      </c>
      <c r="E221" s="13" t="s">
        <v>311</v>
      </c>
      <c r="F221" s="14" t="s">
        <v>301</v>
      </c>
      <c r="H221" s="29" t="s">
        <v>344</v>
      </c>
    </row>
    <row r="222" spans="1:8" x14ac:dyDescent="0.25">
      <c r="A222" s="8" t="s">
        <v>345</v>
      </c>
      <c r="B222" s="9" t="s">
        <v>843</v>
      </c>
      <c r="C222" s="10" t="s">
        <v>241</v>
      </c>
      <c r="D222" s="12" t="s">
        <v>284</v>
      </c>
      <c r="E222" s="13" t="s">
        <v>311</v>
      </c>
      <c r="F222" s="14" t="s">
        <v>301</v>
      </c>
      <c r="H222" s="29" t="s">
        <v>345</v>
      </c>
    </row>
    <row r="223" spans="1:8" x14ac:dyDescent="0.25">
      <c r="A223" s="8" t="s">
        <v>123</v>
      </c>
      <c r="B223" s="9" t="s">
        <v>123</v>
      </c>
      <c r="C223" s="10" t="s">
        <v>124</v>
      </c>
      <c r="D223" s="12" t="s">
        <v>284</v>
      </c>
      <c r="E223" s="13" t="s">
        <v>311</v>
      </c>
      <c r="F223" s="14" t="s">
        <v>301</v>
      </c>
      <c r="H223" s="29" t="s">
        <v>123</v>
      </c>
    </row>
    <row r="224" spans="1:8" x14ac:dyDescent="0.25">
      <c r="A224" s="8" t="s">
        <v>1122</v>
      </c>
      <c r="B224" s="9" t="s">
        <v>1122</v>
      </c>
      <c r="C224" s="10" t="s">
        <v>1123</v>
      </c>
      <c r="D224" s="12" t="s">
        <v>284</v>
      </c>
      <c r="E224" s="13" t="s">
        <v>311</v>
      </c>
      <c r="F224" s="14" t="s">
        <v>301</v>
      </c>
      <c r="H224" s="29" t="s">
        <v>1122</v>
      </c>
    </row>
    <row r="225" spans="1:8" x14ac:dyDescent="0.25">
      <c r="A225" s="8" t="s">
        <v>661</v>
      </c>
      <c r="B225" s="9" t="s">
        <v>661</v>
      </c>
      <c r="C225" s="10" t="s">
        <v>662</v>
      </c>
      <c r="D225" s="12" t="s">
        <v>285</v>
      </c>
      <c r="E225" s="13" t="s">
        <v>311</v>
      </c>
      <c r="F225" s="14" t="s">
        <v>301</v>
      </c>
      <c r="H225" s="29" t="s">
        <v>661</v>
      </c>
    </row>
    <row r="226" spans="1:8" x14ac:dyDescent="0.25">
      <c r="A226" s="8" t="s">
        <v>743</v>
      </c>
      <c r="B226" s="9" t="s">
        <v>743</v>
      </c>
      <c r="C226" s="10" t="s">
        <v>111</v>
      </c>
      <c r="D226" s="12" t="s">
        <v>284</v>
      </c>
      <c r="E226" s="13" t="s">
        <v>311</v>
      </c>
      <c r="F226" s="14" t="s">
        <v>301</v>
      </c>
      <c r="H226" s="29" t="s">
        <v>743</v>
      </c>
    </row>
    <row r="227" spans="1:8" x14ac:dyDescent="0.25">
      <c r="A227" s="8" t="s">
        <v>260</v>
      </c>
      <c r="B227" s="9" t="s">
        <v>260</v>
      </c>
      <c r="C227" s="10" t="s">
        <v>261</v>
      </c>
      <c r="D227" s="12" t="s">
        <v>284</v>
      </c>
      <c r="E227" s="13" t="s">
        <v>311</v>
      </c>
      <c r="F227" s="14" t="s">
        <v>301</v>
      </c>
      <c r="H227" s="29" t="s">
        <v>260</v>
      </c>
    </row>
    <row r="228" spans="1:8" x14ac:dyDescent="0.25">
      <c r="A228" s="8" t="s">
        <v>776</v>
      </c>
      <c r="B228" s="9" t="s">
        <v>844</v>
      </c>
      <c r="C228" s="10" t="s">
        <v>328</v>
      </c>
      <c r="D228" s="12" t="s">
        <v>284</v>
      </c>
      <c r="E228" s="13" t="s">
        <v>311</v>
      </c>
      <c r="F228" s="14" t="s">
        <v>301</v>
      </c>
      <c r="H228" s="29" t="s">
        <v>776</v>
      </c>
    </row>
    <row r="229" spans="1:8" x14ac:dyDescent="0.25">
      <c r="A229" s="8" t="s">
        <v>846</v>
      </c>
      <c r="B229" s="9" t="s">
        <v>845</v>
      </c>
      <c r="C229" s="10" t="s">
        <v>328</v>
      </c>
      <c r="D229" s="12" t="s">
        <v>284</v>
      </c>
      <c r="E229" s="13" t="s">
        <v>311</v>
      </c>
      <c r="F229" s="14" t="s">
        <v>301</v>
      </c>
      <c r="H229" s="29" t="s">
        <v>846</v>
      </c>
    </row>
    <row r="230" spans="1:8" ht="13.8" thickBot="1" x14ac:dyDescent="0.3">
      <c r="A230" s="35" t="s">
        <v>80</v>
      </c>
      <c r="B230" s="36" t="s">
        <v>825</v>
      </c>
      <c r="C230" s="37" t="s">
        <v>270</v>
      </c>
      <c r="D230" s="283" t="s">
        <v>284</v>
      </c>
      <c r="E230" s="284" t="s">
        <v>311</v>
      </c>
      <c r="F230" s="285" t="s">
        <v>301</v>
      </c>
      <c r="H230" s="29"/>
    </row>
    <row r="231" spans="1:8" x14ac:dyDescent="0.25">
      <c r="F231" s="76"/>
      <c r="H231" s="29"/>
    </row>
    <row r="232" spans="1:8" ht="13.8" thickBot="1" x14ac:dyDescent="0.3">
      <c r="H232" s="29"/>
    </row>
    <row r="233" spans="1:8" x14ac:dyDescent="0.25">
      <c r="B233" s="2" t="s">
        <v>46</v>
      </c>
      <c r="H233" s="29"/>
    </row>
    <row r="234" spans="1:8" x14ac:dyDescent="0.25">
      <c r="B234" s="286" t="s">
        <v>47</v>
      </c>
      <c r="H234" s="29"/>
    </row>
    <row r="235" spans="1:8" x14ac:dyDescent="0.25">
      <c r="B235" s="286" t="s">
        <v>543</v>
      </c>
      <c r="H235" s="29"/>
    </row>
    <row r="236" spans="1:8" x14ac:dyDescent="0.25">
      <c r="B236" s="286" t="s">
        <v>48</v>
      </c>
      <c r="H236" s="29"/>
    </row>
    <row r="237" spans="1:8" ht="13.8" thickBot="1" x14ac:dyDescent="0.3">
      <c r="B237" s="287" t="s">
        <v>49</v>
      </c>
      <c r="H237" s="29"/>
    </row>
    <row r="238" spans="1:8" ht="13.8" thickBot="1" x14ac:dyDescent="0.3">
      <c r="H238" s="34"/>
    </row>
    <row r="239" spans="1:8" x14ac:dyDescent="0.25">
      <c r="B239" s="1"/>
    </row>
    <row r="241" spans="2:2" hidden="1" x14ac:dyDescent="0.25"/>
    <row r="243" spans="2:2" ht="13.8" thickBot="1" x14ac:dyDescent="0.3">
      <c r="B243" s="1" t="s">
        <v>76</v>
      </c>
    </row>
    <row r="244" spans="2:2" x14ac:dyDescent="0.25">
      <c r="B244" s="6" t="s">
        <v>220</v>
      </c>
    </row>
    <row r="245" spans="2:2" x14ac:dyDescent="0.25">
      <c r="B245" s="32" t="s">
        <v>82</v>
      </c>
    </row>
    <row r="246" spans="2:2" x14ac:dyDescent="0.25">
      <c r="B246" s="32" t="s">
        <v>356</v>
      </c>
    </row>
    <row r="247" spans="2:2" x14ac:dyDescent="0.25">
      <c r="B247" s="32" t="s">
        <v>271</v>
      </c>
    </row>
    <row r="248" spans="2:2" x14ac:dyDescent="0.25">
      <c r="B248" s="32" t="s">
        <v>272</v>
      </c>
    </row>
    <row r="249" spans="2:2" x14ac:dyDescent="0.25">
      <c r="B249" s="32" t="s">
        <v>73</v>
      </c>
    </row>
    <row r="250" spans="2:2" x14ac:dyDescent="0.25">
      <c r="B250" s="32" t="s">
        <v>74</v>
      </c>
    </row>
    <row r="251" spans="2:2" x14ac:dyDescent="0.25">
      <c r="B251" s="32" t="s">
        <v>275</v>
      </c>
    </row>
    <row r="252" spans="2:2" x14ac:dyDescent="0.25">
      <c r="B252" s="32" t="s">
        <v>444</v>
      </c>
    </row>
    <row r="253" spans="2:2" x14ac:dyDescent="0.25">
      <c r="B253" s="32" t="s">
        <v>75</v>
      </c>
    </row>
    <row r="254" spans="2:2" ht="13.8" thickBot="1" x14ac:dyDescent="0.3">
      <c r="B254" s="33" t="s">
        <v>194</v>
      </c>
    </row>
    <row r="256" spans="2:2" ht="13.8" thickBot="1" x14ac:dyDescent="0.3"/>
    <row r="257" spans="2:2" x14ac:dyDescent="0.25">
      <c r="B257" s="6" t="s">
        <v>25</v>
      </c>
    </row>
    <row r="258" spans="2:2" x14ac:dyDescent="0.25">
      <c r="B258" s="32" t="s">
        <v>82</v>
      </c>
    </row>
    <row r="259" spans="2:2" x14ac:dyDescent="0.25">
      <c r="B259" s="32" t="s">
        <v>356</v>
      </c>
    </row>
    <row r="260" spans="2:2" x14ac:dyDescent="0.25">
      <c r="B260" s="32" t="s">
        <v>32</v>
      </c>
    </row>
    <row r="261" spans="2:2" x14ac:dyDescent="0.25">
      <c r="B261" s="32" t="s">
        <v>79</v>
      </c>
    </row>
    <row r="262" spans="2:2" x14ac:dyDescent="0.25">
      <c r="B262" s="32" t="s">
        <v>78</v>
      </c>
    </row>
    <row r="263" spans="2:2" x14ac:dyDescent="0.25">
      <c r="B263" s="32" t="s">
        <v>276</v>
      </c>
    </row>
    <row r="264" spans="2:2" ht="13.8" thickBot="1" x14ac:dyDescent="0.3">
      <c r="B264" s="33" t="s">
        <v>194</v>
      </c>
    </row>
    <row r="265" spans="2:2" ht="13.8" thickBot="1" x14ac:dyDescent="0.3"/>
    <row r="266" spans="2:2" x14ac:dyDescent="0.25">
      <c r="B266" s="6" t="s">
        <v>290</v>
      </c>
    </row>
    <row r="267" spans="2:2" x14ac:dyDescent="0.25">
      <c r="B267" s="32" t="s">
        <v>412</v>
      </c>
    </row>
    <row r="268" spans="2:2" x14ac:dyDescent="0.25">
      <c r="B268" s="32" t="s">
        <v>413</v>
      </c>
    </row>
    <row r="269" spans="2:2" x14ac:dyDescent="0.25">
      <c r="B269" s="32" t="s">
        <v>61</v>
      </c>
    </row>
    <row r="270" spans="2:2" x14ac:dyDescent="0.25">
      <c r="B270" s="32" t="s">
        <v>324</v>
      </c>
    </row>
    <row r="271" spans="2:2" x14ac:dyDescent="0.25">
      <c r="B271" s="32" t="s">
        <v>394</v>
      </c>
    </row>
    <row r="272" spans="2:2" x14ac:dyDescent="0.25">
      <c r="B272" s="32" t="s">
        <v>395</v>
      </c>
    </row>
    <row r="273" spans="2:2" x14ac:dyDescent="0.25">
      <c r="B273" s="32" t="s">
        <v>414</v>
      </c>
    </row>
    <row r="274" spans="2:2" x14ac:dyDescent="0.25">
      <c r="B274" s="32" t="s">
        <v>325</v>
      </c>
    </row>
    <row r="275" spans="2:2" x14ac:dyDescent="0.25">
      <c r="B275" s="32" t="s">
        <v>415</v>
      </c>
    </row>
    <row r="276" spans="2:2" x14ac:dyDescent="0.25">
      <c r="B276" s="32" t="s">
        <v>416</v>
      </c>
    </row>
    <row r="277" spans="2:2" x14ac:dyDescent="0.25">
      <c r="B277" s="32" t="s">
        <v>417</v>
      </c>
    </row>
    <row r="278" spans="2:2" x14ac:dyDescent="0.25">
      <c r="B278" s="32" t="s">
        <v>418</v>
      </c>
    </row>
    <row r="279" spans="2:2" x14ac:dyDescent="0.25">
      <c r="B279" s="32" t="s">
        <v>419</v>
      </c>
    </row>
    <row r="280" spans="2:2" x14ac:dyDescent="0.25">
      <c r="B280" s="32" t="s">
        <v>196</v>
      </c>
    </row>
    <row r="281" spans="2:2" x14ac:dyDescent="0.25">
      <c r="B281" s="32" t="s">
        <v>197</v>
      </c>
    </row>
    <row r="282" spans="2:2" x14ac:dyDescent="0.25">
      <c r="B282" s="32" t="s">
        <v>198</v>
      </c>
    </row>
    <row r="283" spans="2:2" x14ac:dyDescent="0.25">
      <c r="B283" s="32" t="s">
        <v>195</v>
      </c>
    </row>
    <row r="284" spans="2:2" x14ac:dyDescent="0.25">
      <c r="B284" s="290" t="s">
        <v>434</v>
      </c>
    </row>
    <row r="285" spans="2:2" x14ac:dyDescent="0.25">
      <c r="B285" s="32" t="s">
        <v>194</v>
      </c>
    </row>
    <row r="286" spans="2:2" x14ac:dyDescent="0.25">
      <c r="B286" s="32" t="s">
        <v>288</v>
      </c>
    </row>
    <row r="287" spans="2:2" x14ac:dyDescent="0.25">
      <c r="B287" s="32" t="s">
        <v>292</v>
      </c>
    </row>
    <row r="288" spans="2:2" x14ac:dyDescent="0.25">
      <c r="B288" s="32" t="s">
        <v>245</v>
      </c>
    </row>
    <row r="289" spans="2:2" ht="13.8" thickBot="1" x14ac:dyDescent="0.3">
      <c r="B289" s="33" t="s">
        <v>289</v>
      </c>
    </row>
    <row r="290" spans="2:2" ht="13.8" thickBot="1" x14ac:dyDescent="0.3"/>
    <row r="291" spans="2:2" x14ac:dyDescent="0.25">
      <c r="B291" s="6" t="s">
        <v>314</v>
      </c>
    </row>
    <row r="292" spans="2:2" x14ac:dyDescent="0.25">
      <c r="B292" s="32" t="s">
        <v>50</v>
      </c>
    </row>
    <row r="293" spans="2:2" ht="13.8" thickBot="1" x14ac:dyDescent="0.3">
      <c r="B293" s="33" t="s">
        <v>52</v>
      </c>
    </row>
    <row r="294" spans="2:2" ht="13.8" thickBot="1" x14ac:dyDescent="0.3"/>
    <row r="295" spans="2:2" x14ac:dyDescent="0.25">
      <c r="B295" s="6" t="s">
        <v>118</v>
      </c>
    </row>
    <row r="296" spans="2:2" x14ac:dyDescent="0.25">
      <c r="B296" s="32" t="s">
        <v>51</v>
      </c>
    </row>
    <row r="297" spans="2:2" x14ac:dyDescent="0.25">
      <c r="B297" s="32" t="s">
        <v>53</v>
      </c>
    </row>
    <row r="298" spans="2:2" x14ac:dyDescent="0.25">
      <c r="B298" s="32" t="s">
        <v>119</v>
      </c>
    </row>
    <row r="299" spans="2:2" x14ac:dyDescent="0.25">
      <c r="B299" s="32" t="s">
        <v>120</v>
      </c>
    </row>
    <row r="300" spans="2:2" x14ac:dyDescent="0.25">
      <c r="B300" s="32" t="s">
        <v>357</v>
      </c>
    </row>
    <row r="301" spans="2:2" x14ac:dyDescent="0.25">
      <c r="B301" s="32" t="s">
        <v>358</v>
      </c>
    </row>
    <row r="302" spans="2:2" x14ac:dyDescent="0.25">
      <c r="B302" s="32" t="s">
        <v>359</v>
      </c>
    </row>
    <row r="303" spans="2:2" x14ac:dyDescent="0.25">
      <c r="B303" s="32" t="s">
        <v>126</v>
      </c>
    </row>
    <row r="304" spans="2:2" x14ac:dyDescent="0.25">
      <c r="B304" s="32" t="s">
        <v>121</v>
      </c>
    </row>
    <row r="305" spans="2:2" x14ac:dyDescent="0.25">
      <c r="B305" s="32" t="s">
        <v>122</v>
      </c>
    </row>
    <row r="306" spans="2:2" x14ac:dyDescent="0.25">
      <c r="B306" s="32" t="s">
        <v>125</v>
      </c>
    </row>
    <row r="307" spans="2:2" x14ac:dyDescent="0.25">
      <c r="B307" s="32" t="s">
        <v>360</v>
      </c>
    </row>
    <row r="308" spans="2:2" x14ac:dyDescent="0.25">
      <c r="B308" s="32" t="s">
        <v>361</v>
      </c>
    </row>
    <row r="309" spans="2:2" x14ac:dyDescent="0.25">
      <c r="B309" s="32" t="s">
        <v>362</v>
      </c>
    </row>
    <row r="310" spans="2:2" x14ac:dyDescent="0.25">
      <c r="B310" s="32" t="s">
        <v>319</v>
      </c>
    </row>
    <row r="311" spans="2:2" x14ac:dyDescent="0.25">
      <c r="B311" s="32" t="s">
        <v>127</v>
      </c>
    </row>
    <row r="312" spans="2:2" x14ac:dyDescent="0.25">
      <c r="B312" s="32" t="s">
        <v>321</v>
      </c>
    </row>
    <row r="313" spans="2:2" x14ac:dyDescent="0.25">
      <c r="B313" s="32" t="s">
        <v>128</v>
      </c>
    </row>
    <row r="314" spans="2:2" x14ac:dyDescent="0.25">
      <c r="B314" s="32" t="s">
        <v>363</v>
      </c>
    </row>
    <row r="315" spans="2:2" x14ac:dyDescent="0.25">
      <c r="B315" s="32" t="s">
        <v>364</v>
      </c>
    </row>
    <row r="316" spans="2:2" x14ac:dyDescent="0.25">
      <c r="B316" s="32" t="s">
        <v>365</v>
      </c>
    </row>
    <row r="317" spans="2:2" x14ac:dyDescent="0.25">
      <c r="B317" s="32" t="s">
        <v>132</v>
      </c>
    </row>
    <row r="318" spans="2:2" x14ac:dyDescent="0.25">
      <c r="B318" s="32" t="s">
        <v>129</v>
      </c>
    </row>
    <row r="319" spans="2:2" x14ac:dyDescent="0.25">
      <c r="B319" s="32" t="s">
        <v>130</v>
      </c>
    </row>
    <row r="320" spans="2:2" x14ac:dyDescent="0.25">
      <c r="B320" s="32" t="s">
        <v>131</v>
      </c>
    </row>
    <row r="321" spans="2:2" x14ac:dyDescent="0.25">
      <c r="B321" s="32" t="s">
        <v>366</v>
      </c>
    </row>
    <row r="322" spans="2:2" x14ac:dyDescent="0.25">
      <c r="B322" s="32" t="s">
        <v>367</v>
      </c>
    </row>
    <row r="323" spans="2:2" x14ac:dyDescent="0.25">
      <c r="B323" s="32" t="s">
        <v>368</v>
      </c>
    </row>
    <row r="324" spans="2:2" x14ac:dyDescent="0.25">
      <c r="B324" s="32" t="s">
        <v>369</v>
      </c>
    </row>
    <row r="325" spans="2:2" x14ac:dyDescent="0.25">
      <c r="B325" s="32" t="s">
        <v>370</v>
      </c>
    </row>
    <row r="326" spans="2:2" x14ac:dyDescent="0.25">
      <c r="B326" s="32" t="s">
        <v>371</v>
      </c>
    </row>
    <row r="327" spans="2:2" x14ac:dyDescent="0.25">
      <c r="B327" s="32" t="s">
        <v>372</v>
      </c>
    </row>
    <row r="328" spans="2:2" x14ac:dyDescent="0.25">
      <c r="B328" s="32" t="s">
        <v>373</v>
      </c>
    </row>
    <row r="329" spans="2:2" x14ac:dyDescent="0.25">
      <c r="B329" s="32" t="s">
        <v>374</v>
      </c>
    </row>
    <row r="330" spans="2:2" x14ac:dyDescent="0.25">
      <c r="B330" s="32" t="s">
        <v>375</v>
      </c>
    </row>
    <row r="331" spans="2:2" x14ac:dyDescent="0.25">
      <c r="B331" s="32" t="s">
        <v>376</v>
      </c>
    </row>
    <row r="332" spans="2:2" x14ac:dyDescent="0.25">
      <c r="B332" s="32" t="s">
        <v>377</v>
      </c>
    </row>
    <row r="333" spans="2:2" x14ac:dyDescent="0.25">
      <c r="B333" s="32" t="s">
        <v>378</v>
      </c>
    </row>
    <row r="334" spans="2:2" x14ac:dyDescent="0.25">
      <c r="B334" s="32" t="s">
        <v>379</v>
      </c>
    </row>
    <row r="335" spans="2:2" x14ac:dyDescent="0.25">
      <c r="B335" s="32" t="s">
        <v>380</v>
      </c>
    </row>
    <row r="336" spans="2:2" x14ac:dyDescent="0.25">
      <c r="B336" s="32" t="s">
        <v>381</v>
      </c>
    </row>
    <row r="337" spans="2:2" x14ac:dyDescent="0.25">
      <c r="B337" s="32" t="s">
        <v>382</v>
      </c>
    </row>
    <row r="338" spans="2:2" x14ac:dyDescent="0.25">
      <c r="B338" s="32" t="s">
        <v>383</v>
      </c>
    </row>
    <row r="339" spans="2:2" x14ac:dyDescent="0.25">
      <c r="B339" s="32" t="s">
        <v>384</v>
      </c>
    </row>
    <row r="340" spans="2:2" x14ac:dyDescent="0.25">
      <c r="B340" s="32" t="s">
        <v>385</v>
      </c>
    </row>
    <row r="341" spans="2:2" x14ac:dyDescent="0.25">
      <c r="B341" s="32" t="s">
        <v>386</v>
      </c>
    </row>
    <row r="342" spans="2:2" x14ac:dyDescent="0.25">
      <c r="B342" s="32" t="s">
        <v>387</v>
      </c>
    </row>
    <row r="343" spans="2:2" x14ac:dyDescent="0.25">
      <c r="B343" s="32" t="s">
        <v>386</v>
      </c>
    </row>
    <row r="344" spans="2:2" ht="13.8" thickBot="1" x14ac:dyDescent="0.3">
      <c r="B344" s="33" t="s">
        <v>388</v>
      </c>
    </row>
    <row r="345" spans="2:2" ht="13.8" thickBot="1" x14ac:dyDescent="0.3"/>
    <row r="346" spans="2:2" x14ac:dyDescent="0.25">
      <c r="B346" s="6" t="s">
        <v>303</v>
      </c>
    </row>
    <row r="347" spans="2:2" x14ac:dyDescent="0.25">
      <c r="B347" s="32" t="s">
        <v>55</v>
      </c>
    </row>
    <row r="348" spans="2:2" ht="13.8" thickBot="1" x14ac:dyDescent="0.3">
      <c r="B348" s="33" t="s">
        <v>57</v>
      </c>
    </row>
    <row r="349" spans="2:2" ht="13.8" thickBot="1" x14ac:dyDescent="0.3"/>
    <row r="350" spans="2:2" x14ac:dyDescent="0.25">
      <c r="B350" s="6" t="s">
        <v>133</v>
      </c>
    </row>
    <row r="351" spans="2:2" x14ac:dyDescent="0.25">
      <c r="B351" s="32" t="s">
        <v>318</v>
      </c>
    </row>
    <row r="352" spans="2:2" x14ac:dyDescent="0.25">
      <c r="B352" s="32" t="s">
        <v>320</v>
      </c>
    </row>
    <row r="353" spans="2:2" ht="13.8" thickBot="1" x14ac:dyDescent="0.3"/>
    <row r="354" spans="2:2" x14ac:dyDescent="0.25">
      <c r="B354" s="6" t="s">
        <v>68</v>
      </c>
    </row>
    <row r="355" spans="2:2" x14ac:dyDescent="0.25">
      <c r="B355" s="32" t="s">
        <v>134</v>
      </c>
    </row>
    <row r="356" spans="2:2" ht="13.8" thickBot="1" x14ac:dyDescent="0.3">
      <c r="B356" s="33" t="s">
        <v>68</v>
      </c>
    </row>
    <row r="357" spans="2:2" ht="13.8" thickBot="1" x14ac:dyDescent="0.3"/>
    <row r="358" spans="2:2" x14ac:dyDescent="0.25">
      <c r="B358" s="6" t="s">
        <v>135</v>
      </c>
    </row>
    <row r="359" spans="2:2" x14ac:dyDescent="0.25">
      <c r="B359" s="32" t="s">
        <v>54</v>
      </c>
    </row>
    <row r="360" spans="2:2" x14ac:dyDescent="0.25">
      <c r="B360" s="32" t="s">
        <v>481</v>
      </c>
    </row>
    <row r="361" spans="2:2" x14ac:dyDescent="0.25">
      <c r="B361" s="32" t="s">
        <v>56</v>
      </c>
    </row>
    <row r="362" spans="2:2" x14ac:dyDescent="0.25">
      <c r="B362" s="288" t="s">
        <v>58</v>
      </c>
    </row>
    <row r="363" spans="2:2" x14ac:dyDescent="0.25">
      <c r="B363" s="288" t="s">
        <v>389</v>
      </c>
    </row>
    <row r="364" spans="2:2" x14ac:dyDescent="0.25">
      <c r="B364" s="288" t="s">
        <v>390</v>
      </c>
    </row>
    <row r="365" spans="2:2" ht="13.8" thickBot="1" x14ac:dyDescent="0.3">
      <c r="B365" s="33" t="s">
        <v>391</v>
      </c>
    </row>
    <row r="366" spans="2:2" ht="13.8" thickBot="1" x14ac:dyDescent="0.3"/>
    <row r="367" spans="2:2" x14ac:dyDescent="0.25">
      <c r="B367" s="6" t="s">
        <v>136</v>
      </c>
    </row>
    <row r="368" spans="2:2" x14ac:dyDescent="0.25">
      <c r="B368" s="32" t="s">
        <v>137</v>
      </c>
    </row>
    <row r="369" spans="2:3" x14ac:dyDescent="0.25">
      <c r="B369" s="32" t="s">
        <v>323</v>
      </c>
    </row>
    <row r="370" spans="2:3" x14ac:dyDescent="0.25">
      <c r="B370" s="32" t="s">
        <v>60</v>
      </c>
    </row>
    <row r="371" spans="2:3" ht="13.8" thickBot="1" x14ac:dyDescent="0.3">
      <c r="B371" s="33" t="s">
        <v>210</v>
      </c>
      <c r="C371" s="291"/>
    </row>
    <row r="372" spans="2:3" ht="13.8" thickBot="1" x14ac:dyDescent="0.3"/>
    <row r="373" spans="2:3" x14ac:dyDescent="0.25">
      <c r="B373" s="6" t="s">
        <v>138</v>
      </c>
    </row>
    <row r="374" spans="2:3" x14ac:dyDescent="0.25">
      <c r="B374" s="32" t="s">
        <v>139</v>
      </c>
    </row>
    <row r="375" spans="2:3" x14ac:dyDescent="0.25">
      <c r="B375" s="32" t="s">
        <v>317</v>
      </c>
    </row>
    <row r="376" spans="2:3" x14ac:dyDescent="0.25">
      <c r="B376" s="32" t="s">
        <v>70</v>
      </c>
    </row>
    <row r="377" spans="2:3" x14ac:dyDescent="0.25">
      <c r="B377" s="32" t="s">
        <v>161</v>
      </c>
    </row>
    <row r="378" spans="2:3" x14ac:dyDescent="0.25">
      <c r="B378" s="32" t="s">
        <v>1257</v>
      </c>
    </row>
    <row r="379" spans="2:3" x14ac:dyDescent="0.25">
      <c r="B379" s="32" t="s">
        <v>228</v>
      </c>
    </row>
    <row r="380" spans="2:3" x14ac:dyDescent="0.25">
      <c r="B380" s="32" t="s">
        <v>1258</v>
      </c>
    </row>
    <row r="381" spans="2:3" x14ac:dyDescent="0.25">
      <c r="B381" s="32" t="s">
        <v>1113</v>
      </c>
    </row>
    <row r="382" spans="2:3" x14ac:dyDescent="0.25">
      <c r="B382" s="32" t="s">
        <v>140</v>
      </c>
    </row>
    <row r="383" spans="2:3" x14ac:dyDescent="0.25">
      <c r="B383" s="32" t="s">
        <v>141</v>
      </c>
    </row>
    <row r="384" spans="2:3" x14ac:dyDescent="0.25">
      <c r="B384" s="286" t="s">
        <v>1305</v>
      </c>
    </row>
    <row r="385" spans="2:2" x14ac:dyDescent="0.25">
      <c r="B385" s="286" t="s">
        <v>163</v>
      </c>
    </row>
    <row r="386" spans="2:2" x14ac:dyDescent="0.25">
      <c r="B386" s="32" t="s">
        <v>142</v>
      </c>
    </row>
    <row r="387" spans="2:2" x14ac:dyDescent="0.25">
      <c r="B387" s="32" t="s">
        <v>143</v>
      </c>
    </row>
    <row r="388" spans="2:2" x14ac:dyDescent="0.25">
      <c r="B388" s="32" t="s">
        <v>894</v>
      </c>
    </row>
    <row r="389" spans="2:2" x14ac:dyDescent="0.25">
      <c r="B389" s="32" t="s">
        <v>144</v>
      </c>
    </row>
    <row r="390" spans="2:2" x14ac:dyDescent="0.25">
      <c r="B390" s="32" t="s">
        <v>145</v>
      </c>
    </row>
    <row r="391" spans="2:2" x14ac:dyDescent="0.25">
      <c r="B391" s="32" t="s">
        <v>59</v>
      </c>
    </row>
    <row r="392" spans="2:2" x14ac:dyDescent="0.25">
      <c r="B392" s="32" t="s">
        <v>893</v>
      </c>
    </row>
    <row r="393" spans="2:2" x14ac:dyDescent="0.25">
      <c r="B393" s="32" t="s">
        <v>895</v>
      </c>
    </row>
    <row r="394" spans="2:2" x14ac:dyDescent="0.25">
      <c r="B394" s="32" t="s">
        <v>146</v>
      </c>
    </row>
    <row r="395" spans="2:2" x14ac:dyDescent="0.25">
      <c r="B395" s="32" t="s">
        <v>147</v>
      </c>
    </row>
    <row r="396" spans="2:2" x14ac:dyDescent="0.25">
      <c r="B396" s="288" t="s">
        <v>148</v>
      </c>
    </row>
    <row r="397" spans="2:2" ht="13.8" thickBot="1" x14ac:dyDescent="0.3">
      <c r="B397" s="292">
        <v>53</v>
      </c>
    </row>
    <row r="398" spans="2:2" ht="13.8" thickBot="1" x14ac:dyDescent="0.3"/>
    <row r="399" spans="2:2" x14ac:dyDescent="0.25">
      <c r="B399" s="2" t="s">
        <v>154</v>
      </c>
    </row>
    <row r="400" spans="2:2" x14ac:dyDescent="0.25">
      <c r="B400" s="286"/>
    </row>
    <row r="401" spans="2:2" x14ac:dyDescent="0.25">
      <c r="B401" s="286" t="s">
        <v>155</v>
      </c>
    </row>
    <row r="402" spans="2:2" ht="13.8" thickBot="1" x14ac:dyDescent="0.3">
      <c r="B402" s="287" t="s">
        <v>156</v>
      </c>
    </row>
    <row r="403" spans="2:2" ht="13.8" thickBot="1" x14ac:dyDescent="0.3"/>
    <row r="404" spans="2:2" x14ac:dyDescent="0.25">
      <c r="B404" s="2" t="s">
        <v>392</v>
      </c>
    </row>
    <row r="405" spans="2:2" x14ac:dyDescent="0.25">
      <c r="B405" s="286"/>
    </row>
    <row r="406" spans="2:2" ht="13.8" thickBot="1" x14ac:dyDescent="0.3">
      <c r="B406" s="287" t="s">
        <v>393</v>
      </c>
    </row>
    <row r="408" spans="2:2" ht="13.8" thickBot="1" x14ac:dyDescent="0.3"/>
    <row r="409" spans="2:2" x14ac:dyDescent="0.25">
      <c r="B409" s="6" t="s">
        <v>427</v>
      </c>
    </row>
    <row r="410" spans="2:2" x14ac:dyDescent="0.25">
      <c r="B410" s="32" t="s">
        <v>50</v>
      </c>
    </row>
    <row r="411" spans="2:2" ht="13.8" thickBot="1" x14ac:dyDescent="0.3">
      <c r="B411" s="33" t="s">
        <v>52</v>
      </c>
    </row>
    <row r="413" spans="2:2" ht="13.8" thickBot="1" x14ac:dyDescent="0.3"/>
    <row r="414" spans="2:2" x14ac:dyDescent="0.25">
      <c r="B414" s="6" t="s">
        <v>431</v>
      </c>
    </row>
    <row r="415" spans="2:2" x14ac:dyDescent="0.25">
      <c r="B415" s="32" t="s">
        <v>139</v>
      </c>
    </row>
    <row r="416" spans="2:2" x14ac:dyDescent="0.25">
      <c r="B416" s="32" t="s">
        <v>70</v>
      </c>
    </row>
    <row r="417" spans="2:2" x14ac:dyDescent="0.25">
      <c r="B417" s="32" t="s">
        <v>161</v>
      </c>
    </row>
    <row r="418" spans="2:2" x14ac:dyDescent="0.25">
      <c r="B418" s="32" t="s">
        <v>162</v>
      </c>
    </row>
    <row r="419" spans="2:2" x14ac:dyDescent="0.25">
      <c r="B419" s="32" t="s">
        <v>140</v>
      </c>
    </row>
    <row r="420" spans="2:2" x14ac:dyDescent="0.25">
      <c r="B420" s="32" t="s">
        <v>141</v>
      </c>
    </row>
    <row r="421" spans="2:2" x14ac:dyDescent="0.25">
      <c r="B421" s="286" t="s">
        <v>163</v>
      </c>
    </row>
    <row r="422" spans="2:2" x14ac:dyDescent="0.25">
      <c r="B422" s="32" t="s">
        <v>142</v>
      </c>
    </row>
    <row r="423" spans="2:2" x14ac:dyDescent="0.25">
      <c r="B423" s="32" t="s">
        <v>143</v>
      </c>
    </row>
    <row r="424" spans="2:2" x14ac:dyDescent="0.25">
      <c r="B424" s="32" t="s">
        <v>322</v>
      </c>
    </row>
    <row r="425" spans="2:2" x14ac:dyDescent="0.25">
      <c r="B425" s="32" t="s">
        <v>144</v>
      </c>
    </row>
    <row r="426" spans="2:2" x14ac:dyDescent="0.25">
      <c r="B426" s="32" t="s">
        <v>145</v>
      </c>
    </row>
    <row r="427" spans="2:2" x14ac:dyDescent="0.25">
      <c r="B427" s="32" t="s">
        <v>59</v>
      </c>
    </row>
    <row r="428" spans="2:2" x14ac:dyDescent="0.25">
      <c r="B428" s="32" t="s">
        <v>146</v>
      </c>
    </row>
    <row r="429" spans="2:2" x14ac:dyDescent="0.25">
      <c r="B429" s="32" t="s">
        <v>147</v>
      </c>
    </row>
    <row r="430" spans="2:2" ht="13.8" thickBot="1" x14ac:dyDescent="0.3">
      <c r="B430" s="33" t="s">
        <v>148</v>
      </c>
    </row>
    <row r="432" spans="2:2" ht="13.8" thickBot="1" x14ac:dyDescent="0.3"/>
    <row r="433" spans="2:2" x14ac:dyDescent="0.25">
      <c r="B433" s="6" t="s">
        <v>330</v>
      </c>
    </row>
    <row r="434" spans="2:2" x14ac:dyDescent="0.25">
      <c r="B434" s="32"/>
    </row>
    <row r="435" spans="2:2" x14ac:dyDescent="0.25">
      <c r="B435" s="32" t="s">
        <v>389</v>
      </c>
    </row>
    <row r="436" spans="2:2" x14ac:dyDescent="0.25">
      <c r="B436" s="32" t="s">
        <v>304</v>
      </c>
    </row>
    <row r="437" spans="2:2" x14ac:dyDescent="0.25">
      <c r="B437" s="32" t="s">
        <v>305</v>
      </c>
    </row>
    <row r="438" spans="2:2" x14ac:dyDescent="0.25">
      <c r="B438" s="32" t="s">
        <v>55</v>
      </c>
    </row>
    <row r="439" spans="2:2" x14ac:dyDescent="0.25">
      <c r="B439" s="288" t="s">
        <v>306</v>
      </c>
    </row>
    <row r="440" spans="2:2" ht="13.8" thickBot="1" x14ac:dyDescent="0.3">
      <c r="B440" s="33" t="s">
        <v>57</v>
      </c>
    </row>
    <row r="442" spans="2:2" ht="13.8" thickBot="1" x14ac:dyDescent="0.3"/>
    <row r="443" spans="2:2" x14ac:dyDescent="0.25">
      <c r="B443" s="6" t="s">
        <v>398</v>
      </c>
    </row>
    <row r="444" spans="2:2" x14ac:dyDescent="0.25">
      <c r="B444" s="32" t="s">
        <v>304</v>
      </c>
    </row>
    <row r="445" spans="2:2" ht="13.8" thickBot="1" x14ac:dyDescent="0.3">
      <c r="B445" s="33" t="s">
        <v>305</v>
      </c>
    </row>
    <row r="447" spans="2:2" ht="13.8" thickBot="1" x14ac:dyDescent="0.3"/>
    <row r="448" spans="2:2" x14ac:dyDescent="0.25">
      <c r="B448" s="6" t="s">
        <v>399</v>
      </c>
    </row>
    <row r="449" spans="2:2" x14ac:dyDescent="0.25">
      <c r="B449" s="32" t="s">
        <v>400</v>
      </c>
    </row>
    <row r="450" spans="2:2" ht="13.8" thickBot="1" x14ac:dyDescent="0.3">
      <c r="B450" s="33" t="s">
        <v>401</v>
      </c>
    </row>
    <row r="452" spans="2:2" ht="13.8" thickBot="1" x14ac:dyDescent="0.3"/>
    <row r="453" spans="2:2" x14ac:dyDescent="0.25">
      <c r="B453" s="6" t="s">
        <v>5</v>
      </c>
    </row>
    <row r="454" spans="2:2" x14ac:dyDescent="0.25">
      <c r="B454" s="32" t="s">
        <v>6</v>
      </c>
    </row>
    <row r="455" spans="2:2" x14ac:dyDescent="0.25">
      <c r="B455" s="32" t="s">
        <v>865</v>
      </c>
    </row>
    <row r="456" spans="2:2" x14ac:dyDescent="0.25">
      <c r="B456" s="288" t="s">
        <v>7</v>
      </c>
    </row>
    <row r="457" spans="2:2" ht="13.8" thickBot="1" x14ac:dyDescent="0.3">
      <c r="B457" s="33" t="s">
        <v>479</v>
      </c>
    </row>
    <row r="459" spans="2:2" ht="13.8" thickBot="1" x14ac:dyDescent="0.3"/>
    <row r="460" spans="2:2" x14ac:dyDescent="0.25">
      <c r="B460" s="6" t="s">
        <v>866</v>
      </c>
    </row>
    <row r="461" spans="2:2" x14ac:dyDescent="0.25">
      <c r="B461" s="32" t="s">
        <v>6</v>
      </c>
    </row>
    <row r="462" spans="2:2" x14ac:dyDescent="0.25">
      <c r="B462" s="32" t="s">
        <v>863</v>
      </c>
    </row>
    <row r="463" spans="2:2" ht="13.8" thickBot="1" x14ac:dyDescent="0.3">
      <c r="B463" s="33" t="s">
        <v>864</v>
      </c>
    </row>
    <row r="464" spans="2:2" ht="13.8" thickBot="1" x14ac:dyDescent="0.3"/>
    <row r="465" spans="2:2" x14ac:dyDescent="0.25">
      <c r="B465" s="6" t="s">
        <v>867</v>
      </c>
    </row>
    <row r="466" spans="2:2" x14ac:dyDescent="0.25">
      <c r="B466" s="32" t="s">
        <v>6</v>
      </c>
    </row>
    <row r="467" spans="2:2" x14ac:dyDescent="0.25">
      <c r="B467" s="32" t="s">
        <v>8</v>
      </c>
    </row>
    <row r="469" spans="2:2" ht="13.8" thickBot="1" x14ac:dyDescent="0.3"/>
    <row r="470" spans="2:2" x14ac:dyDescent="0.25">
      <c r="B470" s="6" t="s">
        <v>402</v>
      </c>
    </row>
    <row r="471" spans="2:2" x14ac:dyDescent="0.25">
      <c r="B471" s="32" t="s">
        <v>403</v>
      </c>
    </row>
    <row r="472" spans="2:2" x14ac:dyDescent="0.25">
      <c r="B472" s="32" t="s">
        <v>56</v>
      </c>
    </row>
    <row r="473" spans="2:2" x14ac:dyDescent="0.25">
      <c r="B473" s="32" t="s">
        <v>141</v>
      </c>
    </row>
    <row r="474" spans="2:2" ht="13.8" thickBot="1" x14ac:dyDescent="0.3">
      <c r="B474" s="33" t="s">
        <v>70</v>
      </c>
    </row>
    <row r="476" spans="2:2" ht="13.8" thickBot="1" x14ac:dyDescent="0.3"/>
    <row r="477" spans="2:2" x14ac:dyDescent="0.25">
      <c r="B477" s="6" t="s">
        <v>404</v>
      </c>
    </row>
    <row r="478" spans="2:2" x14ac:dyDescent="0.25">
      <c r="B478" s="32"/>
    </row>
    <row r="479" spans="2:2" ht="13.8" thickBot="1" x14ac:dyDescent="0.3">
      <c r="B479" s="33" t="s">
        <v>405</v>
      </c>
    </row>
    <row r="481" spans="1:2" ht="13.8" thickBot="1" x14ac:dyDescent="0.3">
      <c r="A481" s="7"/>
    </row>
    <row r="482" spans="1:2" x14ac:dyDescent="0.25">
      <c r="A482" s="289"/>
      <c r="B482" s="6" t="s">
        <v>41</v>
      </c>
    </row>
    <row r="483" spans="1:2" x14ac:dyDescent="0.25">
      <c r="A483" s="289"/>
      <c r="B483" s="32" t="s">
        <v>561</v>
      </c>
    </row>
    <row r="484" spans="1:2" x14ac:dyDescent="0.25">
      <c r="A484" s="289"/>
      <c r="B484" s="32" t="s">
        <v>562</v>
      </c>
    </row>
    <row r="485" spans="1:2" x14ac:dyDescent="0.25">
      <c r="A485" s="289"/>
      <c r="B485" s="32" t="s">
        <v>563</v>
      </c>
    </row>
    <row r="486" spans="1:2" x14ac:dyDescent="0.25">
      <c r="A486" s="289"/>
      <c r="B486" s="32" t="s">
        <v>564</v>
      </c>
    </row>
    <row r="487" spans="1:2" x14ac:dyDescent="0.25">
      <c r="A487" s="289"/>
      <c r="B487" s="32" t="s">
        <v>565</v>
      </c>
    </row>
    <row r="488" spans="1:2" x14ac:dyDescent="0.25">
      <c r="A488" s="289"/>
      <c r="B488" s="32" t="s">
        <v>566</v>
      </c>
    </row>
    <row r="489" spans="1:2" x14ac:dyDescent="0.25">
      <c r="A489" s="289"/>
      <c r="B489" s="32" t="s">
        <v>567</v>
      </c>
    </row>
    <row r="490" spans="1:2" x14ac:dyDescent="0.25">
      <c r="A490" s="289"/>
      <c r="B490" s="32" t="s">
        <v>568</v>
      </c>
    </row>
    <row r="491" spans="1:2" x14ac:dyDescent="0.25">
      <c r="A491" s="289"/>
      <c r="B491" s="32" t="s">
        <v>569</v>
      </c>
    </row>
    <row r="492" spans="1:2" x14ac:dyDescent="0.25">
      <c r="A492" s="289"/>
      <c r="B492" s="32" t="s">
        <v>570</v>
      </c>
    </row>
    <row r="493" spans="1:2" x14ac:dyDescent="0.25">
      <c r="A493" s="289"/>
      <c r="B493" s="32" t="s">
        <v>571</v>
      </c>
    </row>
    <row r="494" spans="1:2" x14ac:dyDescent="0.25">
      <c r="A494" s="289"/>
      <c r="B494" s="32" t="s">
        <v>572</v>
      </c>
    </row>
    <row r="495" spans="1:2" x14ac:dyDescent="0.25">
      <c r="A495" s="289"/>
      <c r="B495" s="32" t="s">
        <v>573</v>
      </c>
    </row>
    <row r="496" spans="1:2" x14ac:dyDescent="0.25">
      <c r="A496" s="289"/>
      <c r="B496" s="32" t="s">
        <v>574</v>
      </c>
    </row>
    <row r="497" spans="1:2" x14ac:dyDescent="0.25">
      <c r="A497" s="289"/>
      <c r="B497" s="32" t="s">
        <v>575</v>
      </c>
    </row>
    <row r="498" spans="1:2" x14ac:dyDescent="0.25">
      <c r="A498" s="289"/>
      <c r="B498" s="32" t="s">
        <v>576</v>
      </c>
    </row>
    <row r="499" spans="1:2" x14ac:dyDescent="0.25">
      <c r="A499" s="289"/>
      <c r="B499" s="32" t="s">
        <v>577</v>
      </c>
    </row>
    <row r="500" spans="1:2" x14ac:dyDescent="0.25">
      <c r="A500" s="289"/>
      <c r="B500" s="32" t="s">
        <v>578</v>
      </c>
    </row>
    <row r="501" spans="1:2" x14ac:dyDescent="0.25">
      <c r="A501" s="289"/>
      <c r="B501" s="32" t="s">
        <v>579</v>
      </c>
    </row>
    <row r="502" spans="1:2" x14ac:dyDescent="0.25">
      <c r="A502" s="289"/>
      <c r="B502" s="32" t="s">
        <v>580</v>
      </c>
    </row>
    <row r="503" spans="1:2" x14ac:dyDescent="0.25">
      <c r="A503" s="289"/>
      <c r="B503" s="32" t="s">
        <v>581</v>
      </c>
    </row>
    <row r="504" spans="1:2" x14ac:dyDescent="0.25">
      <c r="A504" s="289"/>
      <c r="B504" s="32" t="s">
        <v>582</v>
      </c>
    </row>
    <row r="505" spans="1:2" x14ac:dyDescent="0.25">
      <c r="A505" s="289"/>
      <c r="B505" s="32" t="s">
        <v>583</v>
      </c>
    </row>
    <row r="506" spans="1:2" x14ac:dyDescent="0.25">
      <c r="A506" s="289"/>
      <c r="B506" s="32" t="s">
        <v>584</v>
      </c>
    </row>
    <row r="507" spans="1:2" x14ac:dyDescent="0.25">
      <c r="A507" s="289"/>
      <c r="B507" s="32" t="s">
        <v>585</v>
      </c>
    </row>
    <row r="508" spans="1:2" x14ac:dyDescent="0.25">
      <c r="A508" s="289"/>
      <c r="B508" s="32" t="s">
        <v>586</v>
      </c>
    </row>
    <row r="509" spans="1:2" x14ac:dyDescent="0.25">
      <c r="A509" s="289"/>
      <c r="B509" s="32" t="s">
        <v>587</v>
      </c>
    </row>
    <row r="510" spans="1:2" x14ac:dyDescent="0.25">
      <c r="A510" s="289"/>
      <c r="B510" s="32" t="s">
        <v>588</v>
      </c>
    </row>
    <row r="511" spans="1:2" x14ac:dyDescent="0.25">
      <c r="A511" s="289"/>
      <c r="B511" s="32" t="s">
        <v>589</v>
      </c>
    </row>
    <row r="512" spans="1:2" x14ac:dyDescent="0.25">
      <c r="A512" s="289"/>
      <c r="B512" s="32" t="s">
        <v>590</v>
      </c>
    </row>
    <row r="513" spans="1:2" x14ac:dyDescent="0.25">
      <c r="A513" s="289"/>
      <c r="B513" s="32" t="s">
        <v>591</v>
      </c>
    </row>
    <row r="514" spans="1:2" x14ac:dyDescent="0.25">
      <c r="A514" s="289"/>
      <c r="B514" s="32" t="s">
        <v>592</v>
      </c>
    </row>
    <row r="515" spans="1:2" x14ac:dyDescent="0.25">
      <c r="A515" s="289"/>
      <c r="B515" s="32" t="s">
        <v>593</v>
      </c>
    </row>
    <row r="516" spans="1:2" x14ac:dyDescent="0.25">
      <c r="A516" s="289"/>
      <c r="B516" s="32" t="s">
        <v>594</v>
      </c>
    </row>
    <row r="517" spans="1:2" x14ac:dyDescent="0.25">
      <c r="A517" s="289"/>
      <c r="B517" s="32" t="s">
        <v>595</v>
      </c>
    </row>
    <row r="518" spans="1:2" x14ac:dyDescent="0.25">
      <c r="A518" s="289"/>
      <c r="B518" s="32" t="s">
        <v>596</v>
      </c>
    </row>
    <row r="519" spans="1:2" x14ac:dyDescent="0.25">
      <c r="A519" s="289"/>
      <c r="B519" s="32" t="s">
        <v>597</v>
      </c>
    </row>
    <row r="520" spans="1:2" x14ac:dyDescent="0.25">
      <c r="A520" s="289"/>
      <c r="B520" s="32" t="s">
        <v>598</v>
      </c>
    </row>
    <row r="521" spans="1:2" x14ac:dyDescent="0.25">
      <c r="A521" s="289"/>
      <c r="B521" s="32" t="s">
        <v>599</v>
      </c>
    </row>
    <row r="522" spans="1:2" x14ac:dyDescent="0.25">
      <c r="A522" s="289"/>
      <c r="B522" s="32" t="s">
        <v>600</v>
      </c>
    </row>
    <row r="523" spans="1:2" x14ac:dyDescent="0.25">
      <c r="A523" s="289"/>
      <c r="B523" s="32" t="s">
        <v>601</v>
      </c>
    </row>
    <row r="524" spans="1:2" x14ac:dyDescent="0.25">
      <c r="A524" s="289"/>
      <c r="B524" s="32" t="s">
        <v>602</v>
      </c>
    </row>
    <row r="525" spans="1:2" x14ac:dyDescent="0.25">
      <c r="A525" s="289"/>
      <c r="B525" s="32" t="s">
        <v>603</v>
      </c>
    </row>
    <row r="526" spans="1:2" x14ac:dyDescent="0.25">
      <c r="A526" s="289"/>
      <c r="B526" s="32" t="s">
        <v>704</v>
      </c>
    </row>
    <row r="527" spans="1:2" x14ac:dyDescent="0.25">
      <c r="A527" s="289"/>
      <c r="B527" s="32" t="s">
        <v>604</v>
      </c>
    </row>
    <row r="528" spans="1:2" x14ac:dyDescent="0.25">
      <c r="A528" s="289"/>
      <c r="B528" s="32" t="s">
        <v>605</v>
      </c>
    </row>
    <row r="529" spans="1:2" x14ac:dyDescent="0.25">
      <c r="A529" s="289"/>
      <c r="B529" s="32" t="s">
        <v>606</v>
      </c>
    </row>
    <row r="530" spans="1:2" x14ac:dyDescent="0.25">
      <c r="A530" s="289"/>
      <c r="B530" s="32" t="s">
        <v>607</v>
      </c>
    </row>
    <row r="531" spans="1:2" x14ac:dyDescent="0.25">
      <c r="A531" s="289"/>
      <c r="B531" s="32" t="s">
        <v>608</v>
      </c>
    </row>
    <row r="532" spans="1:2" x14ac:dyDescent="0.25">
      <c r="A532" s="289"/>
      <c r="B532" s="32" t="s">
        <v>609</v>
      </c>
    </row>
    <row r="533" spans="1:2" x14ac:dyDescent="0.25">
      <c r="A533" s="289"/>
      <c r="B533" s="32" t="s">
        <v>610</v>
      </c>
    </row>
    <row r="534" spans="1:2" x14ac:dyDescent="0.25">
      <c r="A534" s="289"/>
      <c r="B534" s="32" t="s">
        <v>611</v>
      </c>
    </row>
    <row r="535" spans="1:2" x14ac:dyDescent="0.25">
      <c r="A535" s="289"/>
      <c r="B535" s="32" t="s">
        <v>612</v>
      </c>
    </row>
    <row r="536" spans="1:2" x14ac:dyDescent="0.25">
      <c r="A536" s="289"/>
      <c r="B536" s="32" t="s">
        <v>613</v>
      </c>
    </row>
    <row r="537" spans="1:2" x14ac:dyDescent="0.25">
      <c r="A537" s="289"/>
      <c r="B537" s="32" t="s">
        <v>614</v>
      </c>
    </row>
    <row r="538" spans="1:2" x14ac:dyDescent="0.25">
      <c r="A538" s="289"/>
      <c r="B538" s="32" t="s">
        <v>615</v>
      </c>
    </row>
    <row r="539" spans="1:2" x14ac:dyDescent="0.25">
      <c r="A539" s="289"/>
      <c r="B539" s="32" t="s">
        <v>616</v>
      </c>
    </row>
    <row r="540" spans="1:2" x14ac:dyDescent="0.25">
      <c r="A540" s="289"/>
      <c r="B540" s="32" t="s">
        <v>617</v>
      </c>
    </row>
    <row r="541" spans="1:2" x14ac:dyDescent="0.25">
      <c r="A541" s="289"/>
      <c r="B541" s="32" t="s">
        <v>618</v>
      </c>
    </row>
    <row r="542" spans="1:2" x14ac:dyDescent="0.25">
      <c r="A542" s="289"/>
      <c r="B542" s="32" t="s">
        <v>619</v>
      </c>
    </row>
    <row r="543" spans="1:2" x14ac:dyDescent="0.25">
      <c r="A543" s="289"/>
      <c r="B543" s="32" t="s">
        <v>620</v>
      </c>
    </row>
    <row r="544" spans="1:2" x14ac:dyDescent="0.25">
      <c r="A544" s="289"/>
      <c r="B544" s="32" t="s">
        <v>621</v>
      </c>
    </row>
    <row r="545" spans="1:2" x14ac:dyDescent="0.25">
      <c r="A545" s="289"/>
      <c r="B545" s="32" t="s">
        <v>622</v>
      </c>
    </row>
    <row r="546" spans="1:2" x14ac:dyDescent="0.25">
      <c r="A546" s="289"/>
      <c r="B546" s="32" t="s">
        <v>623</v>
      </c>
    </row>
    <row r="547" spans="1:2" x14ac:dyDescent="0.25">
      <c r="A547" s="289"/>
      <c r="B547" s="32" t="s">
        <v>624</v>
      </c>
    </row>
    <row r="548" spans="1:2" x14ac:dyDescent="0.25">
      <c r="A548" s="289"/>
      <c r="B548" s="32" t="s">
        <v>625</v>
      </c>
    </row>
    <row r="549" spans="1:2" x14ac:dyDescent="0.25">
      <c r="A549" s="289"/>
      <c r="B549" s="32" t="s">
        <v>626</v>
      </c>
    </row>
    <row r="550" spans="1:2" x14ac:dyDescent="0.25">
      <c r="A550" s="289"/>
      <c r="B550" s="32" t="s">
        <v>627</v>
      </c>
    </row>
    <row r="551" spans="1:2" x14ac:dyDescent="0.25">
      <c r="A551" s="289"/>
      <c r="B551" s="32" t="s">
        <v>628</v>
      </c>
    </row>
    <row r="552" spans="1:2" x14ac:dyDescent="0.25">
      <c r="A552" s="289"/>
      <c r="B552" s="32" t="s">
        <v>629</v>
      </c>
    </row>
    <row r="553" spans="1:2" x14ac:dyDescent="0.25">
      <c r="A553" s="289"/>
      <c r="B553" s="32" t="s">
        <v>630</v>
      </c>
    </row>
    <row r="554" spans="1:2" x14ac:dyDescent="0.25">
      <c r="A554" s="289"/>
      <c r="B554" s="32" t="s">
        <v>631</v>
      </c>
    </row>
    <row r="555" spans="1:2" x14ac:dyDescent="0.25">
      <c r="A555" s="289"/>
      <c r="B555" s="32" t="s">
        <v>632</v>
      </c>
    </row>
    <row r="556" spans="1:2" x14ac:dyDescent="0.25">
      <c r="A556" s="289"/>
      <c r="B556" s="32" t="s">
        <v>633</v>
      </c>
    </row>
    <row r="557" spans="1:2" x14ac:dyDescent="0.25">
      <c r="A557" s="289"/>
      <c r="B557" s="32" t="s">
        <v>634</v>
      </c>
    </row>
    <row r="558" spans="1:2" x14ac:dyDescent="0.25">
      <c r="A558" s="289"/>
      <c r="B558" s="32" t="s">
        <v>701</v>
      </c>
    </row>
    <row r="559" spans="1:2" x14ac:dyDescent="0.25">
      <c r="A559" s="289"/>
      <c r="B559" s="32" t="s">
        <v>635</v>
      </c>
    </row>
    <row r="560" spans="1:2" x14ac:dyDescent="0.25">
      <c r="A560" s="289"/>
      <c r="B560" s="32" t="s">
        <v>636</v>
      </c>
    </row>
    <row r="561" spans="1:2" x14ac:dyDescent="0.25">
      <c r="A561" s="289"/>
      <c r="B561" s="32" t="s">
        <v>637</v>
      </c>
    </row>
    <row r="562" spans="1:2" x14ac:dyDescent="0.25">
      <c r="A562" s="289"/>
      <c r="B562" s="32" t="s">
        <v>638</v>
      </c>
    </row>
    <row r="563" spans="1:2" x14ac:dyDescent="0.25">
      <c r="A563" s="289"/>
      <c r="B563" s="32" t="s">
        <v>639</v>
      </c>
    </row>
    <row r="564" spans="1:2" x14ac:dyDescent="0.25">
      <c r="A564" s="289"/>
      <c r="B564" s="32" t="s">
        <v>640</v>
      </c>
    </row>
    <row r="565" spans="1:2" x14ac:dyDescent="0.25">
      <c r="A565" s="289"/>
      <c r="B565" s="32" t="s">
        <v>641</v>
      </c>
    </row>
    <row r="566" spans="1:2" x14ac:dyDescent="0.25">
      <c r="A566" s="289"/>
      <c r="B566" s="32" t="s">
        <v>642</v>
      </c>
    </row>
    <row r="567" spans="1:2" x14ac:dyDescent="0.25">
      <c r="A567" s="289"/>
      <c r="B567" s="32" t="s">
        <v>643</v>
      </c>
    </row>
    <row r="568" spans="1:2" x14ac:dyDescent="0.25">
      <c r="A568" s="289"/>
      <c r="B568" s="32" t="s">
        <v>707</v>
      </c>
    </row>
    <row r="569" spans="1:2" x14ac:dyDescent="0.25">
      <c r="A569" s="289"/>
      <c r="B569" s="32" t="s">
        <v>644</v>
      </c>
    </row>
    <row r="570" spans="1:2" x14ac:dyDescent="0.25">
      <c r="A570" s="289"/>
      <c r="B570" s="32" t="s">
        <v>645</v>
      </c>
    </row>
    <row r="571" spans="1:2" x14ac:dyDescent="0.25">
      <c r="A571" s="289"/>
      <c r="B571" s="32" t="s">
        <v>646</v>
      </c>
    </row>
    <row r="572" spans="1:2" x14ac:dyDescent="0.25">
      <c r="A572" s="289"/>
      <c r="B572" s="32" t="s">
        <v>647</v>
      </c>
    </row>
    <row r="573" spans="1:2" x14ac:dyDescent="0.25">
      <c r="A573" s="289"/>
      <c r="B573" s="32" t="s">
        <v>648</v>
      </c>
    </row>
    <row r="574" spans="1:2" x14ac:dyDescent="0.25">
      <c r="A574" s="289"/>
      <c r="B574" s="32" t="s">
        <v>649</v>
      </c>
    </row>
    <row r="575" spans="1:2" x14ac:dyDescent="0.25">
      <c r="A575" s="289"/>
      <c r="B575" s="32" t="s">
        <v>650</v>
      </c>
    </row>
    <row r="576" spans="1:2" x14ac:dyDescent="0.25">
      <c r="A576" s="289"/>
      <c r="B576" s="32" t="s">
        <v>651</v>
      </c>
    </row>
    <row r="577" spans="1:2" x14ac:dyDescent="0.25">
      <c r="A577" s="289"/>
      <c r="B577" s="32" t="s">
        <v>652</v>
      </c>
    </row>
    <row r="578" spans="1:2" x14ac:dyDescent="0.25">
      <c r="A578" s="289"/>
      <c r="B578" s="32" t="s">
        <v>653</v>
      </c>
    </row>
    <row r="579" spans="1:2" x14ac:dyDescent="0.25">
      <c r="A579" s="289"/>
      <c r="B579" s="32" t="s">
        <v>654</v>
      </c>
    </row>
    <row r="580" spans="1:2" x14ac:dyDescent="0.25">
      <c r="A580" s="289"/>
      <c r="B580" s="32" t="s">
        <v>655</v>
      </c>
    </row>
    <row r="581" spans="1:2" x14ac:dyDescent="0.25">
      <c r="A581" s="289"/>
      <c r="B581" s="32" t="s">
        <v>700</v>
      </c>
    </row>
    <row r="582" spans="1:2" x14ac:dyDescent="0.25">
      <c r="A582" s="289"/>
      <c r="B582" s="32" t="s">
        <v>702</v>
      </c>
    </row>
    <row r="583" spans="1:2" x14ac:dyDescent="0.25">
      <c r="A583" s="289"/>
      <c r="B583" s="32" t="s">
        <v>656</v>
      </c>
    </row>
    <row r="584" spans="1:2" x14ac:dyDescent="0.25">
      <c r="A584" s="289"/>
      <c r="B584" s="32" t="s">
        <v>668</v>
      </c>
    </row>
    <row r="585" spans="1:2" x14ac:dyDescent="0.25">
      <c r="A585" s="289"/>
      <c r="B585" s="32" t="s">
        <v>669</v>
      </c>
    </row>
    <row r="586" spans="1:2" x14ac:dyDescent="0.25">
      <c r="A586" s="289"/>
      <c r="B586" s="32" t="s">
        <v>670</v>
      </c>
    </row>
    <row r="587" spans="1:2" x14ac:dyDescent="0.25">
      <c r="A587" s="289"/>
      <c r="B587" s="32" t="s">
        <v>705</v>
      </c>
    </row>
    <row r="588" spans="1:2" x14ac:dyDescent="0.25">
      <c r="A588" s="289"/>
      <c r="B588" s="32" t="s">
        <v>671</v>
      </c>
    </row>
    <row r="589" spans="1:2" x14ac:dyDescent="0.25">
      <c r="A589" s="289"/>
      <c r="B589" s="32" t="s">
        <v>672</v>
      </c>
    </row>
    <row r="590" spans="1:2" x14ac:dyDescent="0.25">
      <c r="A590" s="289"/>
      <c r="B590" s="32" t="s">
        <v>673</v>
      </c>
    </row>
    <row r="591" spans="1:2" x14ac:dyDescent="0.25">
      <c r="A591" s="289"/>
      <c r="B591" s="32" t="s">
        <v>674</v>
      </c>
    </row>
    <row r="592" spans="1:2" x14ac:dyDescent="0.25">
      <c r="A592" s="289"/>
      <c r="B592" s="32" t="s">
        <v>706</v>
      </c>
    </row>
    <row r="593" spans="1:2" x14ac:dyDescent="0.25">
      <c r="A593" s="289"/>
      <c r="B593" s="32" t="s">
        <v>675</v>
      </c>
    </row>
    <row r="594" spans="1:2" x14ac:dyDescent="0.25">
      <c r="A594" s="289"/>
      <c r="B594" s="32" t="s">
        <v>676</v>
      </c>
    </row>
    <row r="595" spans="1:2" x14ac:dyDescent="0.25">
      <c r="A595" s="289"/>
      <c r="B595" s="32" t="s">
        <v>677</v>
      </c>
    </row>
    <row r="596" spans="1:2" x14ac:dyDescent="0.25">
      <c r="A596" s="289"/>
      <c r="B596" s="32" t="s">
        <v>678</v>
      </c>
    </row>
    <row r="597" spans="1:2" x14ac:dyDescent="0.25">
      <c r="A597" s="289"/>
      <c r="B597" s="32" t="s">
        <v>679</v>
      </c>
    </row>
    <row r="598" spans="1:2" x14ac:dyDescent="0.25">
      <c r="A598" s="289"/>
      <c r="B598" s="32" t="s">
        <v>680</v>
      </c>
    </row>
    <row r="599" spans="1:2" x14ac:dyDescent="0.25">
      <c r="A599" s="289"/>
      <c r="B599" s="32" t="s">
        <v>699</v>
      </c>
    </row>
    <row r="600" spans="1:2" x14ac:dyDescent="0.25">
      <c r="A600" s="289"/>
      <c r="B600" s="32" t="s">
        <v>681</v>
      </c>
    </row>
    <row r="601" spans="1:2" x14ac:dyDescent="0.25">
      <c r="A601" s="289"/>
      <c r="B601" s="32" t="s">
        <v>682</v>
      </c>
    </row>
    <row r="602" spans="1:2" x14ac:dyDescent="0.25">
      <c r="A602" s="289"/>
      <c r="B602" s="32" t="s">
        <v>683</v>
      </c>
    </row>
    <row r="603" spans="1:2" x14ac:dyDescent="0.25">
      <c r="A603" s="289"/>
      <c r="B603" s="32" t="s">
        <v>684</v>
      </c>
    </row>
    <row r="604" spans="1:2" x14ac:dyDescent="0.25">
      <c r="A604" s="289"/>
      <c r="B604" s="32" t="s">
        <v>685</v>
      </c>
    </row>
    <row r="605" spans="1:2" x14ac:dyDescent="0.25">
      <c r="A605" s="289"/>
      <c r="B605" s="32" t="s">
        <v>686</v>
      </c>
    </row>
    <row r="606" spans="1:2" x14ac:dyDescent="0.25">
      <c r="A606" s="289"/>
      <c r="B606" s="32" t="s">
        <v>687</v>
      </c>
    </row>
    <row r="607" spans="1:2" x14ac:dyDescent="0.25">
      <c r="A607" s="289"/>
      <c r="B607" s="32" t="s">
        <v>688</v>
      </c>
    </row>
    <row r="608" spans="1:2" x14ac:dyDescent="0.25">
      <c r="A608" s="289"/>
      <c r="B608" s="32" t="s">
        <v>703</v>
      </c>
    </row>
    <row r="609" spans="1:2" x14ac:dyDescent="0.25">
      <c r="A609" s="289"/>
      <c r="B609" s="32" t="s">
        <v>689</v>
      </c>
    </row>
    <row r="610" spans="1:2" x14ac:dyDescent="0.25">
      <c r="A610" s="289"/>
      <c r="B610" s="32" t="s">
        <v>690</v>
      </c>
    </row>
    <row r="611" spans="1:2" x14ac:dyDescent="0.25">
      <c r="A611" s="289"/>
      <c r="B611" s="32" t="s">
        <v>691</v>
      </c>
    </row>
    <row r="612" spans="1:2" x14ac:dyDescent="0.25">
      <c r="A612" s="289"/>
      <c r="B612" s="32" t="s">
        <v>692</v>
      </c>
    </row>
    <row r="613" spans="1:2" x14ac:dyDescent="0.25">
      <c r="A613" s="289"/>
      <c r="B613" s="32" t="s">
        <v>693</v>
      </c>
    </row>
    <row r="614" spans="1:2" x14ac:dyDescent="0.25">
      <c r="A614" s="289"/>
      <c r="B614" s="32" t="s">
        <v>694</v>
      </c>
    </row>
    <row r="615" spans="1:2" x14ac:dyDescent="0.25">
      <c r="A615" s="289"/>
      <c r="B615" s="32" t="s">
        <v>695</v>
      </c>
    </row>
    <row r="616" spans="1:2" x14ac:dyDescent="0.25">
      <c r="A616" s="289"/>
      <c r="B616" s="32" t="s">
        <v>696</v>
      </c>
    </row>
    <row r="617" spans="1:2" x14ac:dyDescent="0.25">
      <c r="A617" s="289"/>
      <c r="B617" s="32" t="s">
        <v>697</v>
      </c>
    </row>
    <row r="618" spans="1:2" ht="13.8" thickBot="1" x14ac:dyDescent="0.3">
      <c r="B618" s="33" t="s">
        <v>698</v>
      </c>
    </row>
  </sheetData>
  <sheetProtection formatCells="0" formatColumns="0" formatRows="0" insertColumns="0" insertRows="0" deleteColumns="0" deleteRows="0" sort="0" autoFilter="0"/>
  <sortState xmlns:xlrd2="http://schemas.microsoft.com/office/spreadsheetml/2017/richdata2" ref="A3:H229">
    <sortCondition ref="A3:A229"/>
  </sortState>
  <mergeCells count="1">
    <mergeCell ref="A2:C2"/>
  </mergeCells>
  <phoneticPr fontId="3" type="noConversion"/>
  <pageMargins left="0.25" right="0.25" top="0.25" bottom="0.25" header="0.4921259845" footer="0.4921259845"/>
  <pageSetup paperSize="9" scale="63"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0"/>
  <dimension ref="A1:C1"/>
  <sheetViews>
    <sheetView zoomScaleNormal="100" workbookViewId="0">
      <selection sqref="A1:C1"/>
    </sheetView>
  </sheetViews>
  <sheetFormatPr defaultColWidth="8.88671875" defaultRowHeight="13.2" x14ac:dyDescent="0.25"/>
  <cols>
    <col min="1" max="1" width="17.5546875" style="15" bestFit="1" customWidth="1"/>
    <col min="2" max="2" width="8.88671875" style="15"/>
    <col min="3" max="3" width="20.88671875" style="15" customWidth="1"/>
    <col min="4" max="16384" width="8.88671875" style="15"/>
  </cols>
  <sheetData>
    <row r="1" spans="1:3" ht="40.5" customHeight="1" thickBot="1" x14ac:dyDescent="0.3">
      <c r="A1" s="671" t="s">
        <v>860</v>
      </c>
      <c r="B1" s="672"/>
      <c r="C1" s="673"/>
    </row>
  </sheetData>
  <sheetProtection formatCells="0" formatColumns="0" formatRows="0" insertColumns="0" insertRows="0" deleteColumns="0" deleteRows="0" sort="0" autoFilter="0"/>
  <mergeCells count="1">
    <mergeCell ref="A1:C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ompany xmlns="http://schemas.microsoft.com/sharepoint/v3">PRIME FREIGHT LOGISTICS</Company>
    <sigonfile xmlns="37aa5685-f18a-4c16-8b74-a7d5b1a2ecd4">No</sigonfile>
    <concomments xmlns="37aa5685-f18a-4c16-8b74-a7d5b1a2ecd4">Contract Managed By PAC NVO HO
SOF ON FILE</concomments>
    <amdnum xmlns="37aa5685-f18a-4c16-8b74-a7d5b1a2ecd4">58</amdnum>
    <conversionstatus xmlns="37aa5685-f18a-4c16-8b74-a7d5b1a2ecd4">Not Started</conversionstatus>
    <shippertype xmlns="37aa5685-f18a-4c16-8b74-a7d5b1a2ecd4">NVO</shippertype>
    <comcomments xmlns="37aa5685-f18a-4c16-8b74-a7d5b1a2ecd4" xsi:nil="true"/>
    <contexpires xmlns="37aa5685-f18a-4c16-8b74-a7d5b1a2ecd4">2025-12-31T05:00:00+00:00</contexpires>
    <uploadsts xmlns="37aa5685-f18a-4c16-8b74-a7d5b1a2ecd4">Upload Queue</uploadsts>
    <exempt xmlns="37aa5685-f18a-4c16-8b74-a7d5b1a2ecd4">No</exempt>
    <custtemp xmlns="37aa5685-f18a-4c16-8b74-a7d5b1a2ecd4">No</custtemp>
    <contractstatus xmlns="37aa5685-f18a-4c16-8b74-a7d5b1a2ecd4">In Progress</contractstatus>
    <amdeffdate xmlns="37aa5685-f18a-4c16-8b74-a7d5b1a2ecd4">2025-11-13T05:00:00+00:00</amdeffdate>
    <UploadPriority xmlns="37aa5685-f18a-4c16-8b74-a7d5b1a2ecd4">Normal</UploadPriority>
    <Contract_x0020_Priority xmlns="37aa5685-f18a-4c16-8b74-a7d5b1a2ecd4">No</Contract_x0020_Priority>
    <contractnum xmlns="37aa5685-f18a-4c16-8b74-a7d5b1a2ecd4">25-3117</contractnum>
    <_dlc_DocIdPersistId xmlns="37aa5685-f18a-4c16-8b74-a7d5b1a2ecd4" xsi:nil="true"/>
    <assignedTo xmlns="37aa5685-f18a-4c16-8b74-a7d5b1a2ecd4">Contracts</assignedTo>
    <CBP xmlns="37aa5685-f18a-4c16-8b74-a7d5b1a2ecd4">
      <Value>No</Value>
    </CBP>
    <_dlc_DocIdUrl xmlns="37aa5685-f18a-4c16-8b74-a7d5b1a2ecd4">
      <Url>https://cmacgmgroup.sharepoint.com/sites/CMA-USServiceContracts/_layouts/15/DocIdRedir.aspx?ID=22D7XX4S4YUE-1543857681-42283</Url>
      <Description>22D7XX4S4YUE-1543857681-42283</Description>
    </_dlc_DocIdUrl>
    <_dlc_DocId xmlns="37aa5685-f18a-4c16-8b74-a7d5b1a2ecd4">22D7XX4S4YUE-1543857681-42283</_dlc_DocId>
    <Center xmlns="37aa5685-f18a-4c16-8b74-a7d5b1a2ecd4">Manila</Center>
    <Amend_x0020_Ready xmlns="e446afe2-ed2a-40ba-8ba2-c0b30cc49f0e">Not Ready</Amend_x0020_Ready>
    <doc1605 xmlns="e446afe2-ed2a-40ba-8ba2-c0b30cc49f0e">Yes</doc1605>
    <agreedate xmlns="e446afe2-ed2a-40ba-8ba2-c0b30cc49f0e">2025-11-13T05:00:00+00:00</agreedate>
  </documentManagement>
</p:properties>
</file>

<file path=customXml/item2.xml><?xml version="1.0" encoding="utf-8"?>
<ct:contentTypeSchema xmlns:ct="http://schemas.microsoft.com/office/2006/metadata/contentType" xmlns:ma="http://schemas.microsoft.com/office/2006/metadata/properties/metaAttributes" ct:_="" ma:_="" ma:contentTypeName="NON EXEMPT" ma:contentTypeID="0x010100AABFEC26EA562D45AF04FDB06D002D64003DBFCE8280B6C64B8E36F022FE550870" ma:contentTypeVersion="37" ma:contentTypeDescription="No file available - Go to Proposals" ma:contentTypeScope="" ma:versionID="5909cf1189564950712fa78343330f8a">
  <xsd:schema xmlns:xsd="http://www.w3.org/2001/XMLSchema" xmlns:xs="http://www.w3.org/2001/XMLSchema" xmlns:p="http://schemas.microsoft.com/office/2006/metadata/properties" xmlns:ns1="37aa5685-f18a-4c16-8b74-a7d5b1a2ecd4" xmlns:ns2="http://schemas.microsoft.com/sharepoint/v3" xmlns:ns3="e446afe2-ed2a-40ba-8ba2-c0b30cc49f0e" targetNamespace="http://schemas.microsoft.com/office/2006/metadata/properties" ma:root="true" ma:fieldsID="dc1c7c6e825996e92b1e4f976e7a7b55" ns1:_="" ns2:_="" ns3:_="">
    <xsd:import namespace="37aa5685-f18a-4c16-8b74-a7d5b1a2ecd4"/>
    <xsd:import namespace="http://schemas.microsoft.com/sharepoint/v3"/>
    <xsd:import namespace="e446afe2-ed2a-40ba-8ba2-c0b30cc49f0e"/>
    <xsd:element name="properties">
      <xsd:complexType>
        <xsd:sequence>
          <xsd:element name="documentManagement">
            <xsd:complexType>
              <xsd:all>
                <xsd:element ref="ns1:custtemp"/>
                <xsd:element ref="ns1:CBP" minOccurs="0"/>
                <xsd:element ref="ns1:assignedTo" minOccurs="0"/>
                <xsd:element ref="ns1:contractstatus" minOccurs="0"/>
                <xsd:element ref="ns1:contractnum" minOccurs="0"/>
                <xsd:element ref="ns1:amdnum" minOccurs="0"/>
                <xsd:element ref="ns1:amdeffdate" minOccurs="0"/>
                <xsd:element ref="ns1:shippertype"/>
                <xsd:element ref="ns2:Company" minOccurs="0"/>
                <xsd:element ref="ns1:comcomments" minOccurs="0"/>
                <xsd:element ref="ns1:contexpires"/>
                <xsd:element ref="ns1:sigonfile" minOccurs="0"/>
                <xsd:element ref="ns1:exempt" minOccurs="0"/>
                <xsd:element ref="ns1:concomments" minOccurs="0"/>
                <xsd:element ref="ns3:doc1605" minOccurs="0"/>
                <xsd:element ref="ns3:agreedate" minOccurs="0"/>
                <xsd:element ref="ns1:UploadPriority" minOccurs="0"/>
                <xsd:element ref="ns1:uploadsts" minOccurs="0"/>
                <xsd:element ref="ns1:conversionstatus" minOccurs="0"/>
                <xsd:element ref="ns1:Contract_x0020_Priority" minOccurs="0"/>
                <xsd:element ref="ns3:Amend_x0020_Ready" minOccurs="0"/>
                <xsd:element ref="ns1:Center" minOccurs="0"/>
                <xsd:element ref="ns1:_dlc_DocIdUrl" minOccurs="0"/>
                <xsd:element ref="ns1:_dlc_DocId" minOccurs="0"/>
                <xsd:element ref="ns1:_dlc_DocIdPersistId" minOccurs="0"/>
                <xsd:element ref="ns3:MediaServiceMetadata" minOccurs="0"/>
                <xsd:element ref="ns3:MediaServiceFastMetadata" minOccurs="0"/>
                <xsd:element ref="ns3:MediaServiceAutoKeyPoints" minOccurs="0"/>
                <xsd:element ref="ns3:MediaServiceKeyPoints" minOccurs="0"/>
                <xsd:element ref="ns1:SharedWithUsers" minOccurs="0"/>
                <xsd:element ref="ns1:SharedWithDetail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aa5685-f18a-4c16-8b74-a7d5b1a2ecd4" elementFormDefault="qualified">
    <xsd:import namespace="http://schemas.microsoft.com/office/2006/documentManagement/types"/>
    <xsd:import namespace="http://schemas.microsoft.com/office/infopath/2007/PartnerControls"/>
    <xsd:element name="custtemp" ma:index="0" ma:displayName="Cust. Template" ma:format="Dropdown" ma:indexed="true" ma:internalName="custtemp" ma:readOnly="false">
      <xsd:simpleType>
        <xsd:restriction base="dms:Choice">
          <xsd:enumeration value="No"/>
          <xsd:enumeration value="Yes"/>
        </xsd:restriction>
      </xsd:simpleType>
    </xsd:element>
    <xsd:element name="CBP" ma:index="1" nillable="true" ma:displayName="CBP" ma:default="No" ma:description="If Customer Boilerplate or Modified CMA CGM Boilerplate, select Yes." ma:internalName="CBP" ma:readOnly="false">
      <xsd:complexType>
        <xsd:complexContent>
          <xsd:extension base="dms:MultiChoice">
            <xsd:sequence>
              <xsd:element name="Value" maxOccurs="unbounded" minOccurs="0" nillable="true">
                <xsd:simpleType>
                  <xsd:restriction base="dms:Choice">
                    <xsd:enumeration value="No"/>
                    <xsd:enumeration value="Yes"/>
                  </xsd:restriction>
                </xsd:simpleType>
              </xsd:element>
            </xsd:sequence>
          </xsd:extension>
        </xsd:complexContent>
      </xsd:complexType>
    </xsd:element>
    <xsd:element name="assignedTo" ma:index="2" nillable="true" ma:displayName="AssignedTo" ma:default="Commercial" ma:format="Dropdown" ma:internalName="assignedTo_8e981c91_x002d_64af_x002d_413d_x002d_958b_x002d_8f203ee4e0da" ma:readOnly="false">
      <xsd:simpleType>
        <xsd:restriction base="dms:Choice">
          <xsd:enumeration value="Commercial"/>
          <xsd:enumeration value="Contracts"/>
          <xsd:enumeration value="Conversion"/>
          <xsd:enumeration value="Upload"/>
        </xsd:restriction>
      </xsd:simpleType>
    </xsd:element>
    <xsd:element name="contractstatus" ma:index="3" nillable="true" ma:displayName="Contract Status" ma:default="In Progress" ma:format="Dropdown" ma:indexed="true" ma:internalName="contractstatus" ma:readOnly="false">
      <xsd:simpleType>
        <xsd:restriction base="dms:Choice">
          <xsd:enumeration value="In Progress"/>
          <xsd:enumeration value="Pending Sales"/>
          <xsd:enumeration value="Pending Trade"/>
          <xsd:enumeration value="Contract Compliance"/>
          <xsd:enumeration value="Review Problem"/>
          <xsd:enumeration value="Sent For Signature"/>
          <xsd:enumeration value="SFS-Reminder 1"/>
          <xsd:enumeration value="SFS-Reminder 2"/>
          <xsd:enumeration value="Signed/Sent"/>
          <xsd:enumeration value="Filed"/>
          <xsd:enumeration value="Staged"/>
          <xsd:enumeration value="Tariff GRIP"/>
        </xsd:restriction>
      </xsd:simpleType>
    </xsd:element>
    <xsd:element name="contractnum" ma:index="4" nillable="true" ma:displayName="Contract#" ma:indexed="true" ma:internalName="contractnum" ma:readOnly="false">
      <xsd:simpleType>
        <xsd:restriction base="dms:Text">
          <xsd:maxLength value="12"/>
        </xsd:restriction>
      </xsd:simpleType>
    </xsd:element>
    <xsd:element name="amdnum" ma:index="5" nillable="true" ma:displayName="Amend#" ma:decimals="0" ma:internalName="amdnum" ma:readOnly="false" ma:percentage="FALSE">
      <xsd:simpleType>
        <xsd:restriction base="dms:Number"/>
      </xsd:simpleType>
    </xsd:element>
    <xsd:element name="amdeffdate" ma:index="6" nillable="true" ma:displayName="Amd Eff Date" ma:format="DateOnly" ma:internalName="amdeffdate" ma:readOnly="false">
      <xsd:simpleType>
        <xsd:restriction base="dms:DateTime"/>
      </xsd:simpleType>
    </xsd:element>
    <xsd:element name="shippertype" ma:index="7" ma:displayName="Customer Type" ma:format="Dropdown" ma:indexed="true" ma:internalName="shippertype" ma:readOnly="false">
      <xsd:simpleType>
        <xsd:restriction base="dms:Choice">
          <xsd:enumeration value="BCO"/>
          <xsd:enumeration value="NVO"/>
          <xsd:enumeration value="SA"/>
          <xsd:enumeration value="STRAT"/>
        </xsd:restriction>
      </xsd:simpleType>
    </xsd:element>
    <xsd:element name="comcomments" ma:index="10" nillable="true" ma:displayName="Commercial Comments" ma:internalName="comcomments" ma:readOnly="false">
      <xsd:simpleType>
        <xsd:restriction base="dms:Note">
          <xsd:maxLength value="255"/>
        </xsd:restriction>
      </xsd:simpleType>
    </xsd:element>
    <xsd:element name="contexpires" ma:index="11" ma:displayName="Contract Exp" ma:format="DateOnly" ma:indexed="true" ma:internalName="contexpires" ma:readOnly="false">
      <xsd:simpleType>
        <xsd:restriction base="dms:DateTime"/>
      </xsd:simpleType>
    </xsd:element>
    <xsd:element name="sigonfile" ma:index="12" nillable="true" ma:displayName="E-Sig On File" ma:default="No" ma:format="Dropdown" ma:indexed="true" ma:internalName="sigonfile" ma:readOnly="false">
      <xsd:simpleType>
        <xsd:restriction base="dms:Choice">
          <xsd:enumeration value="No"/>
          <xsd:enumeration value="Yes"/>
        </xsd:restriction>
      </xsd:simpleType>
    </xsd:element>
    <xsd:element name="exempt" ma:index="13" nillable="true" ma:displayName="Exempt Only" ma:default="No" ma:format="Dropdown" ma:internalName="exempt" ma:readOnly="false">
      <xsd:simpleType>
        <xsd:restriction base="dms:Choice">
          <xsd:enumeration value="No"/>
          <xsd:enumeration value="Yes-Sig Req"/>
          <xsd:enumeration value="Yes-Sig Not Req"/>
        </xsd:restriction>
      </xsd:simpleType>
    </xsd:element>
    <xsd:element name="concomments" ma:index="14" nillable="true" ma:displayName="Contracts Comments" ma:internalName="concomments" ma:readOnly="false">
      <xsd:simpleType>
        <xsd:restriction base="dms:Note">
          <xsd:maxLength value="255"/>
        </xsd:restriction>
      </xsd:simpleType>
    </xsd:element>
    <xsd:element name="UploadPriority" ma:index="17" nillable="true" ma:displayName="Upload Priority" ma:default="Normal" ma:description="“Contracts Dept Use Only”" ma:format="Dropdown" ma:internalName="UploadPriority" ma:readOnly="false">
      <xsd:simpleType>
        <xsd:restriction base="dms:Choice">
          <xsd:enumeration value="Normal"/>
          <xsd:enumeration value="Urgent Upload"/>
        </xsd:restriction>
      </xsd:simpleType>
    </xsd:element>
    <xsd:element name="uploadsts" ma:index="18" nillable="true" ma:displayName="Upload Status" ma:default="Upload Queue" ma:format="Dropdown" ma:internalName="uploadsts" ma:readOnly="false">
      <xsd:simpleType>
        <xsd:restriction base="dms:Choice">
          <xsd:enumeration value="Upload Queue"/>
          <xsd:enumeration value="Upload Working"/>
          <xsd:enumeration value="Sent to Sunopsis"/>
          <xsd:enumeration value="Upload Issue/Delay"/>
          <xsd:enumeration value="Complete"/>
          <xsd:enumeration value="Complete/Modified"/>
          <xsd:enumeration value="Unlock VOID"/>
        </xsd:restriction>
      </xsd:simpleType>
    </xsd:element>
    <xsd:element name="conversionstatus" ma:index="19" nillable="true" ma:displayName="Conversion Status" ma:default="Not Started" ma:format="Dropdown" ma:internalName="conversionstatus" ma:readOnly="false">
      <xsd:simpleType>
        <xsd:restriction base="dms:Choice">
          <xsd:enumeration value="Not Started"/>
          <xsd:enumeration value="In Progress"/>
          <xsd:enumeration value="Issue Pending"/>
          <xsd:enumeration value="Complete"/>
        </xsd:restriction>
      </xsd:simpleType>
    </xsd:element>
    <xsd:element name="Contract_x0020_Priority" ma:index="21" nillable="true" ma:displayName="Contract Priority" ma:default="No" ma:format="Dropdown" ma:internalName="Contract_x0020_Priority" ma:readOnly="false">
      <xsd:simpleType>
        <xsd:restriction base="dms:Choice">
          <xsd:enumeration value="No"/>
          <xsd:enumeration value="Yes"/>
        </xsd:restriction>
      </xsd:simpleType>
    </xsd:element>
    <xsd:element name="Center" ma:index="23" nillable="true" ma:displayName="Center" ma:default="Choose Center" ma:format="Dropdown" ma:internalName="Center" ma:readOnly="false">
      <xsd:simpleType>
        <xsd:restriction base="dms:Choice">
          <xsd:enumeration value="Choose Center"/>
          <xsd:enumeration value="Mumbai"/>
          <xsd:enumeration value="Manila"/>
        </xsd:restriction>
      </xsd:simpleType>
    </xsd:element>
    <xsd:element name="_dlc_DocIdUrl" ma:index="24"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_dlc_DocId" ma:index="30" nillable="true" ma:displayName="Document ID Value" ma:description="The value of the document ID assigned to this item." ma:hidden="true" ma:indexed="true" ma:internalName="_dlc_DocId" ma:readOnly="false">
      <xsd:simpleType>
        <xsd:restriction base="dms:Text"/>
      </xsd:simpleType>
    </xsd:element>
    <xsd:element name="_dlc_DocIdPersistId" ma:index="32" nillable="true" ma:displayName="Persist ID" ma:description="Keep ID on add." ma:hidden="true" ma:internalName="_dlc_DocIdPersistId" ma:readOnly="false">
      <xsd:simpleType>
        <xsd:restriction base="dms:Boolean"/>
      </xsd:simpleType>
    </xsd:element>
    <xsd:element name="SharedWithUsers" ma:index="37"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ompany" ma:index="8" nillable="true" ma:displayName="Company" ma:internalName="Compan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46afe2-ed2a-40ba-8ba2-c0b30cc49f0e" elementFormDefault="qualified">
    <xsd:import namespace="http://schemas.microsoft.com/office/2006/documentManagement/types"/>
    <xsd:import namespace="http://schemas.microsoft.com/office/infopath/2007/PartnerControls"/>
    <xsd:element name="doc1605" ma:index="15" nillable="true" ma:displayName="Docket 16-05" ma:default="No" ma:description="“Contracts Dept Use Only”" ma:format="Dropdown" ma:indexed="true" ma:internalName="Docket_x0020_16_x002d_05" ma:readOnly="false">
      <xsd:simpleType>
        <xsd:restriction base="dms:Choice">
          <xsd:enumeration value="No"/>
          <xsd:enumeration value="Yes"/>
        </xsd:restriction>
      </xsd:simpleType>
    </xsd:element>
    <xsd:element name="agreedate" ma:index="16" nillable="true" ma:displayName="Agreement Date" ma:description="“Contracts Dept Use Only”" ma:format="DateOnly" ma:indexed="true" ma:internalName="Agreement_x0020_Date" ma:readOnly="false">
      <xsd:simpleType>
        <xsd:restriction base="dms:DateTime"/>
      </xsd:simpleType>
    </xsd:element>
    <xsd:element name="Amend_x0020_Ready" ma:index="22" nillable="true" ma:displayName="Amend Ready" ma:default="Not Ready" ma:description="“Contracts Dept Use Only”" ma:format="Dropdown" ma:internalName="Amend_x0020_Ready" ma:readOnly="false">
      <xsd:simpleType>
        <xsd:restriction base="dms:Choice">
          <xsd:enumeration value="Not Ready"/>
          <xsd:enumeration value="Go"/>
          <xsd:enumeration value="Sent"/>
        </xsd:restriction>
      </xsd:simpleType>
    </xsd:element>
    <xsd:element name="MediaServiceMetadata" ma:index="33" nillable="true" ma:displayName="MediaServiceMetadata" ma:hidden="true" ma:internalName="MediaServiceMetadata" ma:readOnly="true">
      <xsd:simpleType>
        <xsd:restriction base="dms:Note"/>
      </xsd:simpleType>
    </xsd:element>
    <xsd:element name="MediaServiceFastMetadata" ma:index="34" nillable="true" ma:displayName="MediaServiceFastMetadata" ma:hidden="true" ma:internalName="MediaServiceFastMetadata" ma:readOnly="true">
      <xsd:simpleType>
        <xsd:restriction base="dms:Note"/>
      </xsd:simpleType>
    </xsd:element>
    <xsd:element name="MediaServiceAutoKeyPoints" ma:index="35" nillable="true" ma:displayName="MediaServiceAutoKeyPoints" ma:hidden="true" ma:internalName="MediaServiceAutoKeyPoints" ma:readOnly="true">
      <xsd:simpleType>
        <xsd:restriction base="dms:Note"/>
      </xsd:simpleType>
    </xsd:element>
    <xsd:element name="MediaServiceKeyPoints" ma:index="36" nillable="true" ma:displayName="KeyPoints" ma:hidden="true" ma:internalName="MediaServiceKeyPoints" ma:readOnly="true">
      <xsd:simpleType>
        <xsd:restriction base="dms:Note"/>
      </xsd:simple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1421E1-3F1A-4967-BFA5-233BD9B425D8}">
  <ds:schemaRefs>
    <ds:schemaRef ds:uri="http://schemas.microsoft.com/office/2006/documentManagement/types"/>
    <ds:schemaRef ds:uri="http://purl.org/dc/terms/"/>
    <ds:schemaRef ds:uri="http://schemas.openxmlformats.org/package/2006/metadata/core-properties"/>
    <ds:schemaRef ds:uri="http://www.w3.org/XML/1998/namespace"/>
    <ds:schemaRef ds:uri="e446afe2-ed2a-40ba-8ba2-c0b30cc49f0e"/>
    <ds:schemaRef ds:uri="http://purl.org/dc/elements/1.1/"/>
    <ds:schemaRef ds:uri="http://schemas.microsoft.com/sharepoint/v3"/>
    <ds:schemaRef ds:uri="http://schemas.microsoft.com/office/2006/metadata/properties"/>
    <ds:schemaRef ds:uri="http://schemas.microsoft.com/office/infopath/2007/PartnerControls"/>
    <ds:schemaRef ds:uri="37aa5685-f18a-4c16-8b74-a7d5b1a2ecd4"/>
    <ds:schemaRef ds:uri="http://purl.org/dc/dcmitype/"/>
  </ds:schemaRefs>
</ds:datastoreItem>
</file>

<file path=customXml/itemProps2.xml><?xml version="1.0" encoding="utf-8"?>
<ds:datastoreItem xmlns:ds="http://schemas.openxmlformats.org/officeDocument/2006/customXml" ds:itemID="{45DC4CE6-D1F1-4A78-A8A0-9319DC1BF9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aa5685-f18a-4c16-8b74-a7d5b1a2ecd4"/>
    <ds:schemaRef ds:uri="http://schemas.microsoft.com/sharepoint/v3"/>
    <ds:schemaRef ds:uri="e446afe2-ed2a-40ba-8ba2-c0b30cc49f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90FBC0E-50FA-4B73-A39A-1149A09F20DF}">
  <ds:schemaRefs>
    <ds:schemaRef ds:uri="http://schemas.microsoft.com/sharepoint/events"/>
  </ds:schemaRefs>
</ds:datastoreItem>
</file>

<file path=customXml/itemProps4.xml><?xml version="1.0" encoding="utf-8"?>
<ds:datastoreItem xmlns:ds="http://schemas.openxmlformats.org/officeDocument/2006/customXml" ds:itemID="{A8C19A49-8EBD-4B6A-BC47-18B84877E9B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40</vt:i4>
      </vt:variant>
    </vt:vector>
  </HeadingPairs>
  <TitlesOfParts>
    <vt:vector size="50" baseType="lpstr">
      <vt:lpstr>Boiler Plate</vt:lpstr>
      <vt:lpstr>Cover</vt:lpstr>
      <vt:lpstr>MQC</vt:lpstr>
      <vt:lpstr>APPENDIX B-1  (FE - USWC)</vt:lpstr>
      <vt:lpstr>APPENDIX B-2  (FE - USEC&amp;GC)</vt:lpstr>
      <vt:lpstr>APPENDIX F-1 ISC-US</vt:lpstr>
      <vt:lpstr>APPENDIX F-2 ISC-USWC</vt:lpstr>
      <vt:lpstr>Affiliates</vt:lpstr>
      <vt:lpstr>Listes</vt:lpstr>
      <vt:lpstr>SOF BR</vt:lpstr>
      <vt:lpstr>ArbMode</vt:lpstr>
      <vt:lpstr>Autom</vt:lpstr>
      <vt:lpstr>'APPENDIX B-2  (FE - USEC&amp;GC)'!BULLET</vt:lpstr>
      <vt:lpstr>'APPENDIX F-1 ISC-US'!BULLET</vt:lpstr>
      <vt:lpstr>'APPENDIX F-2 ISC-USWC'!BULLET</vt:lpstr>
      <vt:lpstr>BULLET</vt:lpstr>
      <vt:lpstr>Charges</vt:lpstr>
      <vt:lpstr>Container</vt:lpstr>
      <vt:lpstr>CST</vt:lpstr>
      <vt:lpstr>CURRENCY</vt:lpstr>
      <vt:lpstr>DAYS</vt:lpstr>
      <vt:lpstr>DDTARIFF</vt:lpstr>
      <vt:lpstr>DDTARIFFUS</vt:lpstr>
      <vt:lpstr>DDTARIFFUSE</vt:lpstr>
      <vt:lpstr>DDTARIFFUSI</vt:lpstr>
      <vt:lpstr>droppull</vt:lpstr>
      <vt:lpstr>EQTYPE</vt:lpstr>
      <vt:lpstr>Equip</vt:lpstr>
      <vt:lpstr>Exceptions</vt:lpstr>
      <vt:lpstr>EXPIMP</vt:lpstr>
      <vt:lpstr>GRIPSS</vt:lpstr>
      <vt:lpstr>GRIPSS_EQ</vt:lpstr>
      <vt:lpstr>Mode</vt:lpstr>
      <vt:lpstr>MQCType</vt:lpstr>
      <vt:lpstr>'Boiler Plate'!OLE_LINK1</vt:lpstr>
      <vt:lpstr>OOG</vt:lpstr>
      <vt:lpstr>OPREEFER</vt:lpstr>
      <vt:lpstr>'APPENDIX B-1  (FE - USWC)'!Print_Area</vt:lpstr>
      <vt:lpstr>'APPENDIX B-2  (FE - USEC&amp;GC)'!Print_Area</vt:lpstr>
      <vt:lpstr>'APPENDIX F-1 ISC-US'!Print_Area</vt:lpstr>
      <vt:lpstr>'APPENDIX F-2 ISC-USWC'!Print_Area</vt:lpstr>
      <vt:lpstr>Cover!Print_Area</vt:lpstr>
      <vt:lpstr>Listes!Print_Area</vt:lpstr>
      <vt:lpstr>Reefer</vt:lpstr>
      <vt:lpstr>SDD</vt:lpstr>
      <vt:lpstr>shipper</vt:lpstr>
      <vt:lpstr>ShipperCert</vt:lpstr>
      <vt:lpstr>ShipperOwn</vt:lpstr>
      <vt:lpstr>Type_note2</vt:lpstr>
      <vt:lpstr>YesNo</vt:lpstr>
    </vt:vector>
  </TitlesOfParts>
  <Company>CMA-CGM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Inbound Outound VR41</dc:title>
  <dc:creator>IBRAHIM Jason</dc:creator>
  <cp:lastModifiedBy>KENDERJIAN Hovig</cp:lastModifiedBy>
  <cp:lastPrinted>2022-01-11T20:32:56Z</cp:lastPrinted>
  <dcterms:created xsi:type="dcterms:W3CDTF">2001-10-02T15:11:11Z</dcterms:created>
  <dcterms:modified xsi:type="dcterms:W3CDTF">2025-11-12T19:40:39Z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0x010100AABFEC26EA562D45AF04FDB06D002D64003DBFCE8280B6C64B8E36F022FE550870</vt:lpwstr>
  </property>
  <property fmtid="{D5CDD505-2E9C-101B-9397-08002B2CF9AE}" pid="3" name="_dlc_DocIdItemGuid">
    <vt:lpwstr>590a2202-5f1e-4582-970f-2ca919c5193a</vt:lpwstr>
  </property>
  <property fmtid="{D5CDD505-2E9C-101B-9397-08002B2CF9AE}" pid="4" name="Center0">
    <vt:lpwstr>Manila</vt:lpwstr>
  </property>
  <property fmtid="{D5CDD505-2E9C-101B-9397-08002B2CF9AE}" pid="5" name="doc1605">
    <vt:lpwstr>No</vt:lpwstr>
  </property>
  <property fmtid="{D5CDD505-2E9C-101B-9397-08002B2CF9AE}" pid="6" name="Proposal Review Ready">
    <vt:lpwstr>Go</vt:lpwstr>
  </property>
</Properties>
</file>